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pi.box.com/wopi/files/904224237482/WOPIServiceId_TP_BOX_2/WOPIUserId_-/"/>
    </mc:Choice>
  </mc:AlternateContent>
  <xr:revisionPtr revIDLastSave="5" documentId="13_ncr:1_{AE6036A1-9739-4B19-80C5-01D0FDBBDA87}" xr6:coauthVersionLast="47" xr6:coauthVersionMax="47" xr10:uidLastSave="{6712B7F1-6983-4240-9ED0-ECA7BEBB4FFB}"/>
  <bookViews>
    <workbookView xWindow="43102" yWindow="-98" windowWidth="30916" windowHeight="16755" tabRatio="839" xr2:uid="{00000000-000D-0000-FFFF-FFFF00000000}"/>
  </bookViews>
  <sheets>
    <sheet name="Start" sheetId="1" r:id="rId1"/>
    <sheet name="DB-chemicals" sheetId="25" r:id="rId2"/>
    <sheet name="DB-material" sheetId="24" state="hidden" r:id="rId3"/>
    <sheet name="ChemInput" sheetId="11" r:id="rId4"/>
    <sheet name="Chemical" sheetId="4" r:id="rId5"/>
    <sheet name="Production" sheetId="2" r:id="rId6"/>
    <sheet name="Products" sheetId="3" r:id="rId7"/>
    <sheet name="Distribution" sheetId="37" r:id="rId8"/>
    <sheet name="Lifespan" sheetId="10" state="hidden" r:id="rId9"/>
    <sheet name="Factors" sheetId="5" r:id="rId10"/>
    <sheet name="Int trade-product" sheetId="26" r:id="rId11"/>
    <sheet name="ChemOutput" sheetId="21" state="hidden" r:id="rId12"/>
    <sheet name="Int trade-waste" sheetId="27" r:id="rId13"/>
    <sheet name="Waste-inapp" sheetId="7" r:id="rId14"/>
    <sheet name="Waste-environ" sheetId="9" r:id="rId15"/>
    <sheet name="DB-categories" sheetId="12" state="hidden" r:id="rId16"/>
    <sheet name="DB-solid waste" sheetId="13" state="hidden" r:id="rId17"/>
    <sheet name="DB-function distributions" sheetId="18" state="hidden" r:id="rId18"/>
    <sheet name="Gridding" sheetId="23" state="hidden" r:id="rId19"/>
    <sheet name="Flows" sheetId="14" r:id="rId20"/>
    <sheet name="Mass" sheetId="15" r:id="rId21"/>
    <sheet name="Emissions" sheetId="16" r:id="rId22"/>
    <sheet name="IntTrade" sheetId="28" r:id="rId23"/>
  </sheets>
  <functionGroups builtInGroupCount="19"/>
  <definedNames>
    <definedName name="_xlnm._FilterDatabase" localSheetId="15" hidden="1">'DB-categories'!$A$10:$E$97</definedName>
    <definedName name="AEair">Chemical!$D$23</definedName>
    <definedName name="AEsolid">Chemical!$D$24</definedName>
    <definedName name="AEwater">Chemical!$D$25</definedName>
    <definedName name="Article">'DB-material'!$C$12:$C$35</definedName>
    <definedName name="BETRres">Start!$E$14</definedName>
    <definedName name="BP">Chemical!$D$26</definedName>
    <definedName name="CalType">Start!$AF$3</definedName>
    <definedName name="ChemName">Start!$E$9</definedName>
    <definedName name="CHEMnum">Start!$AF$5</definedName>
    <definedName name="dUaw">Chemical!$D$17</definedName>
    <definedName name="dUoa">Chemical!$D$18</definedName>
    <definedName name="dUow">Chemical!$D$16</definedName>
    <definedName name="End_chem">Start!$L$10</definedName>
    <definedName name="End_year">Start!$E$11</definedName>
    <definedName name="FateModelOutput">Start!$E$12</definedName>
    <definedName name="HeatMap">Start!$E$13</definedName>
    <definedName name="Industrial">'DB-material'!$C$11</definedName>
    <definedName name="kair">Chemical!$D$20</definedName>
    <definedName name="Kaw">Chemical!$D$14</definedName>
    <definedName name="Koa">Chemical!$D$15</definedName>
    <definedName name="Kow">Chemical!$D$13</definedName>
    <definedName name="ksolid">Chemical!$D$21</definedName>
    <definedName name="kwater">Chemical!$D$22</definedName>
    <definedName name="MP">Chemical!$D$27</definedName>
    <definedName name="MW">Chemical!$D$11</definedName>
    <definedName name="pKa">Chemical!$D$19</definedName>
    <definedName name="POPreg">Start!$L$13</definedName>
    <definedName name="Product">'DB-material'!$C$12:$C$14</definedName>
    <definedName name="RAIDARoutput">Start!$L$12</definedName>
    <definedName name="ROOMarea">Start!$L$15</definedName>
    <definedName name="ROOMreg">Start!$L$14</definedName>
    <definedName name="SANKEYoutput">Start!$L$11</definedName>
    <definedName name="Start_chem">Start!$L$9</definedName>
    <definedName name="Start_year">Start!$E$10</definedName>
    <definedName name="SW">Chemical!$D$32</definedName>
    <definedName name="UseCat">'DB-categories'!$B$11:$B$97</definedName>
    <definedName name="UserNote">Start!$E$15</definedName>
    <definedName name="Vmol">Chemical!$D$12</definedName>
    <definedName name="VP">Chemical!$D$31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9" i="13" l="1"/>
  <c r="V9" i="13"/>
  <c r="R9" i="13"/>
  <c r="N9" i="13"/>
  <c r="J9" i="13"/>
  <c r="F9" i="13"/>
  <c r="B9" i="13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K101" i="12"/>
  <c r="L101" i="12"/>
  <c r="M101" i="12"/>
  <c r="N101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K102" i="12"/>
  <c r="L102" i="12"/>
  <c r="M102" i="12"/>
  <c r="N102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K103" i="12"/>
  <c r="L103" i="12"/>
  <c r="M103" i="12"/>
  <c r="N103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K104" i="12"/>
  <c r="L104" i="12"/>
  <c r="M104" i="12"/>
  <c r="N104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K105" i="12"/>
  <c r="L105" i="12"/>
  <c r="M105" i="12"/>
  <c r="N105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K106" i="12"/>
  <c r="L106" i="12"/>
  <c r="M106" i="12"/>
  <c r="N106" i="12"/>
  <c r="O106" i="12"/>
  <c r="P106" i="12"/>
  <c r="Q106" i="12"/>
  <c r="R106" i="12"/>
  <c r="S106" i="12"/>
  <c r="T106" i="12"/>
  <c r="U106" i="12"/>
  <c r="V106" i="12"/>
  <c r="W106" i="12"/>
  <c r="X106" i="12"/>
  <c r="Y106" i="12"/>
  <c r="Z106" i="12"/>
  <c r="K107" i="12"/>
  <c r="L107" i="12"/>
  <c r="M107" i="12"/>
  <c r="N107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K108" i="12"/>
  <c r="L108" i="12"/>
  <c r="M108" i="12"/>
  <c r="N108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K109" i="12"/>
  <c r="L109" i="12"/>
  <c r="M109" i="12"/>
  <c r="N109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K110" i="12"/>
  <c r="L110" i="12"/>
  <c r="M110" i="12"/>
  <c r="N110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K111" i="12"/>
  <c r="L111" i="12"/>
  <c r="M111" i="12"/>
  <c r="N111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K112" i="12"/>
  <c r="L112" i="12"/>
  <c r="M112" i="12"/>
  <c r="N112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K113" i="12"/>
  <c r="L113" i="12"/>
  <c r="M113" i="12"/>
  <c r="N113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K114" i="12"/>
  <c r="L114" i="12"/>
  <c r="M114" i="12"/>
  <c r="N114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K115" i="12"/>
  <c r="L115" i="12"/>
  <c r="M115" i="12"/>
  <c r="N115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K116" i="12"/>
  <c r="L116" i="12"/>
  <c r="M116" i="12"/>
  <c r="N116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K117" i="12"/>
  <c r="L117" i="12"/>
  <c r="M117" i="12"/>
  <c r="N117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K118" i="12"/>
  <c r="L118" i="12"/>
  <c r="M118" i="12"/>
  <c r="N118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K119" i="12"/>
  <c r="L119" i="12"/>
  <c r="M119" i="12"/>
  <c r="N119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K94" i="12"/>
  <c r="L94" i="12"/>
  <c r="M94" i="12"/>
  <c r="N94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Z9" i="12"/>
  <c r="Z10" i="12"/>
  <c r="X9" i="12"/>
  <c r="Y9" i="12"/>
  <c r="X10" i="12"/>
  <c r="Y10" i="12"/>
  <c r="L9" i="12"/>
  <c r="M9" i="12"/>
  <c r="N9" i="12"/>
  <c r="O9" i="12"/>
  <c r="P9" i="12"/>
  <c r="Q9" i="12"/>
  <c r="R9" i="12"/>
  <c r="S9" i="12"/>
  <c r="T9" i="12"/>
  <c r="U9" i="12"/>
  <c r="V9" i="12"/>
  <c r="W9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K10" i="12"/>
  <c r="K9" i="12"/>
  <c r="C9" i="18" a="1"/>
  <c r="C9" i="18" s="1"/>
  <c r="K11" i="12"/>
  <c r="D17" i="24"/>
  <c r="D16" i="24"/>
  <c r="D15" i="24"/>
  <c r="G11" i="10"/>
  <c r="D13" i="37" l="1"/>
  <c r="E13" i="37"/>
  <c r="F13" i="37"/>
  <c r="G13" i="37"/>
  <c r="H13" i="37"/>
  <c r="I13" i="37"/>
  <c r="J13" i="37"/>
  <c r="K13" i="37"/>
  <c r="L13" i="37"/>
  <c r="M13" i="37"/>
  <c r="N13" i="37"/>
  <c r="O13" i="37"/>
  <c r="P13" i="37"/>
  <c r="Q13" i="37"/>
  <c r="R13" i="37"/>
  <c r="S13" i="37"/>
  <c r="T13" i="37"/>
  <c r="U13" i="37"/>
  <c r="V13" i="37"/>
  <c r="W13" i="37"/>
  <c r="X13" i="37"/>
  <c r="Y13" i="37"/>
  <c r="Z13" i="37"/>
  <c r="AA13" i="37"/>
  <c r="AB13" i="37"/>
  <c r="AC13" i="37"/>
  <c r="AD13" i="37"/>
  <c r="AE13" i="37"/>
  <c r="AF13" i="37"/>
  <c r="AG13" i="37"/>
  <c r="AH13" i="37"/>
  <c r="AI13" i="37"/>
  <c r="AJ13" i="37"/>
  <c r="AK13" i="37"/>
  <c r="C13" i="37"/>
  <c r="C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AK13" i="10"/>
  <c r="AJ13" i="10"/>
  <c r="AI13" i="10"/>
  <c r="AH13" i="10"/>
  <c r="AG13" i="10"/>
  <c r="B214" i="37"/>
  <c r="B213" i="37"/>
  <c r="B212" i="37"/>
  <c r="B211" i="37"/>
  <c r="B210" i="37"/>
  <c r="B209" i="37"/>
  <c r="B208" i="37"/>
  <c r="B207" i="37"/>
  <c r="B206" i="37"/>
  <c r="B205" i="37"/>
  <c r="B204" i="37"/>
  <c r="B203" i="37"/>
  <c r="B202" i="37"/>
  <c r="B201" i="37"/>
  <c r="B200" i="37"/>
  <c r="B199" i="37"/>
  <c r="B198" i="37"/>
  <c r="B197" i="37"/>
  <c r="B196" i="37"/>
  <c r="B195" i="37"/>
  <c r="B194" i="37"/>
  <c r="B193" i="37"/>
  <c r="B192" i="37"/>
  <c r="B191" i="37"/>
  <c r="B190" i="37"/>
  <c r="B189" i="37"/>
  <c r="B188" i="37"/>
  <c r="B187" i="37"/>
  <c r="B186" i="37"/>
  <c r="B185" i="37"/>
  <c r="B184" i="37"/>
  <c r="B183" i="37"/>
  <c r="B182" i="37"/>
  <c r="B181" i="37"/>
  <c r="B180" i="37"/>
  <c r="B179" i="37"/>
  <c r="B178" i="37"/>
  <c r="B177" i="37"/>
  <c r="B176" i="37"/>
  <c r="B175" i="37"/>
  <c r="B174" i="37"/>
  <c r="B173" i="37"/>
  <c r="B172" i="37"/>
  <c r="B171" i="37"/>
  <c r="B170" i="37"/>
  <c r="B169" i="37"/>
  <c r="B168" i="37"/>
  <c r="B167" i="37"/>
  <c r="B166" i="37"/>
  <c r="B165" i="37"/>
  <c r="B164" i="37"/>
  <c r="B163" i="37"/>
  <c r="B162" i="37"/>
  <c r="B161" i="37"/>
  <c r="B160" i="37"/>
  <c r="B159" i="37"/>
  <c r="B158" i="37"/>
  <c r="B157" i="37"/>
  <c r="B156" i="37"/>
  <c r="B155" i="37"/>
  <c r="B154" i="37"/>
  <c r="B153" i="37"/>
  <c r="B152" i="37"/>
  <c r="B151" i="37"/>
  <c r="B150" i="37"/>
  <c r="B149" i="37"/>
  <c r="B148" i="37"/>
  <c r="B147" i="37"/>
  <c r="B146" i="37"/>
  <c r="B145" i="37"/>
  <c r="B144" i="37"/>
  <c r="B143" i="37"/>
  <c r="B142" i="37"/>
  <c r="B141" i="37"/>
  <c r="B140" i="37"/>
  <c r="B139" i="37"/>
  <c r="B138" i="37"/>
  <c r="B137" i="37"/>
  <c r="B136" i="37"/>
  <c r="B135" i="37"/>
  <c r="B134" i="37"/>
  <c r="B133" i="37"/>
  <c r="B132" i="37"/>
  <c r="B131" i="37"/>
  <c r="B130" i="37"/>
  <c r="B129" i="37"/>
  <c r="B128" i="37"/>
  <c r="B127" i="37"/>
  <c r="B126" i="37"/>
  <c r="B125" i="37"/>
  <c r="B124" i="37"/>
  <c r="B123" i="37"/>
  <c r="B122" i="37"/>
  <c r="B121" i="37"/>
  <c r="B120" i="37"/>
  <c r="B119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B105" i="37"/>
  <c r="B104" i="37"/>
  <c r="B103" i="37"/>
  <c r="B102" i="37"/>
  <c r="B101" i="37"/>
  <c r="B100" i="37"/>
  <c r="B99" i="37"/>
  <c r="B98" i="37"/>
  <c r="B97" i="37"/>
  <c r="B96" i="37"/>
  <c r="B95" i="37"/>
  <c r="B94" i="37"/>
  <c r="B93" i="37"/>
  <c r="B92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AE11" i="37"/>
  <c r="X11" i="37"/>
  <c r="Q11" i="37"/>
  <c r="J11" i="37"/>
  <c r="C11" i="37"/>
  <c r="C48" i="18" l="1"/>
  <c r="B210" i="27"/>
  <c r="B209" i="27"/>
  <c r="B208" i="27"/>
  <c r="B207" i="27"/>
  <c r="B206" i="27"/>
  <c r="B205" i="27"/>
  <c r="B204" i="27"/>
  <c r="B203" i="27"/>
  <c r="B202" i="27"/>
  <c r="B201" i="27"/>
  <c r="B200" i="27"/>
  <c r="B199" i="27"/>
  <c r="B198" i="27"/>
  <c r="B197" i="27"/>
  <c r="B196" i="27"/>
  <c r="B195" i="27"/>
  <c r="B194" i="27"/>
  <c r="B193" i="27"/>
  <c r="B192" i="27"/>
  <c r="B191" i="27"/>
  <c r="B190" i="27"/>
  <c r="B189" i="27"/>
  <c r="B188" i="27"/>
  <c r="B187" i="27"/>
  <c r="B186" i="27"/>
  <c r="B185" i="27"/>
  <c r="B184" i="27"/>
  <c r="B183" i="27"/>
  <c r="B182" i="27"/>
  <c r="B181" i="27"/>
  <c r="B180" i="27"/>
  <c r="B179" i="27"/>
  <c r="B178" i="27"/>
  <c r="B177" i="27"/>
  <c r="B176" i="27"/>
  <c r="B175" i="27"/>
  <c r="B174" i="27"/>
  <c r="B173" i="27"/>
  <c r="B172" i="27"/>
  <c r="B171" i="27"/>
  <c r="B170" i="27"/>
  <c r="B169" i="27"/>
  <c r="B168" i="27"/>
  <c r="B167" i="27"/>
  <c r="B166" i="27"/>
  <c r="B165" i="27"/>
  <c r="B164" i="27"/>
  <c r="B163" i="27"/>
  <c r="B162" i="27"/>
  <c r="B161" i="27"/>
  <c r="B160" i="27"/>
  <c r="B159" i="27"/>
  <c r="B158" i="27"/>
  <c r="B157" i="27"/>
  <c r="B156" i="27"/>
  <c r="B155" i="27"/>
  <c r="B154" i="27"/>
  <c r="B153" i="27"/>
  <c r="B152" i="27"/>
  <c r="B151" i="27"/>
  <c r="B150" i="27"/>
  <c r="B149" i="27"/>
  <c r="B148" i="27"/>
  <c r="B147" i="27"/>
  <c r="B146" i="27"/>
  <c r="B145" i="27"/>
  <c r="B144" i="27"/>
  <c r="B143" i="27"/>
  <c r="B142" i="27"/>
  <c r="B141" i="27"/>
  <c r="B140" i="27"/>
  <c r="B139" i="27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21" i="27"/>
  <c r="B120" i="27"/>
  <c r="B119" i="27"/>
  <c r="B118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G8" i="27"/>
  <c r="AS8" i="27"/>
  <c r="AE8" i="27"/>
  <c r="Q8" i="27"/>
  <c r="C8" i="27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124" i="26"/>
  <c r="B125" i="26"/>
  <c r="B126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86" i="26"/>
  <c r="B187" i="26"/>
  <c r="B188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B202" i="26"/>
  <c r="B203" i="26"/>
  <c r="B204" i="26"/>
  <c r="B205" i="26"/>
  <c r="B206" i="26"/>
  <c r="B207" i="26"/>
  <c r="B208" i="26"/>
  <c r="B209" i="26"/>
  <c r="B210" i="26"/>
  <c r="B11" i="26"/>
  <c r="B14" i="10"/>
  <c r="BG8" i="26"/>
  <c r="AE9" i="10"/>
  <c r="AS8" i="26"/>
  <c r="X9" i="10"/>
  <c r="AE8" i="26"/>
  <c r="Q9" i="10"/>
  <c r="Q8" i="26"/>
  <c r="J9" i="10"/>
  <c r="C8" i="26"/>
  <c r="C9" i="10"/>
  <c r="A33" i="5" l="1"/>
  <c r="A34" i="5"/>
  <c r="A35" i="5"/>
  <c r="A36" i="5"/>
  <c r="A37" i="5"/>
  <c r="A38" i="5"/>
  <c r="A32" i="5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12" i="9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12" i="7"/>
  <c r="D10" i="5" a="1"/>
  <c r="D10" i="5" s="1"/>
  <c r="E10" i="5" a="1"/>
  <c r="E10" i="5" s="1"/>
  <c r="F10" i="5" a="1"/>
  <c r="F10" i="5" s="1"/>
  <c r="G10" i="5" a="1"/>
  <c r="G10" i="5" s="1"/>
  <c r="C10" i="5" a="1"/>
  <c r="C10" i="5" s="1"/>
  <c r="A27" i="5" l="1"/>
  <c r="A22" i="5"/>
  <c r="A17" i="5"/>
  <c r="A12" i="5"/>
  <c r="A11" i="5"/>
  <c r="K15" i="1" l="1"/>
  <c r="K14" i="1"/>
  <c r="K13" i="1"/>
  <c r="AE13" i="3" l="1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E12" i="24" l="1"/>
  <c r="E11" i="24" s="1"/>
  <c r="R9" i="18" l="1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E9" i="9"/>
  <c r="X9" i="9"/>
  <c r="Q9" i="9"/>
  <c r="J9" i="9"/>
  <c r="C9" i="9"/>
  <c r="AE9" i="7"/>
  <c r="X9" i="7"/>
  <c r="Q9" i="7"/>
  <c r="J9" i="7"/>
  <c r="C9" i="7"/>
  <c r="G32" i="24"/>
  <c r="E32" i="24" s="1"/>
  <c r="D32" i="24"/>
  <c r="F31" i="24"/>
  <c r="E31" i="24" s="1"/>
  <c r="D31" i="24"/>
  <c r="G30" i="24"/>
  <c r="F30" i="24"/>
  <c r="D30" i="24"/>
  <c r="F29" i="24"/>
  <c r="E29" i="24" s="1"/>
  <c r="D29" i="24"/>
  <c r="G28" i="24"/>
  <c r="F28" i="24"/>
  <c r="D28" i="24"/>
  <c r="F27" i="24"/>
  <c r="E27" i="24" s="1"/>
  <c r="D27" i="24"/>
  <c r="G26" i="24"/>
  <c r="F26" i="24"/>
  <c r="D26" i="24"/>
  <c r="G25" i="24"/>
  <c r="F25" i="24"/>
  <c r="D25" i="24"/>
  <c r="G24" i="24"/>
  <c r="F24" i="24"/>
  <c r="D24" i="24"/>
  <c r="F23" i="24"/>
  <c r="E23" i="24" s="1"/>
  <c r="D23" i="24"/>
  <c r="F22" i="24"/>
  <c r="E22" i="24" s="1"/>
  <c r="D22" i="24"/>
  <c r="F21" i="24"/>
  <c r="E21" i="24" s="1"/>
  <c r="D21" i="24"/>
  <c r="F20" i="24"/>
  <c r="E20" i="24" s="1"/>
  <c r="D20" i="24"/>
  <c r="F19" i="24"/>
  <c r="E19" i="24" s="1"/>
  <c r="D19" i="24"/>
  <c r="F18" i="24"/>
  <c r="E18" i="24" s="1"/>
  <c r="D18" i="24"/>
  <c r="F17" i="24"/>
  <c r="E17" i="24" s="1"/>
  <c r="G16" i="24"/>
  <c r="F16" i="24"/>
  <c r="F15" i="24"/>
  <c r="E15" i="24" s="1"/>
  <c r="D13" i="24"/>
  <c r="D12" i="24"/>
  <c r="D11" i="24" s="1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F11" i="10"/>
  <c r="E11" i="10"/>
  <c r="D11" i="10"/>
  <c r="C11" i="10"/>
  <c r="B11" i="10"/>
  <c r="I36" i="3"/>
  <c r="I35" i="3"/>
  <c r="I34" i="3"/>
  <c r="I33" i="3"/>
  <c r="I32" i="3"/>
  <c r="I31" i="3"/>
  <c r="I30" i="3"/>
  <c r="AE17" i="3"/>
  <c r="AD17" i="3"/>
  <c r="AC17" i="3"/>
  <c r="AB17" i="3"/>
  <c r="AA17" i="3"/>
  <c r="Z17" i="3"/>
  <c r="Y17" i="3"/>
  <c r="X17" i="3"/>
  <c r="W17" i="3"/>
  <c r="V17" i="3"/>
  <c r="U17" i="3"/>
  <c r="S17" i="3"/>
  <c r="R17" i="3"/>
  <c r="Q17" i="3"/>
  <c r="P17" i="3"/>
  <c r="O17" i="3"/>
  <c r="O16" i="3"/>
  <c r="O15" i="3"/>
  <c r="O14" i="3"/>
  <c r="O13" i="3"/>
  <c r="O12" i="3"/>
  <c r="AE11" i="3" a="1"/>
  <c r="AE11" i="3" s="1"/>
  <c r="AD11" i="3" a="1"/>
  <c r="AD11" i="3" s="1"/>
  <c r="AC11" i="3" a="1"/>
  <c r="AC11" i="3" s="1"/>
  <c r="AB11" i="3" a="1"/>
  <c r="AB11" i="3" s="1"/>
  <c r="AA11" i="3" a="1"/>
  <c r="AA11" i="3" s="1"/>
  <c r="Z11" i="3" a="1"/>
  <c r="Z11" i="3" s="1"/>
  <c r="Y11" i="3" a="1"/>
  <c r="Y11" i="3" s="1"/>
  <c r="X11" i="3" a="1"/>
  <c r="X11" i="3" s="1"/>
  <c r="W11" i="3" a="1"/>
  <c r="W11" i="3" s="1"/>
  <c r="V11" i="3" a="1"/>
  <c r="V11" i="3" s="1"/>
  <c r="U11" i="3" a="1"/>
  <c r="U11" i="3" s="1"/>
  <c r="T11" i="3" a="1"/>
  <c r="T11" i="3" s="1"/>
  <c r="S11" i="3" a="1"/>
  <c r="S11" i="3" s="1"/>
  <c r="R11" i="3" a="1"/>
  <c r="R11" i="3" s="1"/>
  <c r="Q11" i="3" a="1"/>
  <c r="Q11" i="3" s="1"/>
  <c r="P11" i="3" a="1"/>
  <c r="P11" i="3" s="1"/>
  <c r="O11" i="3"/>
  <c r="D14" i="24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L13" i="1"/>
  <c r="L14" i="1" s="1"/>
  <c r="A1" i="12" l="1"/>
  <c r="E26" i="24"/>
  <c r="E24" i="24"/>
  <c r="E28" i="24"/>
  <c r="E25" i="24"/>
  <c r="E30" i="24"/>
  <c r="E16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AF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Calculation type:</t>
        </r>
        <r>
          <rPr>
            <sz val="9"/>
            <color indexed="81"/>
            <rFont val="Tahoma"/>
            <family val="2"/>
          </rPr>
          <t xml:space="preserve">
True: Dynamic
False: Batch</t>
        </r>
      </text>
    </comment>
    <comment ref="L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Assumption:
</t>
        </r>
        <r>
          <rPr>
            <sz val="9"/>
            <color indexed="81"/>
            <rFont val="Tahoma"/>
            <family val="2"/>
          </rPr>
          <t>"exposure is concentrated within 10% of the 300 million U.S. residents"
(Shin et al., Environ. Sci. Technol. 2015, 49, 6760−6771)</t>
        </r>
      </text>
    </comment>
    <comment ref="L1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Default value:
</t>
        </r>
        <r>
          <rPr>
            <sz val="9"/>
            <color indexed="81"/>
            <rFont val="Tahoma"/>
            <family val="2"/>
          </rPr>
          <t>USEPA Exposure Factors Handbook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I9" authorId="0" shapeId="0" xr:uid="{95CCB58E-6C67-4A42-B6CE-B473F0704301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Huang et al. Indoor Air. 2017, 27, 1128–1140</t>
        </r>
      </text>
    </comment>
    <comment ref="F10" authorId="0" shapeId="0" xr:uid="{7F261FFC-F5E9-4305-BDD5-91B691CC046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Huang et al. Indoor Air. 2017, 27, 1128–1140</t>
        </r>
      </text>
    </comment>
    <comment ref="E12" authorId="0" shapeId="0" xr:uid="{611F675F-4E94-401A-B4DE-CF689BD9838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Figure 5.3
Handbook of Chemical Mass Transport in the Environment</t>
        </r>
      </text>
    </comment>
    <comment ref="D14" authorId="0" shapeId="0" xr:uid="{C33B9FE0-5CB7-4502-805B-50B42DC5373C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Ideal gas constant * temperature / vapor pressure / molar volume</t>
        </r>
      </text>
    </comment>
    <comment ref="H26" authorId="0" shapeId="0" xr:uid="{E3A4CF37-DCE0-4EBD-8F0D-CC6E6EA95720}">
      <text>
        <r>
          <rPr>
            <sz val="9"/>
            <color indexed="81"/>
            <rFont val="Tahoma"/>
            <family val="2"/>
          </rPr>
          <t>Estimated from Kmw (Huang and Jolliet, STOTEN, 2019, 658, 493-500) and Koa values of toluene, D-limonene, and ethyl acetate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A2" authorId="0" shapeId="0" xr:uid="{FDCBF9D7-2077-4729-8DE4-CF161E6C94ED}">
      <text>
        <r>
          <rPr>
            <b/>
            <u/>
            <sz val="9"/>
            <color indexed="81"/>
            <rFont val="Tahoma"/>
            <family val="2"/>
          </rPr>
          <t>Article</t>
        </r>
        <r>
          <rPr>
            <sz val="9"/>
            <color indexed="81"/>
            <rFont val="Tahoma"/>
            <family val="2"/>
          </rPr>
          <t xml:space="preserve">: An object whose function is determined to a greater degree by its shape, surface or design than its chemical composition;
</t>
        </r>
        <r>
          <rPr>
            <b/>
            <u/>
            <sz val="9"/>
            <color indexed="81"/>
            <rFont val="Tahoma"/>
            <family val="2"/>
          </rPr>
          <t>Product</t>
        </r>
        <r>
          <rPr>
            <sz val="9"/>
            <color indexed="81"/>
            <rFont val="Tahoma"/>
            <family val="2"/>
          </rPr>
          <t>: An object whose function is determined to a greater degree by its chemical composition than its shape, surface or design.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D9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Mapping according to TGD Part 2 Appendix I-b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U25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Others:</t>
        </r>
        <r>
          <rPr>
            <sz val="9"/>
            <color indexed="81"/>
            <rFont val="Tahoma"/>
            <family val="2"/>
          </rPr>
          <t xml:space="preserve">
Viewed as the same as PPCPs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B5" authorId="0" shapeId="0" xr:uid="{00000000-0006-0000-0100-000001000000}">
      <text>
        <r>
          <rPr>
            <sz val="9"/>
            <color indexed="81"/>
            <rFont val="Tahoma"/>
            <family val="2"/>
          </rPr>
          <t>North Hemisphere: positive
South Hemisphere: negative</t>
        </r>
      </text>
    </comment>
    <comment ref="C5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East Hemisphere: positive
West Hemisphere: negative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<sst xmlns="http://schemas.openxmlformats.org/spreadsheetml/2006/main" count="1785" uniqueCount="592">
  <si>
    <t>Region1</t>
    <phoneticPr fontId="2" type="noConversion"/>
  </si>
  <si>
    <t>Region2</t>
  </si>
  <si>
    <t>Region3</t>
  </si>
  <si>
    <t>Region4</t>
  </si>
  <si>
    <t>Region5</t>
  </si>
  <si>
    <t>Region6</t>
  </si>
  <si>
    <t>Region7</t>
  </si>
  <si>
    <t>AP3</t>
  </si>
  <si>
    <t>AP4</t>
  </si>
  <si>
    <t>AP5</t>
  </si>
  <si>
    <t>MW</t>
    <phoneticPr fontId="2" type="noConversion"/>
  </si>
  <si>
    <t>Partition coefficient @ 25°C: octanol-air</t>
    <phoneticPr fontId="2" type="noConversion"/>
  </si>
  <si>
    <t>Partition coefficient @ 25°C: octanol-water</t>
    <phoneticPr fontId="2" type="noConversion"/>
  </si>
  <si>
    <t>Heats of phase transfer: air-water</t>
    <phoneticPr fontId="2" type="noConversion"/>
  </si>
  <si>
    <t>Heats of phase transfer: octanol-air</t>
    <phoneticPr fontId="2" type="noConversion"/>
  </si>
  <si>
    <t>Partition coefficient @ 25°C: air-water</t>
    <phoneticPr fontId="2" type="noConversion"/>
  </si>
  <si>
    <t>Heats of phase transfer: octanol-water</t>
    <phoneticPr fontId="2" type="noConversion"/>
  </si>
  <si>
    <t>Degradation rate constant in water</t>
    <phoneticPr fontId="2" type="noConversion"/>
  </si>
  <si>
    <t>Degradation rate constant in solid</t>
    <phoneticPr fontId="2" type="noConversion"/>
  </si>
  <si>
    <t>AP1</t>
    <phoneticPr fontId="2" type="noConversion"/>
  </si>
  <si>
    <t>AP2</t>
    <phoneticPr fontId="2" type="noConversion"/>
  </si>
  <si>
    <t>Landfill</t>
  </si>
  <si>
    <t>Time-independent</t>
    <phoneticPr fontId="2" type="noConversion"/>
  </si>
  <si>
    <t>Fraction subject to inappropriate treatment</t>
    <phoneticPr fontId="2" type="noConversion"/>
  </si>
  <si>
    <t>Fraction subject to environmentally sound management</t>
    <phoneticPr fontId="2" type="noConversion"/>
  </si>
  <si>
    <t>Normalized data</t>
  </si>
  <si>
    <t>Uncontrolled treatment</t>
  </si>
  <si>
    <t>Incineration</t>
  </si>
  <si>
    <t>Recycling</t>
  </si>
  <si>
    <t>WD1</t>
    <phoneticPr fontId="2" type="noConversion"/>
  </si>
  <si>
    <t>WD2</t>
  </si>
  <si>
    <t>WD3</t>
  </si>
  <si>
    <t>WD4</t>
  </si>
  <si>
    <t>WD5</t>
  </si>
  <si>
    <t>WD6</t>
  </si>
  <si>
    <t>WD7</t>
  </si>
  <si>
    <t>Emission factors</t>
    <phoneticPr fontId="2" type="noConversion"/>
  </si>
  <si>
    <t>Waste factors</t>
    <phoneticPr fontId="2" type="noConversion"/>
  </si>
  <si>
    <t>Decomposition factor</t>
    <phoneticPr fontId="2" type="noConversion"/>
  </si>
  <si>
    <t>List of materials</t>
    <phoneticPr fontId="2" type="noConversion"/>
  </si>
  <si>
    <t>Index</t>
  </si>
  <si>
    <t>Application category</t>
    <phoneticPr fontId="2" type="noConversion"/>
  </si>
  <si>
    <t>Active energy for degradation in air</t>
    <phoneticPr fontId="2" type="noConversion"/>
  </si>
  <si>
    <t>Active energy for degradation in solid</t>
    <phoneticPr fontId="2" type="noConversion"/>
  </si>
  <si>
    <t>Active energy for degradation in water</t>
    <phoneticPr fontId="2" type="noConversion"/>
  </si>
  <si>
    <t>abrasion resister/abrasive</t>
  </si>
  <si>
    <t>Others</t>
  </si>
  <si>
    <t>absorber</t>
  </si>
  <si>
    <t>Absorbents and adsorbents</t>
  </si>
  <si>
    <t>acid scavenger</t>
  </si>
  <si>
    <t>Adhesives, binding agents</t>
  </si>
  <si>
    <t>anticaking agent</t>
  </si>
  <si>
    <t>Process regulators</t>
  </si>
  <si>
    <t>anticorrosive/corrosion inhibitor</t>
  </si>
  <si>
    <t>Corrosion inhibitors</t>
  </si>
  <si>
    <t>Cosmetics</t>
  </si>
  <si>
    <t>antifoaming agent</t>
  </si>
  <si>
    <t>antifogging agent</t>
  </si>
  <si>
    <t>Pesticides, non-agricultural (Biocides)</t>
  </si>
  <si>
    <t>Reducing agents</t>
  </si>
  <si>
    <t>antiseborrheic</t>
  </si>
  <si>
    <t>antistatic agent</t>
  </si>
  <si>
    <t>Anti-static agents</t>
  </si>
  <si>
    <t>astringent</t>
  </si>
  <si>
    <t>biocide</t>
  </si>
  <si>
    <t>Pesticides</t>
  </si>
  <si>
    <t>bleach</t>
  </si>
  <si>
    <t>Bleaching agents</t>
  </si>
  <si>
    <t>buffer</t>
  </si>
  <si>
    <t>pH-regulating agents</t>
  </si>
  <si>
    <t>bulking agent</t>
  </si>
  <si>
    <t>catalyst</t>
  </si>
  <si>
    <t>clarifying agent</t>
  </si>
  <si>
    <t>coalescing agent</t>
  </si>
  <si>
    <t>Colouring agents</t>
  </si>
  <si>
    <t>crosslinker</t>
  </si>
  <si>
    <t>detangling agent</t>
  </si>
  <si>
    <t>dust binding agents</t>
  </si>
  <si>
    <t>Dust binding agents</t>
  </si>
  <si>
    <t>electroplating agents</t>
  </si>
  <si>
    <t>Electroplating agents</t>
  </si>
  <si>
    <t>Solvents</t>
  </si>
  <si>
    <t>explosives</t>
  </si>
  <si>
    <t>Explosives</t>
  </si>
  <si>
    <t>fertilisers</t>
  </si>
  <si>
    <t>Fertilisers</t>
  </si>
  <si>
    <t>Fillers</t>
  </si>
  <si>
    <t>film forming agent/foam boosting agent</t>
  </si>
  <si>
    <t>Foaming agents</t>
  </si>
  <si>
    <t>fixing agents</t>
  </si>
  <si>
    <t>Fixing agents</t>
  </si>
  <si>
    <t>flame retardant</t>
  </si>
  <si>
    <t>Flame retardants and fire preventing agents</t>
  </si>
  <si>
    <t>flow agent</t>
  </si>
  <si>
    <t>fuels &amp; fuel additives</t>
  </si>
  <si>
    <t>Fuels &amp; Fuel additives</t>
  </si>
  <si>
    <t>hair conditioner</t>
  </si>
  <si>
    <t>hair fixer</t>
  </si>
  <si>
    <t>hair waving straightener</t>
  </si>
  <si>
    <t>heat stabilizer</t>
  </si>
  <si>
    <t>hydraulic fluids and additives</t>
  </si>
  <si>
    <t>Hydraulic fluids and additives</t>
  </si>
  <si>
    <t>impact modifier</t>
  </si>
  <si>
    <t>impregnation agents</t>
  </si>
  <si>
    <t>Impregnation agents</t>
  </si>
  <si>
    <t>insulating agents</t>
  </si>
  <si>
    <t>Insulating agents</t>
  </si>
  <si>
    <t>Intermediates</t>
  </si>
  <si>
    <t>lubricating agent</t>
  </si>
  <si>
    <t>Lubricants and additives</t>
  </si>
  <si>
    <t>masking agent</t>
  </si>
  <si>
    <t>moisture scavenger</t>
  </si>
  <si>
    <t>nail conditioner</t>
  </si>
  <si>
    <t>nucleating agent</t>
  </si>
  <si>
    <t>odor eliminator</t>
  </si>
  <si>
    <t>Odour agents</t>
  </si>
  <si>
    <t>oral care</t>
  </si>
  <si>
    <t>oxidizer</t>
  </si>
  <si>
    <t>Oxidising agents</t>
  </si>
  <si>
    <t>ph stabilizer</t>
  </si>
  <si>
    <t>photochemicals</t>
  </si>
  <si>
    <t>Photochemicals</t>
  </si>
  <si>
    <t>preservative</t>
  </si>
  <si>
    <t>processing aid</t>
  </si>
  <si>
    <t>reactive diluent</t>
  </si>
  <si>
    <t>reducer</t>
  </si>
  <si>
    <t>Cleaning/washing agents and additives</t>
  </si>
  <si>
    <t>releaser</t>
  </si>
  <si>
    <t>reprographic agents</t>
  </si>
  <si>
    <t>Reprographic agents</t>
  </si>
  <si>
    <t>rheology modifier</t>
  </si>
  <si>
    <t>semiconductors</t>
  </si>
  <si>
    <t>Semiconductors</t>
  </si>
  <si>
    <t>skin conditioner</t>
  </si>
  <si>
    <t>skin protectant</t>
  </si>
  <si>
    <t>smoother</t>
  </si>
  <si>
    <t>soluble dye</t>
  </si>
  <si>
    <t>surface modifier</t>
  </si>
  <si>
    <t>Softeners</t>
  </si>
  <si>
    <t>surfactant/cleaner</t>
  </si>
  <si>
    <t>tanning agent</t>
  </si>
  <si>
    <t>Tanning agents</t>
  </si>
  <si>
    <t>viscosity controlling agent</t>
  </si>
  <si>
    <t>Viscosity adjusters</t>
  </si>
  <si>
    <t>vulcanizer</t>
  </si>
  <si>
    <t>Vulcanising agents</t>
  </si>
  <si>
    <t>waxing agent</t>
  </si>
  <si>
    <t>welding and soldering agents</t>
  </si>
  <si>
    <t>Welding and soldering agents</t>
  </si>
  <si>
    <t>wetting agent</t>
  </si>
  <si>
    <t>CiP-CAFE</t>
    <phoneticPr fontId="2" type="noConversion"/>
  </si>
  <si>
    <t>UC-description</t>
    <phoneticPr fontId="2" type="noConversion"/>
  </si>
  <si>
    <t>UC-number</t>
    <phoneticPr fontId="2" type="noConversion"/>
  </si>
  <si>
    <t>UV absorber/UV filter</t>
    <phoneticPr fontId="2" type="noConversion"/>
  </si>
  <si>
    <t>emulsifier</t>
    <phoneticPr fontId="2" type="noConversion"/>
  </si>
  <si>
    <t>dispersant</t>
    <phoneticPr fontId="2" type="noConversion"/>
  </si>
  <si>
    <t>additive</t>
    <phoneticPr fontId="2" type="noConversion"/>
  </si>
  <si>
    <t>Anti-set-off and anti-adhesive agents</t>
    <phoneticPr fontId="2" type="noConversion"/>
  </si>
  <si>
    <t>antiperspirant</t>
    <phoneticPr fontId="2" type="noConversion"/>
  </si>
  <si>
    <t>Others</t>
    <phoneticPr fontId="2" type="noConversion"/>
  </si>
  <si>
    <t>flavorant and fragrance</t>
    <phoneticPr fontId="2" type="noConversion"/>
  </si>
  <si>
    <t>Others</t>
    <phoneticPr fontId="2" type="noConversion"/>
  </si>
  <si>
    <t>Stabilisers</t>
    <phoneticPr fontId="2" type="noConversion"/>
  </si>
  <si>
    <t>Colouring agents</t>
    <phoneticPr fontId="2" type="noConversion"/>
  </si>
  <si>
    <t>Pesticides, non-agricultural (Biocides)</t>
    <phoneticPr fontId="2" type="noConversion"/>
  </si>
  <si>
    <t>denaturant</t>
    <phoneticPr fontId="2" type="noConversion"/>
  </si>
  <si>
    <t>propellant</t>
    <phoneticPr fontId="2" type="noConversion"/>
  </si>
  <si>
    <t>filler</t>
    <phoneticPr fontId="2" type="noConversion"/>
  </si>
  <si>
    <t>adhesive/adhesion promoter/binder/sealant/tackifer</t>
    <phoneticPr fontId="2" type="noConversion"/>
  </si>
  <si>
    <t>Min</t>
    <phoneticPr fontId="2" type="noConversion"/>
  </si>
  <si>
    <t>antidandruff</t>
    <phoneticPr fontId="2" type="noConversion"/>
  </si>
  <si>
    <t>depilatory agent</t>
    <phoneticPr fontId="2" type="noConversion"/>
  </si>
  <si>
    <t>Cosmetics</t>
    <phoneticPr fontId="2" type="noConversion"/>
  </si>
  <si>
    <t>Shape parameter</t>
    <phoneticPr fontId="2" type="noConversion"/>
  </si>
  <si>
    <t>Scale parameter</t>
    <phoneticPr fontId="2" type="noConversion"/>
  </si>
  <si>
    <t>Boiling point</t>
    <phoneticPr fontId="2" type="noConversion"/>
  </si>
  <si>
    <t>BP</t>
    <phoneticPr fontId="2" type="noConversion"/>
  </si>
  <si>
    <t>Indoor</t>
    <phoneticPr fontId="2" type="noConversion"/>
  </si>
  <si>
    <t>Outdoor</t>
    <phoneticPr fontId="2" type="noConversion"/>
  </si>
  <si>
    <t>Outdoor</t>
    <phoneticPr fontId="2" type="noConversion"/>
  </si>
  <si>
    <t>Environment</t>
    <phoneticPr fontId="2" type="noConversion"/>
  </si>
  <si>
    <t>Indoor/Outdoor</t>
    <phoneticPr fontId="2" type="noConversion"/>
  </si>
  <si>
    <t>Outdoor</t>
    <phoneticPr fontId="2" type="noConversion"/>
  </si>
  <si>
    <t>refresher</t>
    <phoneticPr fontId="2" type="noConversion"/>
  </si>
  <si>
    <t>rubber additive</t>
    <phoneticPr fontId="2" type="noConversion"/>
  </si>
  <si>
    <t>plasticizer</t>
    <phoneticPr fontId="2" type="noConversion"/>
  </si>
  <si>
    <t>Lifespan (yr)</t>
    <phoneticPr fontId="2" type="noConversion"/>
  </si>
  <si>
    <t>Anti-codensation agents</t>
    <phoneticPr fontId="2" type="noConversion"/>
  </si>
  <si>
    <t>antifilming agent</t>
    <phoneticPr fontId="2" type="noConversion"/>
  </si>
  <si>
    <t>Foaming agents</t>
    <phoneticPr fontId="2" type="noConversion"/>
  </si>
  <si>
    <t>Foaming agents</t>
    <phoneticPr fontId="2" type="noConversion"/>
  </si>
  <si>
    <t>Aerosol propellants</t>
    <phoneticPr fontId="2" type="noConversion"/>
  </si>
  <si>
    <t>Anti-set-off and anti-adhesive agents</t>
  </si>
  <si>
    <t>CiP-CAFE</t>
    <phoneticPr fontId="2" type="noConversion"/>
  </si>
  <si>
    <t>Max</t>
    <phoneticPr fontId="2" type="noConversion"/>
  </si>
  <si>
    <t>emollient/moisturizer/solubilizer/humectant</t>
    <phoneticPr fontId="2" type="noConversion"/>
  </si>
  <si>
    <t>opacifier</t>
    <phoneticPr fontId="2" type="noConversion"/>
  </si>
  <si>
    <t>construction material additives</t>
    <phoneticPr fontId="2" type="noConversion"/>
  </si>
  <si>
    <t>Construction materials and additives</t>
    <phoneticPr fontId="2" type="noConversion"/>
  </si>
  <si>
    <t>Environment</t>
    <phoneticPr fontId="2" type="noConversion"/>
  </si>
  <si>
    <t>SHEDS-HT</t>
    <phoneticPr fontId="2" type="noConversion"/>
  </si>
  <si>
    <t>SH1</t>
    <phoneticPr fontId="2" type="noConversion"/>
  </si>
  <si>
    <t>SH2</t>
    <phoneticPr fontId="2" type="noConversion"/>
  </si>
  <si>
    <t>SH3</t>
    <phoneticPr fontId="2" type="noConversion"/>
  </si>
  <si>
    <t>SH4</t>
    <phoneticPr fontId="2" type="noConversion"/>
  </si>
  <si>
    <t>SH5</t>
    <phoneticPr fontId="2" type="noConversion"/>
  </si>
  <si>
    <t>SH6</t>
    <phoneticPr fontId="2" type="noConversion"/>
  </si>
  <si>
    <t>antimicrobial</t>
    <phoneticPr fontId="2" type="noConversion"/>
  </si>
  <si>
    <t>Min</t>
    <phoneticPr fontId="2" type="noConversion"/>
  </si>
  <si>
    <t>Max</t>
    <phoneticPr fontId="2" type="noConversion"/>
  </si>
  <si>
    <t>Area (m2/m3)</t>
    <phoneticPr fontId="2" type="noConversion"/>
  </si>
  <si>
    <t>Pharmaceuticals</t>
    <phoneticPr fontId="2" type="noConversion"/>
  </si>
  <si>
    <t>Thickness(m)</t>
    <phoneticPr fontId="2" type="noConversion"/>
  </si>
  <si>
    <t>Water</t>
    <phoneticPr fontId="2" type="noConversion"/>
  </si>
  <si>
    <t>Pure phase</t>
    <phoneticPr fontId="2" type="noConversion"/>
  </si>
  <si>
    <t>solvent</t>
    <phoneticPr fontId="2" type="noConversion"/>
  </si>
  <si>
    <t xml:space="preserve"> </t>
  </si>
  <si>
    <t>antioxidant</t>
    <phoneticPr fontId="2" type="noConversion"/>
  </si>
  <si>
    <t>intermediates and raw chemicals</t>
    <phoneticPr fontId="2" type="noConversion"/>
  </si>
  <si>
    <t>Steady-state batch calculation</t>
    <phoneticPr fontId="2" type="noConversion"/>
  </si>
  <si>
    <t>Non-steady-state single-chemical calculation</t>
    <phoneticPr fontId="2" type="noConversion"/>
  </si>
  <si>
    <t>Chemicals in Products - Comprehensive Anthropospheric Fate Estimation</t>
    <phoneticPr fontId="2" type="noConversion"/>
  </si>
  <si>
    <t>Chemical name</t>
    <phoneticPr fontId="2" type="noConversion"/>
  </si>
  <si>
    <t>Sum</t>
  </si>
  <si>
    <t>Chemical</t>
    <phoneticPr fontId="2" type="noConversion"/>
  </si>
  <si>
    <t>Molar Mass
(g/mol)</t>
    <phoneticPr fontId="2" type="noConversion"/>
  </si>
  <si>
    <t>Chemical name</t>
    <phoneticPr fontId="2" type="noConversion"/>
  </si>
  <si>
    <t>CAS number</t>
    <phoneticPr fontId="2" type="noConversion"/>
  </si>
  <si>
    <t>Physicochemical properties</t>
    <phoneticPr fontId="2" type="noConversion"/>
  </si>
  <si>
    <t>Commercial tonnage (t/yr)</t>
    <phoneticPr fontId="2" type="noConversion"/>
  </si>
  <si>
    <t>Application information</t>
    <phoneticPr fontId="2" type="noConversion"/>
  </si>
  <si>
    <t>Best estimate
(optional)</t>
    <phoneticPr fontId="2" type="noConversion"/>
  </si>
  <si>
    <t>Inputs for the steady-state calculation</t>
    <phoneticPr fontId="2" type="noConversion"/>
  </si>
  <si>
    <t>Estimated emissions</t>
    <phoneticPr fontId="2" type="noConversion"/>
  </si>
  <si>
    <t>Technical (commercial) substance</t>
    <phoneticPr fontId="2" type="noConversion"/>
  </si>
  <si>
    <t>Year</t>
    <phoneticPr fontId="2" type="noConversion"/>
  </si>
  <si>
    <t>Annual production in... (t/a)</t>
    <phoneticPr fontId="2" type="noConversion"/>
  </si>
  <si>
    <t>Region1</t>
    <phoneticPr fontId="2" type="noConversion"/>
  </si>
  <si>
    <t>GDP</t>
    <phoneticPr fontId="2" type="noConversion"/>
  </si>
  <si>
    <t>D:\Wait_ChemicalScreening\Manuscript-CiPCAFE\Gridding\POP.txt</t>
    <phoneticPr fontId="2" type="noConversion"/>
  </si>
  <si>
    <t>POP</t>
  </si>
  <si>
    <t>Description</t>
    <phoneticPr fontId="2" type="noConversion"/>
  </si>
  <si>
    <t>Production (or capacity) (t)</t>
    <phoneticPr fontId="2" type="noConversion"/>
  </si>
  <si>
    <t>D:\Wait_ChemicalScreening\Manuscript-CiPCAFE\Gridding\GDPM.txt</t>
    <phoneticPr fontId="2" type="noConversion"/>
  </si>
  <si>
    <t>D:\Wait_ChemicalScreening\Manuscript-CiPCAFE\Gridding\WASTE.txt</t>
    <phoneticPr fontId="2" type="noConversion"/>
  </si>
  <si>
    <t>WASTE</t>
    <phoneticPr fontId="2" type="noConversion"/>
  </si>
  <si>
    <t>For allocating emissions from LC1-Production</t>
    <phoneticPr fontId="2" type="noConversion"/>
  </si>
  <si>
    <t>Latitude (°)</t>
    <phoneticPr fontId="2" type="noConversion"/>
  </si>
  <si>
    <t>Longtitude (°)</t>
    <phoneticPr fontId="2" type="noConversion"/>
  </si>
  <si>
    <t>Geographic distribution of production sites (&lt;50 sites)</t>
    <phoneticPr fontId="2" type="noConversion"/>
  </si>
  <si>
    <t>Select geographic distribution of different sources</t>
    <phoneticPr fontId="2" type="noConversion"/>
  </si>
  <si>
    <t>For industrial sources</t>
    <phoneticPr fontId="2" type="noConversion"/>
  </si>
  <si>
    <t>For consumer use phase</t>
    <phoneticPr fontId="2" type="noConversion"/>
  </si>
  <si>
    <t>For illegal waste handling</t>
    <phoneticPr fontId="2" type="noConversion"/>
  </si>
  <si>
    <t>Regional annual production and trades of the technical substance</t>
    <phoneticPr fontId="2" type="noConversion"/>
  </si>
  <si>
    <t>Region1</t>
    <phoneticPr fontId="2" type="noConversion"/>
  </si>
  <si>
    <t>Region2</t>
    <phoneticPr fontId="2" type="noConversion"/>
  </si>
  <si>
    <t>Region3</t>
    <phoneticPr fontId="2" type="noConversion"/>
  </si>
  <si>
    <t>Region4</t>
    <phoneticPr fontId="2" type="noConversion"/>
  </si>
  <si>
    <t>Region5</t>
    <phoneticPr fontId="2" type="noConversion"/>
  </si>
  <si>
    <t>Region6</t>
    <phoneticPr fontId="2" type="noConversion"/>
  </si>
  <si>
    <t>Region7</t>
    <phoneticPr fontId="2" type="noConversion"/>
  </si>
  <si>
    <t>Application1</t>
    <phoneticPr fontId="2" type="noConversion"/>
  </si>
  <si>
    <t>Application2</t>
  </si>
  <si>
    <t>Application3</t>
  </si>
  <si>
    <t>Application4</t>
  </si>
  <si>
    <t>Application5</t>
  </si>
  <si>
    <t>Fraction used indoors (-)</t>
    <phoneticPr fontId="2" type="noConversion"/>
  </si>
  <si>
    <t>Lifespan distribution function</t>
    <phoneticPr fontId="2" type="noConversion"/>
  </si>
  <si>
    <t>(Either professional or consumer)</t>
    <phoneticPr fontId="2" type="noConversion"/>
  </si>
  <si>
    <t>Indoor/Outdoor</t>
  </si>
  <si>
    <t>Outdoor</t>
  </si>
  <si>
    <t>Information on lifespans of articles in individual applications</t>
    <phoneticPr fontId="2" type="noConversion"/>
  </si>
  <si>
    <t>Physicochemical properties of the chemical</t>
    <phoneticPr fontId="2" type="noConversion"/>
  </si>
  <si>
    <t>Symbol</t>
    <phoneticPr fontId="2" type="noConversion"/>
  </si>
  <si>
    <t>Value</t>
    <phoneticPr fontId="2" type="noConversion"/>
  </si>
  <si>
    <t>Unit</t>
    <phoneticPr fontId="2" type="noConversion"/>
  </si>
  <si>
    <t>Emission, waste and decomposition factors</t>
    <phoneticPr fontId="2" type="noConversion"/>
  </si>
  <si>
    <t>This application started at the year</t>
    <phoneticPr fontId="2" type="noConversion"/>
  </si>
  <si>
    <t>This application ended at the year</t>
    <phoneticPr fontId="2" type="noConversion"/>
  </si>
  <si>
    <t>Center parameter</t>
    <phoneticPr fontId="2" type="noConversion"/>
  </si>
  <si>
    <t>Deviation parameter</t>
    <phoneticPr fontId="2" type="noConversion"/>
  </si>
  <si>
    <t>plasticizer</t>
  </si>
  <si>
    <t>antimicrobial</t>
  </si>
  <si>
    <t>intermediates and raw chemicals</t>
  </si>
  <si>
    <t>Fraction of production exported from...(%)</t>
    <phoneticPr fontId="2" type="noConversion"/>
  </si>
  <si>
    <t>Properties of articles/products</t>
    <phoneticPr fontId="2" type="noConversion"/>
  </si>
  <si>
    <t>* What is difference between articles and products?</t>
    <phoneticPr fontId="2" type="noConversion"/>
  </si>
  <si>
    <t>Article</t>
    <phoneticPr fontId="2" type="noConversion"/>
  </si>
  <si>
    <t>List of materials</t>
  </si>
  <si>
    <t>Water</t>
  </si>
  <si>
    <t>Oil</t>
  </si>
  <si>
    <t>Carpet</t>
  </si>
  <si>
    <t>Cellulose fabric (cotton, linen)</t>
  </si>
  <si>
    <t>Gypsum board</t>
  </si>
  <si>
    <t>Paper</t>
  </si>
  <si>
    <t>Plywood</t>
  </si>
  <si>
    <t>Stainless steel</t>
  </si>
  <si>
    <t>Vinyl flooring</t>
  </si>
  <si>
    <t>coefficient b</t>
    <phoneticPr fontId="2" type="noConversion"/>
  </si>
  <si>
    <t>Calcium silicate</t>
  </si>
  <si>
    <t>Cement</t>
  </si>
  <si>
    <t>τ (K)</t>
    <phoneticPr fontId="2" type="noConversion"/>
  </si>
  <si>
    <t>Glass</t>
    <phoneticPr fontId="2" type="noConversion"/>
  </si>
  <si>
    <t>Ethylene-copolymers</t>
    <phoneticPr fontId="2" type="noConversion"/>
  </si>
  <si>
    <t>Polyethylene</t>
    <phoneticPr fontId="2" type="noConversion"/>
  </si>
  <si>
    <t>Polyurethane</t>
    <phoneticPr fontId="2" type="noConversion"/>
  </si>
  <si>
    <t>Polypropylene</t>
    <phoneticPr fontId="2" type="noConversion"/>
  </si>
  <si>
    <t>Polyethylene terephthalate</t>
    <phoneticPr fontId="2" type="noConversion"/>
  </si>
  <si>
    <t>Polystyrene</t>
    <phoneticPr fontId="2" type="noConversion"/>
  </si>
  <si>
    <t>Wooden</t>
    <phoneticPr fontId="2" type="noConversion"/>
  </si>
  <si>
    <t>Other</t>
    <phoneticPr fontId="2" type="noConversion"/>
  </si>
  <si>
    <t>Solid</t>
  </si>
  <si>
    <t>Liquid</t>
  </si>
  <si>
    <t>Use format</t>
    <phoneticPr fontId="2" type="noConversion"/>
  </si>
  <si>
    <t>Physical status</t>
    <phoneticPr fontId="2" type="noConversion"/>
  </si>
  <si>
    <t>General information</t>
    <phoneticPr fontId="2" type="noConversion"/>
  </si>
  <si>
    <t>Materials</t>
    <phoneticPr fontId="2" type="noConversion"/>
  </si>
  <si>
    <t>Industrial</t>
    <phoneticPr fontId="2" type="noConversion"/>
  </si>
  <si>
    <t>User-defined 1</t>
    <phoneticPr fontId="2" type="noConversion"/>
  </si>
  <si>
    <t>User-defined 2</t>
    <phoneticPr fontId="2" type="noConversion"/>
  </si>
  <si>
    <t>User-defined 3</t>
    <phoneticPr fontId="2" type="noConversion"/>
  </si>
  <si>
    <t>Vapor pressure</t>
    <phoneticPr fontId="2" type="noConversion"/>
  </si>
  <si>
    <t>Pa</t>
    <phoneticPr fontId="2" type="noConversion"/>
  </si>
  <si>
    <t>Ap</t>
    <phoneticPr fontId="2" type="noConversion"/>
  </si>
  <si>
    <t>eA</t>
    <phoneticPr fontId="2" type="noConversion"/>
  </si>
  <si>
    <t>Best estimate</t>
    <phoneticPr fontId="2" type="noConversion"/>
  </si>
  <si>
    <t>N.A.</t>
    <phoneticPr fontId="2" type="noConversion"/>
  </si>
  <si>
    <t>Huang Method</t>
    <phoneticPr fontId="2" type="noConversion"/>
  </si>
  <si>
    <t>Pringer Method</t>
    <phoneticPr fontId="2" type="noConversion"/>
  </si>
  <si>
    <t>Partition coefficient (Kmaterial-air) @25°C</t>
    <phoneticPr fontId="2" type="noConversion"/>
  </si>
  <si>
    <t>Agricutural industry</t>
  </si>
  <si>
    <t>Chemical industry: basic chemicals</t>
  </si>
  <si>
    <t>Chemical industry: chemicals used in synthesis</t>
  </si>
  <si>
    <t>Electronical/electronic industry</t>
  </si>
  <si>
    <t>Personal/domestic</t>
  </si>
  <si>
    <t>Public domain</t>
  </si>
  <si>
    <t>Leather</t>
  </si>
  <si>
    <t>Mineral oil &amp; fuel</t>
  </si>
  <si>
    <t>Photographic industry</t>
  </si>
  <si>
    <t>Polymer &amp; plastics</t>
  </si>
  <si>
    <t>Pulp, paper, &amp; board</t>
  </si>
  <si>
    <t>Textiles</t>
  </si>
  <si>
    <t>Paints, lacquers, &amp; varinshes</t>
  </si>
  <si>
    <t>Civil &amp; mechanical engineering</t>
  </si>
  <si>
    <t>Sum</t>
    <phoneticPr fontId="2" type="noConversion"/>
  </si>
  <si>
    <t>Product</t>
    <phoneticPr fontId="2" type="noConversion"/>
  </si>
  <si>
    <t>Other</t>
  </si>
  <si>
    <t>Metal extraction</t>
  </si>
  <si>
    <t>IC</t>
    <phoneticPr fontId="2" type="noConversion"/>
  </si>
  <si>
    <t>Category-based default values</t>
    <phoneticPr fontId="2" type="noConversion"/>
  </si>
  <si>
    <t>Description/nickname of the application</t>
    <phoneticPr fontId="2" type="noConversion"/>
  </si>
  <si>
    <t>Central parameter</t>
    <phoneticPr fontId="2" type="noConversion"/>
  </si>
  <si>
    <t>Weibull</t>
    <phoneticPr fontId="2" type="noConversion"/>
  </si>
  <si>
    <t>Distribution ratio: Fraction used in each app.</t>
    <phoneticPr fontId="2" type="noConversion"/>
  </si>
  <si>
    <t>Molar volume</t>
    <phoneticPr fontId="2" type="noConversion"/>
  </si>
  <si>
    <t>additive</t>
  </si>
  <si>
    <t>adhesive/adhesion promoter/binder/sealant/tackifer</t>
  </si>
  <si>
    <t>antidandruff</t>
  </si>
  <si>
    <t>antifilming agent</t>
  </si>
  <si>
    <t>antioxidant</t>
  </si>
  <si>
    <t>antiperspirant</t>
  </si>
  <si>
    <t>colorant/painting/whitener</t>
  </si>
  <si>
    <t>construction material additives</t>
  </si>
  <si>
    <t>denaturant</t>
  </si>
  <si>
    <t>depilatory agent</t>
  </si>
  <si>
    <t>dispersant</t>
  </si>
  <si>
    <t>emollient/moisturizer/solubilizer/humectant</t>
  </si>
  <si>
    <t>emulsifier</t>
  </si>
  <si>
    <t>filler</t>
  </si>
  <si>
    <t>flavorant and fragrance</t>
  </si>
  <si>
    <t>hair dye</t>
  </si>
  <si>
    <t>opacifier</t>
  </si>
  <si>
    <t>propellant</t>
  </si>
  <si>
    <t>refresher</t>
  </si>
  <si>
    <t>rubber additive</t>
  </si>
  <si>
    <t>solvent</t>
  </si>
  <si>
    <t>UV absorber/UV filter</t>
  </si>
  <si>
    <t>HC</t>
    <phoneticPr fontId="2" type="noConversion"/>
  </si>
  <si>
    <t>MV</t>
    <phoneticPr fontId="2" type="noConversion"/>
  </si>
  <si>
    <t>Molar weight</t>
    <phoneticPr fontId="2" type="noConversion"/>
  </si>
  <si>
    <t>Properties</t>
    <phoneticPr fontId="2" type="noConversion"/>
  </si>
  <si>
    <t>Inappropriate treatment of end-of-life waste</t>
    <phoneticPr fontId="2" type="noConversion"/>
  </si>
  <si>
    <t>Environmentally sound management of end-of-life waste</t>
    <phoneticPr fontId="2" type="noConversion"/>
  </si>
  <si>
    <t>Fraction of worldwide total exports imported to… (%)</t>
  </si>
  <si>
    <t>Diffusivity in the material (m2/s)</t>
  </si>
  <si>
    <t>Item</t>
    <phoneticPr fontId="2" type="noConversion"/>
  </si>
  <si>
    <t>Partition coefficient @ 25°C: air-water (unitless)</t>
  </si>
  <si>
    <t>Partition coefficient @ 25°C: octanol-air (unitless)</t>
  </si>
  <si>
    <t>Partition coefficient @ 25°C: octanol-water (unitless)</t>
  </si>
  <si>
    <t>Heats of phase transfer: air-water (J/mol)</t>
  </si>
  <si>
    <t>Heats of phase transfer: octanol-water (J/mol)</t>
  </si>
  <si>
    <t>Heats of phase transfer: octanol-air (J/mol)</t>
  </si>
  <si>
    <t>Acid dissociation constant</t>
  </si>
  <si>
    <t>pKa</t>
  </si>
  <si>
    <t>Reaction rate constant in soil (1/h)</t>
  </si>
  <si>
    <t>Reaction rate constant in water (1/h)</t>
  </si>
  <si>
    <t>Active energy: reaction of vapor phase chemical with OH radicals (J/mol)</t>
    <phoneticPr fontId="2" type="noConversion"/>
  </si>
  <si>
    <t>Active energy: reaction in soil (J/mol)</t>
  </si>
  <si>
    <t>Active energy: reaction in water (J/mol)</t>
  </si>
  <si>
    <t>Molar weight (g/mol)</t>
    <phoneticPr fontId="2" type="noConversion"/>
  </si>
  <si>
    <t>Pure phase</t>
  </si>
  <si>
    <t>Calculation ends at chemical #</t>
    <phoneticPr fontId="2" type="noConversion"/>
  </si>
  <si>
    <t>Calculation starts at chemical #</t>
    <phoneticPr fontId="2" type="noConversion"/>
  </si>
  <si>
    <t>Boiling point
BP (°C)</t>
    <phoneticPr fontId="2" type="noConversion"/>
  </si>
  <si>
    <t>°C</t>
    <phoneticPr fontId="2" type="noConversion"/>
  </si>
  <si>
    <t>Name</t>
  </si>
  <si>
    <t>Commercial tonnage (t/yr)</t>
  </si>
  <si>
    <t>Best estimate</t>
  </si>
  <si>
    <t>Emissions (t/yr)</t>
  </si>
  <si>
    <t>Breakdown by receiving compartment</t>
  </si>
  <si>
    <t>Production</t>
  </si>
  <si>
    <t>Industrial</t>
  </si>
  <si>
    <t>Use</t>
  </si>
  <si>
    <t>InService</t>
  </si>
  <si>
    <t>Discard</t>
  </si>
  <si>
    <t>WasteDisposal</t>
  </si>
  <si>
    <t>RAIDAR-ICE input (ng/h)</t>
  </si>
  <si>
    <t>to Air</t>
  </si>
  <si>
    <t>to Skin</t>
  </si>
  <si>
    <t>RAIDAR input (kg/h)</t>
  </si>
  <si>
    <t>Total</t>
  </si>
  <si>
    <t>Air%</t>
  </si>
  <si>
    <t>Water%</t>
  </si>
  <si>
    <t>Soil%</t>
  </si>
  <si>
    <t>Function category</t>
  </si>
  <si>
    <t>Use category</t>
  </si>
  <si>
    <t>Breakdown by lifecycle stage</t>
  </si>
  <si>
    <t>Generate RAIDAR-suites input file</t>
  </si>
  <si>
    <t>Generate Sankey diagram</t>
  </si>
  <si>
    <t>80-05-7</t>
  </si>
  <si>
    <t>App #1</t>
  </si>
  <si>
    <t>App #2</t>
  </si>
  <si>
    <t>App #3</t>
  </si>
  <si>
    <t>App #4</t>
  </si>
  <si>
    <t>App #5</t>
  </si>
  <si>
    <t>Fraction distribution (%)</t>
  </si>
  <si>
    <t>Application</t>
  </si>
  <si>
    <t>Fraction (%)</t>
  </si>
  <si>
    <t>SankeyCode</t>
  </si>
  <si>
    <t>No</t>
  </si>
  <si>
    <t>CalType</t>
  </si>
  <si>
    <t>Calculation starts in the year</t>
  </si>
  <si>
    <t>Calculation ends in the year</t>
  </si>
  <si>
    <t>Degradation rate constant in air</t>
  </si>
  <si>
    <t>LC</t>
  </si>
  <si>
    <t>Industrial processes</t>
  </si>
  <si>
    <t>Instantaneous use</t>
  </si>
  <si>
    <t>In service</t>
  </si>
  <si>
    <t>Obsoleting and discarding</t>
  </si>
  <si>
    <t>WD</t>
  </si>
  <si>
    <t>Wastewater treatment</t>
  </si>
  <si>
    <t>Dumping and simple landfill</t>
  </si>
  <si>
    <t>Recycling and reuse</t>
  </si>
  <si>
    <t>Inappropriate treatment</t>
  </si>
  <si>
    <t>Environmentally sound management</t>
  </si>
  <si>
    <t>ENV</t>
    <phoneticPr fontId="2" type="noConversion"/>
  </si>
  <si>
    <t>Ambient air</t>
    <phoneticPr fontId="2" type="noConversion"/>
  </si>
  <si>
    <t>Surface water</t>
    <phoneticPr fontId="2" type="noConversion"/>
  </si>
  <si>
    <t>Non-industrial soil</t>
    <phoneticPr fontId="2" type="noConversion"/>
  </si>
  <si>
    <t>Indoor air</t>
    <phoneticPr fontId="2" type="noConversion"/>
  </si>
  <si>
    <t>Human skin</t>
    <phoneticPr fontId="2" type="noConversion"/>
  </si>
  <si>
    <t>For regions</t>
    <phoneticPr fontId="2" type="noConversion"/>
  </si>
  <si>
    <t>For scenarios</t>
    <phoneticPr fontId="2" type="noConversion"/>
  </si>
  <si>
    <t>Multipliers for emission factors (=1 if not entered)</t>
    <phoneticPr fontId="2" type="noConversion"/>
  </si>
  <si>
    <t>(No decomposition if not entered)</t>
    <phoneticPr fontId="2" type="noConversion"/>
  </si>
  <si>
    <r>
      <t>g mol</t>
    </r>
    <r>
      <rPr>
        <vertAlign val="superscript"/>
        <sz val="10.5"/>
        <color theme="1"/>
        <rFont val="Arial"/>
        <family val="2"/>
      </rPr>
      <t>-1</t>
    </r>
  </si>
  <si>
    <r>
      <t>cm</t>
    </r>
    <r>
      <rPr>
        <vertAlign val="superscript"/>
        <sz val="10.5"/>
        <color theme="1"/>
        <rFont val="Arial"/>
        <family val="2"/>
      </rPr>
      <t>3</t>
    </r>
    <r>
      <rPr>
        <sz val="10.5"/>
        <color theme="1"/>
        <rFont val="Arial"/>
        <family val="2"/>
      </rPr>
      <t xml:space="preserve"> mol</t>
    </r>
    <r>
      <rPr>
        <vertAlign val="superscript"/>
        <sz val="10.5"/>
        <color theme="1"/>
        <rFont val="Arial"/>
        <family val="2"/>
      </rPr>
      <t>-1</t>
    </r>
  </si>
  <si>
    <r>
      <t>K</t>
    </r>
    <r>
      <rPr>
        <vertAlign val="subscript"/>
        <sz val="10.5"/>
        <color theme="1"/>
        <rFont val="Arial"/>
        <family val="2"/>
      </rPr>
      <t>OW</t>
    </r>
  </si>
  <si>
    <r>
      <t>K</t>
    </r>
    <r>
      <rPr>
        <vertAlign val="subscript"/>
        <sz val="10.5"/>
        <color theme="1"/>
        <rFont val="Arial"/>
        <family val="2"/>
      </rPr>
      <t>AW</t>
    </r>
  </si>
  <si>
    <r>
      <t>K</t>
    </r>
    <r>
      <rPr>
        <vertAlign val="subscript"/>
        <sz val="10.5"/>
        <color theme="1"/>
        <rFont val="Arial"/>
        <family val="2"/>
      </rPr>
      <t>OA</t>
    </r>
  </si>
  <si>
    <r>
      <t>ΔU</t>
    </r>
    <r>
      <rPr>
        <vertAlign val="subscript"/>
        <sz val="10.5"/>
        <color theme="1"/>
        <rFont val="Arial"/>
        <family val="2"/>
      </rPr>
      <t>OW</t>
    </r>
  </si>
  <si>
    <r>
      <t>J mol</t>
    </r>
    <r>
      <rPr>
        <vertAlign val="superscript"/>
        <sz val="10.5"/>
        <color theme="1"/>
        <rFont val="Arial"/>
        <family val="2"/>
      </rPr>
      <t>-1</t>
    </r>
  </si>
  <si>
    <r>
      <t>ΔU</t>
    </r>
    <r>
      <rPr>
        <vertAlign val="subscript"/>
        <sz val="10.5"/>
        <color theme="1"/>
        <rFont val="Arial"/>
        <family val="2"/>
      </rPr>
      <t>AW</t>
    </r>
  </si>
  <si>
    <r>
      <t>ΔU</t>
    </r>
    <r>
      <rPr>
        <vertAlign val="subscript"/>
        <sz val="10.5"/>
        <color theme="1"/>
        <rFont val="Arial"/>
        <family val="2"/>
      </rPr>
      <t>OA</t>
    </r>
  </si>
  <si>
    <r>
      <t>k</t>
    </r>
    <r>
      <rPr>
        <vertAlign val="subscript"/>
        <sz val="10.5"/>
        <color theme="1"/>
        <rFont val="Arial"/>
        <family val="2"/>
      </rPr>
      <t>air</t>
    </r>
  </si>
  <si>
    <r>
      <t>h</t>
    </r>
    <r>
      <rPr>
        <vertAlign val="superscript"/>
        <sz val="10.5"/>
        <color theme="1"/>
        <rFont val="Arial"/>
        <family val="2"/>
      </rPr>
      <t>-1</t>
    </r>
  </si>
  <si>
    <r>
      <t>k</t>
    </r>
    <r>
      <rPr>
        <vertAlign val="subscript"/>
        <sz val="10.5"/>
        <color theme="1"/>
        <rFont val="Arial"/>
        <family val="2"/>
      </rPr>
      <t>solid</t>
    </r>
  </si>
  <si>
    <r>
      <t>k</t>
    </r>
    <r>
      <rPr>
        <vertAlign val="subscript"/>
        <sz val="10.5"/>
        <color theme="1"/>
        <rFont val="Arial"/>
        <family val="2"/>
      </rPr>
      <t>water</t>
    </r>
  </si>
  <si>
    <r>
      <t>AE</t>
    </r>
    <r>
      <rPr>
        <vertAlign val="subscript"/>
        <sz val="10.5"/>
        <color theme="1"/>
        <rFont val="Arial"/>
        <family val="2"/>
      </rPr>
      <t xml:space="preserve">air </t>
    </r>
  </si>
  <si>
    <r>
      <t>AE</t>
    </r>
    <r>
      <rPr>
        <vertAlign val="subscript"/>
        <sz val="10.5"/>
        <color theme="1"/>
        <rFont val="Arial"/>
        <family val="2"/>
      </rPr>
      <t>solid</t>
    </r>
  </si>
  <si>
    <r>
      <t>AE</t>
    </r>
    <r>
      <rPr>
        <vertAlign val="subscript"/>
        <sz val="10.5"/>
        <color theme="1"/>
        <rFont val="Arial"/>
        <family val="2"/>
      </rPr>
      <t xml:space="preserve">water </t>
    </r>
  </si>
  <si>
    <t>Boiling point</t>
  </si>
  <si>
    <t>BP</t>
  </si>
  <si>
    <t>USA</t>
  </si>
  <si>
    <t>International trade of end-of-life waste</t>
  </si>
  <si>
    <t>International trade of end products</t>
  </si>
  <si>
    <t>Ambient air</t>
  </si>
  <si>
    <t>Surface water</t>
  </si>
  <si>
    <t>Non-industrial soil</t>
  </si>
  <si>
    <t>Indoor air</t>
  </si>
  <si>
    <t>Human skin</t>
  </si>
  <si>
    <t>BDE209</t>
  </si>
  <si>
    <t>Generate fate modeling input file</t>
  </si>
  <si>
    <t>Generate heatmap</t>
  </si>
  <si>
    <t>BDE28</t>
  </si>
  <si>
    <t>PCB180</t>
  </si>
  <si>
    <t>BDE15</t>
  </si>
  <si>
    <t>PCB28</t>
  </si>
  <si>
    <t>PCB52</t>
  </si>
  <si>
    <t>PCB118</t>
  </si>
  <si>
    <t>PCB153</t>
  </si>
  <si>
    <t>BDE47</t>
  </si>
  <si>
    <t>BDE99</t>
  </si>
  <si>
    <t>BDE153</t>
  </si>
  <si>
    <t>BDE183</t>
  </si>
  <si>
    <t>PCB8</t>
  </si>
  <si>
    <t>Monsanto, UK</t>
  </si>
  <si>
    <t>S.A.Cros, Spain</t>
  </si>
  <si>
    <t>Prodelec, France</t>
  </si>
  <si>
    <t>Caffaro, Italy</t>
  </si>
  <si>
    <t>Bayer, West Germany</t>
  </si>
  <si>
    <t>Chemko, Czechoslovakia</t>
  </si>
  <si>
    <t>Xi'an China</t>
  </si>
  <si>
    <t>Electrochemical Company &amp; Zaklady Azotowe, Poland</t>
  </si>
  <si>
    <t>Orgsteklo &amp; Orgsintez, USSR</t>
  </si>
  <si>
    <t>Kanegafuchi, Japan</t>
  </si>
  <si>
    <t>Geneva Industries, USA</t>
  </si>
  <si>
    <t>Reaction rate constant in air (1/h)</t>
  </si>
  <si>
    <r>
      <t>Molar volume (cm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/mol)</t>
    </r>
  </si>
  <si>
    <r>
      <t>K</t>
    </r>
    <r>
      <rPr>
        <vertAlign val="subscript"/>
        <sz val="10"/>
        <color theme="1"/>
        <rFont val="Arial"/>
        <family val="2"/>
      </rPr>
      <t>OW</t>
    </r>
  </si>
  <si>
    <r>
      <t>K</t>
    </r>
    <r>
      <rPr>
        <vertAlign val="subscript"/>
        <sz val="10"/>
        <color theme="1"/>
        <rFont val="Arial"/>
        <family val="2"/>
      </rPr>
      <t>AW</t>
    </r>
  </si>
  <si>
    <r>
      <t>K</t>
    </r>
    <r>
      <rPr>
        <vertAlign val="subscript"/>
        <sz val="10"/>
        <color theme="1"/>
        <rFont val="Arial"/>
        <family val="2"/>
      </rPr>
      <t>OA</t>
    </r>
  </si>
  <si>
    <r>
      <t>ΔU</t>
    </r>
    <r>
      <rPr>
        <vertAlign val="subscript"/>
        <sz val="10"/>
        <color theme="1"/>
        <rFont val="Arial"/>
        <family val="2"/>
      </rPr>
      <t>OW</t>
    </r>
  </si>
  <si>
    <r>
      <t>ΔU</t>
    </r>
    <r>
      <rPr>
        <vertAlign val="subscript"/>
        <sz val="10"/>
        <color theme="1"/>
        <rFont val="Arial"/>
        <family val="2"/>
      </rPr>
      <t>AW</t>
    </r>
  </si>
  <si>
    <r>
      <t>ΔU</t>
    </r>
    <r>
      <rPr>
        <vertAlign val="subscript"/>
        <sz val="10"/>
        <color theme="1"/>
        <rFont val="Arial"/>
        <family val="2"/>
      </rPr>
      <t>OA</t>
    </r>
  </si>
  <si>
    <r>
      <t>k</t>
    </r>
    <r>
      <rPr>
        <vertAlign val="subscript"/>
        <sz val="10"/>
        <color theme="1"/>
        <rFont val="Arial"/>
        <family val="2"/>
      </rPr>
      <t>air</t>
    </r>
  </si>
  <si>
    <r>
      <t>k</t>
    </r>
    <r>
      <rPr>
        <vertAlign val="subscript"/>
        <sz val="10"/>
        <color theme="1"/>
        <rFont val="Arial"/>
        <family val="2"/>
      </rPr>
      <t>soil</t>
    </r>
  </si>
  <si>
    <r>
      <t>k</t>
    </r>
    <r>
      <rPr>
        <vertAlign val="subscript"/>
        <sz val="10"/>
        <color theme="1"/>
        <rFont val="Arial"/>
        <family val="2"/>
      </rPr>
      <t>water</t>
    </r>
  </si>
  <si>
    <r>
      <t>AE</t>
    </r>
    <r>
      <rPr>
        <vertAlign val="subscript"/>
        <sz val="10"/>
        <color theme="1"/>
        <rFont val="Arial"/>
        <family val="2"/>
      </rPr>
      <t xml:space="preserve">air </t>
    </r>
  </si>
  <si>
    <r>
      <t>AE</t>
    </r>
    <r>
      <rPr>
        <vertAlign val="subscript"/>
        <sz val="10"/>
        <color theme="1"/>
        <rFont val="Arial"/>
        <family val="2"/>
      </rPr>
      <t xml:space="preserve">soil </t>
    </r>
  </si>
  <si>
    <r>
      <t>AE</t>
    </r>
    <r>
      <rPr>
        <vertAlign val="subscript"/>
        <sz val="10"/>
        <color theme="1"/>
        <rFont val="Arial"/>
        <family val="2"/>
      </rPr>
      <t xml:space="preserve">water </t>
    </r>
  </si>
  <si>
    <t>Time-independent</t>
  </si>
  <si>
    <t>Partition coefficient</t>
    <phoneticPr fontId="2" type="noConversion"/>
  </si>
  <si>
    <t>Diffusivity in the material</t>
    <phoneticPr fontId="2" type="noConversion"/>
  </si>
  <si>
    <t>Results</t>
    <phoneticPr fontId="2" type="noConversion"/>
  </si>
  <si>
    <t>Parameters for calculation</t>
    <phoneticPr fontId="2" type="noConversion"/>
  </si>
  <si>
    <t>Harmonized functional category</t>
    <phoneticPr fontId="2" type="noConversion"/>
  </si>
  <si>
    <t>Match with the EU's Technical Guidance Document</t>
    <phoneticPr fontId="2" type="noConversion"/>
  </si>
  <si>
    <t>IC category</t>
    <phoneticPr fontId="2" type="noConversion"/>
  </si>
  <si>
    <r>
      <t xml:space="preserve">This dataset is taken from Breivik et al., </t>
    </r>
    <r>
      <rPr>
        <i/>
        <sz val="10"/>
        <color theme="1"/>
        <rFont val="Arial"/>
        <family val="2"/>
      </rPr>
      <t>J. Environ. Monit.</t>
    </r>
    <r>
      <rPr>
        <sz val="10"/>
        <color theme="1"/>
        <rFont val="Arial"/>
        <family val="2"/>
      </rPr>
      <t>, 2012,14, 2028-2037</t>
    </r>
    <phoneticPr fontId="2" type="noConversion"/>
  </si>
  <si>
    <t>Frequency of each dossier's UC/IC combination among dossiers of 1264 chemicals in the European chemical Substances Information System (ESIS) database</t>
    <phoneticPr fontId="2" type="noConversion"/>
  </si>
  <si>
    <t>1a</t>
    <phoneticPr fontId="2" type="noConversion"/>
  </si>
  <si>
    <t>Main category</t>
    <phoneticPr fontId="2" type="noConversion"/>
  </si>
  <si>
    <t>Industrial category</t>
    <phoneticPr fontId="2" type="noConversion"/>
  </si>
  <si>
    <t>Use catergory</t>
    <phoneticPr fontId="2" type="noConversion"/>
  </si>
  <si>
    <t>Industrial</t>
    <phoneticPr fontId="2" type="noConversion"/>
  </si>
  <si>
    <t>Use format</t>
    <phoneticPr fontId="2" type="noConversion"/>
  </si>
  <si>
    <t>Article</t>
    <phoneticPr fontId="2" type="noConversion"/>
  </si>
  <si>
    <t>Product</t>
    <phoneticPr fontId="2" type="noConversion"/>
  </si>
  <si>
    <t>hair product (conditioner/dye/fixer/waving straightener)</t>
    <phoneticPr fontId="2" type="noConversion"/>
  </si>
  <si>
    <t>skin care (conditioner/protectant)</t>
    <phoneticPr fontId="2" type="noConversion"/>
  </si>
  <si>
    <t>Number of harmonized "functional categories"</t>
    <phoneticPr fontId="2" type="noConversion"/>
  </si>
  <si>
    <t>Application1</t>
  </si>
  <si>
    <t>Selected industrial categories</t>
    <phoneticPr fontId="2" type="noConversion"/>
  </si>
  <si>
    <t>Distribution among the selected industrial categories</t>
    <phoneticPr fontId="2" type="noConversion"/>
  </si>
  <si>
    <t xml:space="preserve"> </t>
    <phoneticPr fontId="2" type="noConversion"/>
  </si>
  <si>
    <t>Thickness of material (m; optional)</t>
    <phoneticPr fontId="2" type="noConversion"/>
  </si>
  <si>
    <t>Application duration (min/day; optional)</t>
    <phoneticPr fontId="2" type="noConversion"/>
  </si>
  <si>
    <t>Partition coefficient (material and air) @25°C</t>
    <phoneticPr fontId="2" type="noConversion"/>
  </si>
  <si>
    <r>
      <t>Diffusivity within the material (m</t>
    </r>
    <r>
      <rPr>
        <vertAlign val="superscript"/>
        <sz val="10.5"/>
        <color theme="1"/>
        <rFont val="Arial"/>
        <family val="2"/>
      </rPr>
      <t>2</t>
    </r>
    <r>
      <rPr>
        <sz val="10.5"/>
        <color theme="1"/>
        <rFont val="Arial"/>
        <family val="2"/>
      </rPr>
      <t>/s) @25°C</t>
    </r>
    <phoneticPr fontId="2" type="noConversion"/>
  </si>
  <si>
    <t>Mainland China</t>
    <phoneticPr fontId="2" type="noConversion"/>
  </si>
  <si>
    <t>RE</t>
    <phoneticPr fontId="2" type="noConversion"/>
  </si>
  <si>
    <t>East Asia and Pacific industrial economics</t>
    <phoneticPr fontId="2" type="noConversion"/>
  </si>
  <si>
    <t>Russia, South, Southeast Asia</t>
    <phoneticPr fontId="2" type="noConversion"/>
  </si>
  <si>
    <t>East Europe</t>
    <phoneticPr fontId="2" type="noConversion"/>
  </si>
  <si>
    <t>West Europe</t>
    <phoneticPr fontId="2" type="noConversion"/>
  </si>
  <si>
    <t>North America</t>
    <phoneticPr fontId="2" type="noConversion"/>
  </si>
  <si>
    <t>Rest of the world</t>
    <phoneticPr fontId="2" type="noConversion"/>
  </si>
  <si>
    <t>User's note</t>
    <phoneticPr fontId="2" type="noConversion"/>
  </si>
  <si>
    <t>Bisphenol A</t>
    <phoneticPr fontId="2" type="noConversion"/>
  </si>
  <si>
    <r>
      <t>Molar Volume
(cm</t>
    </r>
    <r>
      <rPr>
        <vertAlign val="superscript"/>
        <sz val="10.5"/>
        <color theme="1"/>
        <rFont val="Arial"/>
        <family val="2"/>
      </rPr>
      <t>3</t>
    </r>
    <r>
      <rPr>
        <sz val="10.5"/>
        <color theme="1"/>
        <rFont val="Arial"/>
        <family val="2"/>
      </rPr>
      <t>/mol)</t>
    </r>
    <phoneticPr fontId="2" type="noConversion"/>
  </si>
  <si>
    <r>
      <t>K</t>
    </r>
    <r>
      <rPr>
        <vertAlign val="subscript"/>
        <sz val="10.5"/>
        <color theme="1"/>
        <rFont val="Arial"/>
        <family val="2"/>
      </rPr>
      <t>OW</t>
    </r>
    <phoneticPr fontId="2" type="noConversion"/>
  </si>
  <si>
    <r>
      <t>either K</t>
    </r>
    <r>
      <rPr>
        <vertAlign val="subscript"/>
        <sz val="10.5"/>
        <color theme="1"/>
        <rFont val="Arial"/>
        <family val="2"/>
      </rPr>
      <t>AW</t>
    </r>
    <phoneticPr fontId="2" type="noConversion"/>
  </si>
  <si>
    <r>
      <t>or K</t>
    </r>
    <r>
      <rPr>
        <vertAlign val="subscript"/>
        <sz val="10.5"/>
        <color theme="1"/>
        <rFont val="Arial"/>
        <family val="2"/>
      </rPr>
      <t>OA</t>
    </r>
    <phoneticPr fontId="2" type="noConversion"/>
  </si>
  <si>
    <r>
      <t>Half-life in air
HL</t>
    </r>
    <r>
      <rPr>
        <vertAlign val="subscript"/>
        <sz val="10.5"/>
        <color theme="1"/>
        <rFont val="Arial"/>
        <family val="2"/>
      </rPr>
      <t xml:space="preserve">air </t>
    </r>
    <r>
      <rPr>
        <sz val="10.5"/>
        <color theme="1"/>
        <rFont val="Arial"/>
        <family val="2"/>
      </rPr>
      <t>(h)</t>
    </r>
    <phoneticPr fontId="2" type="noConversion"/>
  </si>
  <si>
    <r>
      <t>Half-life in solid
HL</t>
    </r>
    <r>
      <rPr>
        <vertAlign val="subscript"/>
        <sz val="10.5"/>
        <color theme="1"/>
        <rFont val="Arial"/>
        <family val="2"/>
      </rPr>
      <t xml:space="preserve">solid </t>
    </r>
    <r>
      <rPr>
        <sz val="10.5"/>
        <color theme="1"/>
        <rFont val="Arial"/>
        <family val="2"/>
      </rPr>
      <t>(h)</t>
    </r>
    <phoneticPr fontId="2" type="noConversion"/>
  </si>
  <si>
    <r>
      <t>Half-life in water
HL</t>
    </r>
    <r>
      <rPr>
        <vertAlign val="subscript"/>
        <sz val="10.5"/>
        <color theme="1"/>
        <rFont val="Arial"/>
        <family val="2"/>
      </rPr>
      <t xml:space="preserve">water </t>
    </r>
    <r>
      <rPr>
        <sz val="10.5"/>
        <color theme="1"/>
        <rFont val="Arial"/>
        <family val="2"/>
      </rPr>
      <t>(h)</t>
    </r>
    <phoneticPr fontId="2" type="noConversion"/>
  </si>
  <si>
    <t>WriteSomething</t>
    <phoneticPr fontId="2" type="noConversion"/>
  </si>
  <si>
    <t>Configurations for outputing gridded emission estimates to environmental fate models</t>
    <phoneticPr fontId="2" type="noConversion"/>
  </si>
  <si>
    <t>Automatic</t>
  </si>
  <si>
    <t>How do you want to parameterize CiP-CAFE?</t>
  </si>
  <si>
    <t>colorant/painting/whitener/coating</t>
  </si>
  <si>
    <t>Yes</t>
  </si>
  <si>
    <t>Water solubility</t>
  </si>
  <si>
    <t>mol/L</t>
  </si>
  <si>
    <t>Optional parameters</t>
  </si>
  <si>
    <t>Melting point</t>
  </si>
  <si>
    <t>MP</t>
  </si>
  <si>
    <r>
      <t>S</t>
    </r>
    <r>
      <rPr>
        <vertAlign val="subscript"/>
        <sz val="10.5"/>
        <color theme="1"/>
        <rFont val="Arial"/>
        <family val="2"/>
      </rPr>
      <t>W</t>
    </r>
  </si>
  <si>
    <r>
      <t>V</t>
    </r>
    <r>
      <rPr>
        <vertAlign val="subscript"/>
        <sz val="10.5"/>
        <color theme="1"/>
        <rFont val="Arial"/>
        <family val="2"/>
      </rPr>
      <t>P</t>
    </r>
  </si>
  <si>
    <t>Version 2.0 @ Jan. 2022 | This run starts at 1/9/2022 1:58:49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</si>
</sst>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E+00"/>
    <numFmt numFmtId="165" formatCode="0.0"/>
    <numFmt numFmtId="166" formatCode="0.0%"/>
    <numFmt numFmtId="167" formatCode="0.0000"/>
  </numFmts>
  <fonts count="47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0.5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C00000"/>
      <name val="Arial"/>
      <family val="2"/>
    </font>
    <font>
      <sz val="10.5"/>
      <color theme="1"/>
      <name val="Roboto"/>
    </font>
    <font>
      <b/>
      <sz val="10.5"/>
      <color theme="1"/>
      <name val="Roboto"/>
    </font>
    <font>
      <sz val="11"/>
      <color theme="1"/>
      <name val="Roboto"/>
    </font>
    <font>
      <b/>
      <sz val="14"/>
      <color rgb="FF0081E2"/>
      <name val="Roboto"/>
    </font>
    <font>
      <sz val="10.5"/>
      <name val="Roboto"/>
    </font>
    <font>
      <sz val="10.5"/>
      <color theme="0"/>
      <name val="Roboto"/>
    </font>
    <font>
      <sz val="10"/>
      <color rgb="FF000000"/>
      <name val="Arial"/>
      <family val="2"/>
    </font>
    <font>
      <b/>
      <u/>
      <sz val="9"/>
      <color indexed="81"/>
      <name val="Tahoma"/>
      <family val="2"/>
    </font>
    <font>
      <b/>
      <sz val="10.5"/>
      <color rgb="FF000000"/>
      <name val="Arial"/>
      <family val="2"/>
    </font>
    <font>
      <sz val="10.5"/>
      <color rgb="FF000000"/>
      <name val="Arial"/>
      <family val="2"/>
    </font>
    <font>
      <b/>
      <sz val="10"/>
      <color rgb="FF00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4"/>
      <color rgb="FF0081E2"/>
      <name val="Arial"/>
      <family val="2"/>
    </font>
    <font>
      <b/>
      <sz val="10.5"/>
      <color theme="1"/>
      <name val="Arial"/>
      <family val="2"/>
    </font>
    <font>
      <sz val="10.5"/>
      <color theme="0"/>
      <name val="Arial"/>
      <family val="2"/>
    </font>
    <font>
      <b/>
      <sz val="10.5"/>
      <color theme="0"/>
      <name val="Arial"/>
      <family val="2"/>
    </font>
    <font>
      <vertAlign val="superscript"/>
      <sz val="10.5"/>
      <color theme="1"/>
      <name val="Arial"/>
      <family val="2"/>
    </font>
    <font>
      <vertAlign val="subscript"/>
      <sz val="10.5"/>
      <color theme="1"/>
      <name val="Arial"/>
      <family val="2"/>
    </font>
    <font>
      <sz val="10"/>
      <color theme="0"/>
      <name val="Arial"/>
      <family val="2"/>
    </font>
    <font>
      <sz val="10.5"/>
      <color rgb="FF0081E2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24"/>
      <color theme="0"/>
      <name val="Arial"/>
      <family val="2"/>
    </font>
    <font>
      <b/>
      <sz val="11"/>
      <color theme="7" tint="0.59999389629810485"/>
      <name val="Arial"/>
      <family val="2"/>
    </font>
    <font>
      <sz val="11"/>
      <color rgb="FF0070C0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0" tint="-0.249977111117893"/>
      <name val="Arial"/>
      <family val="2"/>
    </font>
    <font>
      <b/>
      <u/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i/>
      <sz val="10"/>
      <color theme="1"/>
      <name val="Arial"/>
      <family val="2"/>
    </font>
    <font>
      <b/>
      <sz val="22"/>
      <color theme="0"/>
      <name val="Arial"/>
      <family val="2"/>
    </font>
    <font>
      <b/>
      <sz val="10"/>
      <color theme="0"/>
      <name val="Arial"/>
      <family val="2"/>
    </font>
    <font>
      <sz val="10.5"/>
      <color theme="0" tint="-0.499984740745262"/>
      <name val="Arial"/>
      <family val="2"/>
    </font>
    <font>
      <b/>
      <sz val="10.5"/>
      <color theme="0" tint="-0.49998474074526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1E2"/>
        <bgColor indexed="64"/>
      </patternFill>
    </fill>
    <fill>
      <patternFill patternType="solid">
        <fgColor rgb="FFD9E1F2"/>
        <bgColor indexed="64"/>
      </patternFill>
    </fill>
  </fills>
  <borders count="14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theme="8" tint="0.79998168889431442"/>
      </left>
      <right style="medium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medium">
        <color theme="8" tint="0.79998168889431442"/>
      </right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medium">
        <color theme="8" tint="0.79998168889431442"/>
      </right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medium">
        <color theme="8" tint="0.79998168889431442"/>
      </right>
      <top/>
      <bottom style="thin">
        <color theme="8" tint="0.79998168889431442"/>
      </bottom>
      <diagonal/>
    </border>
    <border>
      <left style="thin">
        <color rgb="FF0070C0"/>
      </left>
      <right style="thin">
        <color rgb="FF0070C0"/>
      </right>
      <top style="medium">
        <color theme="8" tint="0.79998168889431442"/>
      </top>
      <bottom/>
      <diagonal/>
    </border>
    <border>
      <left style="thin">
        <color rgb="FF0070C0"/>
      </left>
      <right style="medium">
        <color theme="8" tint="0.79998168889431442"/>
      </right>
      <top style="medium">
        <color theme="8" tint="0.79998168889431442"/>
      </top>
      <bottom/>
      <diagonal/>
    </border>
    <border>
      <left/>
      <right style="thin">
        <color rgb="FF0070C0"/>
      </right>
      <top style="medium">
        <color theme="8" tint="0.79998168889431442"/>
      </top>
      <bottom/>
      <diagonal/>
    </border>
    <border>
      <left style="medium">
        <color theme="8" tint="0.79998168889431442"/>
      </left>
      <right style="medium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rgb="FF0070C0"/>
      </left>
      <right style="medium">
        <color rgb="FF0070C0"/>
      </right>
      <top style="medium">
        <color theme="0"/>
      </top>
      <bottom/>
      <diagonal/>
    </border>
    <border>
      <left/>
      <right style="thin">
        <color rgb="FF0070C0"/>
      </right>
      <top style="medium">
        <color theme="0"/>
      </top>
      <bottom/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medium">
        <color theme="8" tint="0.79998168889431442"/>
      </right>
      <top/>
      <bottom style="thin">
        <color theme="8" tint="0.79998168889431442"/>
      </bottom>
      <diagonal/>
    </border>
    <border>
      <left/>
      <right style="medium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medium">
        <color theme="0"/>
      </right>
      <top/>
      <bottom style="thin">
        <color theme="8" tint="0.79998168889431442"/>
      </bottom>
      <diagonal/>
    </border>
    <border>
      <left style="medium">
        <color theme="8" tint="0.79998168889431442"/>
      </left>
      <right/>
      <top/>
      <bottom style="thin">
        <color theme="8" tint="0.79998168889431442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rgb="FF0070C0"/>
      </left>
      <right style="medium">
        <color theme="0"/>
      </right>
      <top style="medium">
        <color theme="8" tint="0.79998168889431442"/>
      </top>
      <bottom/>
      <diagonal/>
    </border>
    <border>
      <left/>
      <right style="medium">
        <color theme="0"/>
      </right>
      <top style="hair">
        <color theme="0"/>
      </top>
      <bottom style="hair">
        <color theme="0"/>
      </bottom>
      <diagonal/>
    </border>
    <border>
      <left/>
      <right style="thin">
        <color rgb="FF0070C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70C0"/>
      </left>
      <right style="thin">
        <color theme="0" tint="-0.249977111117893"/>
      </right>
      <top style="medium">
        <color rgb="FF0070C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70C0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70C0"/>
      </right>
      <top style="medium">
        <color rgb="FF0070C0"/>
      </top>
      <bottom style="thin">
        <color theme="0" tint="-0.249977111117893"/>
      </bottom>
      <diagonal/>
    </border>
    <border>
      <left style="medium">
        <color rgb="FF0070C0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70C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70C0"/>
      </left>
      <right style="thin">
        <color theme="0" tint="-0.249977111117893"/>
      </right>
      <top style="thin">
        <color theme="0" tint="-0.249977111117893"/>
      </top>
      <bottom style="medium">
        <color rgb="FF0070C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0070C0"/>
      </bottom>
      <diagonal/>
    </border>
    <border>
      <left style="thin">
        <color theme="0" tint="-0.249977111117893"/>
      </left>
      <right style="medium">
        <color rgb="FF0070C0"/>
      </right>
      <top style="thin">
        <color theme="0" tint="-0.249977111117893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thin">
        <color theme="0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thin">
        <color theme="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 style="thin">
        <color theme="0" tint="-0.249977111117893"/>
      </top>
      <bottom style="medium">
        <color rgb="FF0070C0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 style="medium">
        <color rgb="FF0081E2"/>
      </left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81E2"/>
      </left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thin">
        <color theme="0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medium">
        <color rgb="FF0081E2"/>
      </right>
      <top style="medium">
        <color rgb="FF0081E2"/>
      </top>
      <bottom style="medium">
        <color rgb="FF0070C0"/>
      </bottom>
      <diagonal/>
    </border>
    <border>
      <left style="medium">
        <color rgb="FF0081E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/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/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/>
      <bottom style="medium">
        <color rgb="FF0081E2"/>
      </bottom>
      <diagonal/>
    </border>
    <border>
      <left style="thin">
        <color rgb="FF0066FF"/>
      </left>
      <right style="thin">
        <color theme="0"/>
      </right>
      <top style="thin">
        <color rgb="FF0066FF"/>
      </top>
      <bottom style="thin">
        <color rgb="FF0066FF"/>
      </bottom>
      <diagonal/>
    </border>
    <border>
      <left style="medium">
        <color rgb="FF0070C0"/>
      </left>
      <right style="thin">
        <color theme="0"/>
      </right>
      <top style="thin">
        <color rgb="FF0066FF"/>
      </top>
      <bottom style="thin">
        <color rgb="FF0066FF"/>
      </bottom>
      <diagonal/>
    </border>
    <border>
      <left style="medium">
        <color rgb="FF0070C0"/>
      </left>
      <right style="thin">
        <color rgb="FF0066FF"/>
      </right>
      <top style="thin">
        <color rgb="FF0066FF"/>
      </top>
      <bottom style="thin">
        <color rgb="FF0066FF"/>
      </bottom>
      <diagonal/>
    </border>
    <border>
      <left style="medium">
        <color rgb="FF0081E2"/>
      </left>
      <right style="thin">
        <color theme="0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/>
      <diagonal/>
    </border>
    <border>
      <left style="medium">
        <color rgb="FF0081E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81E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81E2"/>
      </top>
      <bottom/>
      <diagonal/>
    </border>
    <border>
      <left style="medium">
        <color rgb="FF0070C0"/>
      </left>
      <right style="medium">
        <color rgb="FF0081E2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/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34998626667073579"/>
      </right>
      <top style="thin">
        <color theme="0" tint="-0.34998626667073579"/>
      </top>
      <bottom style="medium">
        <color rgb="FF0081E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rgb="FF0081E2"/>
      </bottom>
      <diagonal/>
    </border>
    <border>
      <left style="thin">
        <color theme="0" tint="-0.34998626667073579"/>
      </left>
      <right style="medium">
        <color rgb="FF0081E2"/>
      </right>
      <top style="thin">
        <color theme="0" tint="-0.34998626667073579"/>
      </top>
      <bottom style="medium">
        <color rgb="FF0081E2"/>
      </bottom>
      <diagonal/>
    </border>
    <border>
      <left/>
      <right style="medium">
        <color rgb="FF0081E2"/>
      </right>
      <top style="thin">
        <color theme="0" tint="-0.249977111117893"/>
      </top>
      <bottom/>
      <diagonal/>
    </border>
    <border>
      <left/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thin">
        <color theme="0" tint="-0.34998626667073579"/>
      </right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81E2"/>
      </right>
      <top style="medium">
        <color rgb="FF0081E2"/>
      </top>
      <bottom style="thin">
        <color theme="0" tint="-0.34998626667073579"/>
      </bottom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/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/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/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0081E2"/>
      </bottom>
      <diagonal/>
    </border>
    <border>
      <left/>
      <right style="medium">
        <color rgb="FF0081E2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/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/>
      <top style="medium">
        <color rgb="FF0081E2"/>
      </top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/>
      <top style="medium">
        <color rgb="FF0081E2"/>
      </top>
      <bottom style="medium">
        <color rgb="FF0081E2"/>
      </bottom>
      <diagonal/>
    </border>
    <border>
      <left style="thin">
        <color theme="0" tint="-0.34998626667073579"/>
      </left>
      <right/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rgb="FF0081E2"/>
      </bottom>
      <diagonal/>
    </border>
    <border>
      <left style="medium">
        <color rgb="FF0081E2"/>
      </left>
      <right style="medium">
        <color rgb="FF0081E2"/>
      </right>
      <top/>
      <bottom style="thin">
        <color theme="0" tint="-0.249977111117893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medium">
        <color rgb="FF0081E2"/>
      </top>
      <bottom style="medium">
        <color rgb="FF0081E2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rgb="FF0081E2"/>
      </bottom>
      <diagonal/>
    </border>
    <border>
      <left/>
      <right/>
      <top style="medium">
        <color rgb="FF0081E2"/>
      </top>
      <bottom style="thin">
        <color theme="0" tint="-0.249977111117893"/>
      </bottom>
      <diagonal/>
    </border>
    <border>
      <left/>
      <right/>
      <top style="medium">
        <color theme="0"/>
      </top>
      <bottom/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rgb="FF0070C0"/>
      </left>
      <right/>
      <top style="medium">
        <color theme="8" tint="0.79998168889431442"/>
      </top>
      <bottom/>
      <diagonal/>
    </border>
    <border>
      <left style="medium">
        <color theme="0"/>
      </left>
      <right style="thin">
        <color rgb="FF0070C0"/>
      </right>
      <top style="medium">
        <color theme="8" tint="0.79998168889431442"/>
      </top>
      <bottom/>
      <diagonal/>
    </border>
    <border>
      <left style="medium">
        <color theme="0"/>
      </left>
      <right style="thin">
        <color rgb="FF0070C0"/>
      </right>
      <top/>
      <bottom style="thin">
        <color theme="8" tint="0.79998168889431442"/>
      </bottom>
      <diagonal/>
    </border>
    <border>
      <left style="thin">
        <color theme="0"/>
      </left>
      <right/>
      <top style="hair">
        <color theme="0"/>
      </top>
      <bottom style="thin">
        <color theme="8" tint="0.79998168889431442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81E2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medium">
        <color rgb="FF0081E2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7">
    <xf numFmtId="0" fontId="0" fillId="0" borderId="0">
      <alignment vertical="center"/>
    </xf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>
      <alignment vertical="center"/>
    </xf>
    <xf numFmtId="0" fontId="1" fillId="0" borderId="0"/>
    <xf numFmtId="9" fontId="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5" fillId="0" borderId="0"/>
  </cellStyleXfs>
  <cellXfs count="33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8" fillId="0" borderId="0" xfId="0" applyFont="1">
      <alignment vertical="center"/>
    </xf>
    <xf numFmtId="0" fontId="9" fillId="0" borderId="32" xfId="0" applyFont="1" applyBorder="1">
      <alignment vertical="center"/>
    </xf>
    <xf numFmtId="0" fontId="10" fillId="0" borderId="32" xfId="0" applyFont="1" applyBorder="1">
      <alignment vertical="center"/>
    </xf>
    <xf numFmtId="0" fontId="9" fillId="0" borderId="35" xfId="0" applyFont="1" applyBorder="1">
      <alignment vertical="center"/>
    </xf>
    <xf numFmtId="0" fontId="9" fillId="0" borderId="36" xfId="0" applyFont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32" xfId="0" applyFont="1" applyBorder="1">
      <alignment vertical="center"/>
    </xf>
    <xf numFmtId="0" fontId="9" fillId="0" borderId="39" xfId="0" applyFont="1" applyBorder="1">
      <alignment vertical="center"/>
    </xf>
    <xf numFmtId="0" fontId="9" fillId="0" borderId="40" xfId="0" applyFont="1" applyBorder="1">
      <alignment vertical="center"/>
    </xf>
    <xf numFmtId="0" fontId="14" fillId="7" borderId="49" xfId="0" applyFont="1" applyFill="1" applyBorder="1">
      <alignment vertical="center"/>
    </xf>
    <xf numFmtId="0" fontId="14" fillId="7" borderId="50" xfId="0" applyFont="1" applyFill="1" applyBorder="1">
      <alignment vertical="center"/>
    </xf>
    <xf numFmtId="0" fontId="14" fillId="7" borderId="51" xfId="0" applyFont="1" applyFill="1" applyBorder="1">
      <alignment vertical="center"/>
    </xf>
    <xf numFmtId="0" fontId="14" fillId="0" borderId="35" xfId="0" applyFont="1" applyBorder="1">
      <alignment vertical="center"/>
    </xf>
    <xf numFmtId="0" fontId="3" fillId="2" borderId="70" xfId="0" applyFont="1" applyFill="1" applyBorder="1" applyProtection="1">
      <alignment vertical="center"/>
      <protection locked="0"/>
    </xf>
    <xf numFmtId="0" fontId="3" fillId="2" borderId="59" xfId="0" applyFont="1" applyFill="1" applyBorder="1" applyProtection="1">
      <alignment vertical="center"/>
      <protection locked="0"/>
    </xf>
    <xf numFmtId="0" fontId="3" fillId="2" borderId="65" xfId="0" applyFont="1" applyFill="1" applyBorder="1" applyProtection="1">
      <alignment vertical="center"/>
      <protection locked="0"/>
    </xf>
    <xf numFmtId="0" fontId="3" fillId="2" borderId="61" xfId="0" applyFont="1" applyFill="1" applyBorder="1" applyProtection="1">
      <alignment vertical="center"/>
      <protection locked="0"/>
    </xf>
    <xf numFmtId="0" fontId="3" fillId="2" borderId="66" xfId="0" applyFont="1" applyFill="1" applyBorder="1" applyProtection="1">
      <alignment vertical="center"/>
      <protection locked="0"/>
    </xf>
    <xf numFmtId="0" fontId="3" fillId="2" borderId="64" xfId="0" applyFont="1" applyFill="1" applyBorder="1" applyProtection="1">
      <alignment vertical="center"/>
      <protection locked="0"/>
    </xf>
    <xf numFmtId="11" fontId="3" fillId="2" borderId="59" xfId="0" applyNumberFormat="1" applyFont="1" applyFill="1" applyBorder="1" applyProtection="1">
      <alignment vertical="center"/>
      <protection locked="0"/>
    </xf>
    <xf numFmtId="11" fontId="3" fillId="2" borderId="1" xfId="0" applyNumberFormat="1" applyFont="1" applyFill="1" applyBorder="1" applyProtection="1">
      <alignment vertical="center"/>
      <protection locked="0"/>
    </xf>
    <xf numFmtId="11" fontId="3" fillId="2" borderId="60" xfId="0" applyNumberFormat="1" applyFont="1" applyFill="1" applyBorder="1" applyProtection="1">
      <alignment vertical="center"/>
      <protection locked="0"/>
    </xf>
    <xf numFmtId="11" fontId="3" fillId="2" borderId="61" xfId="0" applyNumberFormat="1" applyFont="1" applyFill="1" applyBorder="1" applyProtection="1">
      <alignment vertical="center"/>
      <protection locked="0"/>
    </xf>
    <xf numFmtId="11" fontId="3" fillId="2" borderId="62" xfId="0" applyNumberFormat="1" applyFont="1" applyFill="1" applyBorder="1" applyProtection="1">
      <alignment vertical="center"/>
      <protection locked="0"/>
    </xf>
    <xf numFmtId="11" fontId="3" fillId="2" borderId="63" xfId="0" applyNumberFormat="1" applyFont="1" applyFill="1" applyBorder="1" applyProtection="1">
      <alignment vertical="center"/>
      <protection locked="0"/>
    </xf>
    <xf numFmtId="11" fontId="3" fillId="2" borderId="95" xfId="0" applyNumberFormat="1" applyFont="1" applyFill="1" applyBorder="1" applyProtection="1">
      <alignment vertical="center"/>
      <protection locked="0"/>
    </xf>
    <xf numFmtId="11" fontId="3" fillId="2" borderId="96" xfId="0" applyNumberFormat="1" applyFont="1" applyFill="1" applyBorder="1" applyProtection="1">
      <alignment vertical="center"/>
      <protection locked="0"/>
    </xf>
    <xf numFmtId="11" fontId="3" fillId="2" borderId="81" xfId="0" applyNumberFormat="1" applyFont="1" applyFill="1" applyBorder="1" applyProtection="1">
      <alignment vertical="center"/>
      <protection locked="0"/>
    </xf>
    <xf numFmtId="11" fontId="3" fillId="2" borderId="2" xfId="0" applyNumberFormat="1" applyFont="1" applyFill="1" applyBorder="1" applyProtection="1">
      <alignment vertical="center"/>
      <protection locked="0"/>
    </xf>
    <xf numFmtId="11" fontId="3" fillId="2" borderId="97" xfId="0" applyNumberFormat="1" applyFont="1" applyFill="1" applyBorder="1" applyProtection="1">
      <alignment vertical="center"/>
      <protection locked="0"/>
    </xf>
    <xf numFmtId="11" fontId="3" fillId="2" borderId="82" xfId="0" applyNumberFormat="1" applyFont="1" applyFill="1" applyBorder="1" applyProtection="1">
      <alignment vertical="center"/>
      <protection locked="0"/>
    </xf>
    <xf numFmtId="167" fontId="3" fillId="2" borderId="65" xfId="0" applyNumberFormat="1" applyFont="1" applyFill="1" applyBorder="1" applyProtection="1">
      <alignment vertical="center"/>
      <protection locked="0"/>
    </xf>
    <xf numFmtId="0" fontId="21" fillId="0" borderId="32" xfId="0" applyFont="1" applyBorder="1" applyAlignment="1"/>
    <xf numFmtId="0" fontId="3" fillId="0" borderId="32" xfId="0" applyFont="1" applyBorder="1">
      <alignment vertical="center"/>
    </xf>
    <xf numFmtId="0" fontId="22" fillId="0" borderId="32" xfId="0" applyFont="1" applyBorder="1">
      <alignment vertical="center"/>
    </xf>
    <xf numFmtId="0" fontId="4" fillId="0" borderId="32" xfId="0" applyFont="1" applyBorder="1">
      <alignment vertical="center"/>
    </xf>
    <xf numFmtId="0" fontId="3" fillId="0" borderId="36" xfId="0" applyFont="1" applyBorder="1" applyAlignment="1">
      <alignment horizontal="left" wrapText="1"/>
    </xf>
    <xf numFmtId="0" fontId="3" fillId="0" borderId="36" xfId="0" applyFont="1" applyBorder="1" applyAlignment="1">
      <alignment horizontal="left"/>
    </xf>
    <xf numFmtId="0" fontId="3" fillId="0" borderId="36" xfId="0" applyFont="1" applyBorder="1">
      <alignment vertical="center"/>
    </xf>
    <xf numFmtId="0" fontId="3" fillId="0" borderId="35" xfId="0" applyFont="1" applyBorder="1">
      <alignment vertical="center"/>
    </xf>
    <xf numFmtId="0" fontId="3" fillId="0" borderId="39" xfId="0" applyFont="1" applyBorder="1">
      <alignment vertical="center"/>
    </xf>
    <xf numFmtId="0" fontId="22" fillId="0" borderId="0" xfId="0" applyFont="1">
      <alignment vertical="center"/>
    </xf>
    <xf numFmtId="11" fontId="3" fillId="0" borderId="110" xfId="0" applyNumberFormat="1" applyFont="1" applyBorder="1">
      <alignment vertical="center"/>
    </xf>
    <xf numFmtId="11" fontId="3" fillId="0" borderId="40" xfId="0" applyNumberFormat="1" applyFont="1" applyBorder="1">
      <alignment vertical="center"/>
    </xf>
    <xf numFmtId="0" fontId="3" fillId="0" borderId="110" xfId="0" applyFont="1" applyBorder="1">
      <alignment vertical="center"/>
    </xf>
    <xf numFmtId="0" fontId="3" fillId="0" borderId="40" xfId="0" applyFont="1" applyBorder="1">
      <alignment vertical="center"/>
    </xf>
    <xf numFmtId="11" fontId="3" fillId="0" borderId="39" xfId="0" applyNumberFormat="1" applyFont="1" applyBorder="1">
      <alignment vertical="center"/>
    </xf>
    <xf numFmtId="11" fontId="3" fillId="0" borderId="32" xfId="0" applyNumberFormat="1" applyFont="1" applyBorder="1">
      <alignment vertical="center"/>
    </xf>
    <xf numFmtId="0" fontId="4" fillId="0" borderId="40" xfId="0" applyFont="1" applyBorder="1">
      <alignment vertical="center"/>
    </xf>
    <xf numFmtId="0" fontId="3" fillId="0" borderId="32" xfId="0" applyFont="1" applyBorder="1" applyAlignment="1"/>
    <xf numFmtId="0" fontId="22" fillId="0" borderId="32" xfId="0" applyFont="1" applyBorder="1" applyAlignment="1"/>
    <xf numFmtId="0" fontId="3" fillId="0" borderId="32" xfId="0" applyFont="1" applyBorder="1" applyAlignment="1">
      <alignment horizontal="left" wrapText="1"/>
    </xf>
    <xf numFmtId="0" fontId="3" fillId="0" borderId="0" xfId="0" applyFont="1" applyAlignment="1"/>
    <xf numFmtId="0" fontId="22" fillId="0" borderId="36" xfId="0" applyFont="1" applyBorder="1">
      <alignment vertical="center"/>
    </xf>
    <xf numFmtId="0" fontId="3" fillId="0" borderId="35" xfId="0" applyFont="1" applyBorder="1" applyAlignment="1">
      <alignment horizontal="right" vertical="center"/>
    </xf>
    <xf numFmtId="0" fontId="23" fillId="7" borderId="67" xfId="0" applyFont="1" applyFill="1" applyBorder="1">
      <alignment vertical="center"/>
    </xf>
    <xf numFmtId="0" fontId="23" fillId="7" borderId="68" xfId="0" applyFont="1" applyFill="1" applyBorder="1">
      <alignment vertical="center"/>
    </xf>
    <xf numFmtId="0" fontId="23" fillId="7" borderId="69" xfId="0" applyFont="1" applyFill="1" applyBorder="1">
      <alignment vertical="center"/>
    </xf>
    <xf numFmtId="1" fontId="3" fillId="2" borderId="70" xfId="0" applyNumberFormat="1" applyFont="1" applyFill="1" applyBorder="1" applyProtection="1">
      <alignment vertical="center"/>
      <protection locked="0"/>
    </xf>
    <xf numFmtId="1" fontId="3" fillId="2" borderId="33" xfId="0" applyNumberFormat="1" applyFont="1" applyFill="1" applyBorder="1" applyProtection="1">
      <alignment vertical="center"/>
      <protection locked="0"/>
    </xf>
    <xf numFmtId="1" fontId="3" fillId="2" borderId="71" xfId="0" applyNumberFormat="1" applyFont="1" applyFill="1" applyBorder="1" applyProtection="1">
      <alignment vertical="center"/>
      <protection locked="0"/>
    </xf>
    <xf numFmtId="166" fontId="3" fillId="2" borderId="70" xfId="0" applyNumberFormat="1" applyFont="1" applyFill="1" applyBorder="1" applyProtection="1">
      <alignment vertical="center"/>
      <protection locked="0"/>
    </xf>
    <xf numFmtId="166" fontId="3" fillId="2" borderId="33" xfId="0" applyNumberFormat="1" applyFont="1" applyFill="1" applyBorder="1" applyProtection="1">
      <alignment vertical="center"/>
      <protection locked="0"/>
    </xf>
    <xf numFmtId="166" fontId="3" fillId="2" borderId="71" xfId="0" applyNumberFormat="1" applyFont="1" applyFill="1" applyBorder="1" applyProtection="1">
      <alignment vertical="center"/>
      <protection locked="0"/>
    </xf>
    <xf numFmtId="166" fontId="3" fillId="2" borderId="59" xfId="0" applyNumberFormat="1" applyFont="1" applyFill="1" applyBorder="1" applyProtection="1">
      <alignment vertical="center"/>
      <protection locked="0"/>
    </xf>
    <xf numFmtId="166" fontId="3" fillId="2" borderId="1" xfId="0" applyNumberFormat="1" applyFont="1" applyFill="1" applyBorder="1" applyProtection="1">
      <alignment vertical="center"/>
      <protection locked="0"/>
    </xf>
    <xf numFmtId="166" fontId="3" fillId="2" borderId="60" xfId="0" applyNumberFormat="1" applyFont="1" applyFill="1" applyBorder="1" applyProtection="1">
      <alignment vertical="center"/>
      <protection locked="0"/>
    </xf>
    <xf numFmtId="1" fontId="3" fillId="2" borderId="72" xfId="0" applyNumberFormat="1" applyFont="1" applyFill="1" applyBorder="1" applyProtection="1">
      <alignment vertical="center"/>
      <protection locked="0"/>
    </xf>
    <xf numFmtId="1" fontId="3" fillId="2" borderId="73" xfId="0" applyNumberFormat="1" applyFont="1" applyFill="1" applyBorder="1" applyProtection="1">
      <alignment vertical="center"/>
      <protection locked="0"/>
    </xf>
    <xf numFmtId="1" fontId="3" fillId="2" borderId="74" xfId="0" applyNumberFormat="1" applyFont="1" applyFill="1" applyBorder="1" applyProtection="1">
      <alignment vertical="center"/>
      <protection locked="0"/>
    </xf>
    <xf numFmtId="166" fontId="3" fillId="2" borderId="61" xfId="0" applyNumberFormat="1" applyFont="1" applyFill="1" applyBorder="1" applyProtection="1">
      <alignment vertical="center"/>
      <protection locked="0"/>
    </xf>
    <xf numFmtId="166" fontId="3" fillId="2" borderId="62" xfId="0" applyNumberFormat="1" applyFont="1" applyFill="1" applyBorder="1" applyProtection="1">
      <alignment vertical="center"/>
      <protection locked="0"/>
    </xf>
    <xf numFmtId="166" fontId="3" fillId="2" borderId="63" xfId="0" applyNumberFormat="1" applyFont="1" applyFill="1" applyBorder="1" applyProtection="1">
      <alignment vertical="center"/>
      <protection locked="0"/>
    </xf>
    <xf numFmtId="0" fontId="3" fillId="0" borderId="36" xfId="0" applyFont="1" applyBorder="1" applyAlignment="1"/>
    <xf numFmtId="0" fontId="3" fillId="0" borderId="35" xfId="0" applyFont="1" applyBorder="1" applyAlignment="1"/>
    <xf numFmtId="0" fontId="24" fillId="7" borderId="75" xfId="0" applyFont="1" applyFill="1" applyBorder="1">
      <alignment vertical="center"/>
    </xf>
    <xf numFmtId="0" fontId="24" fillId="7" borderId="76" xfId="0" applyFont="1" applyFill="1" applyBorder="1">
      <alignment vertical="center"/>
    </xf>
    <xf numFmtId="0" fontId="24" fillId="7" borderId="77" xfId="0" applyFont="1" applyFill="1" applyBorder="1">
      <alignment vertical="center"/>
    </xf>
    <xf numFmtId="0" fontId="3" fillId="0" borderId="39" xfId="0" applyFont="1" applyBorder="1" applyAlignment="1"/>
    <xf numFmtId="0" fontId="3" fillId="0" borderId="83" xfId="0" applyFont="1" applyBorder="1" applyAlignment="1">
      <alignment horizontal="left" vertical="center"/>
    </xf>
    <xf numFmtId="0" fontId="3" fillId="5" borderId="32" xfId="0" applyFont="1" applyFill="1" applyBorder="1" applyProtection="1">
      <alignment vertical="center"/>
      <protection locked="0"/>
    </xf>
    <xf numFmtId="0" fontId="3" fillId="0" borderId="40" xfId="0" applyFont="1" applyBorder="1" applyAlignment="1"/>
    <xf numFmtId="0" fontId="3" fillId="0" borderId="116" xfId="0" applyFont="1" applyBorder="1" applyAlignment="1"/>
    <xf numFmtId="1" fontId="3" fillId="5" borderId="32" xfId="0" applyNumberFormat="1" applyFont="1" applyFill="1" applyBorder="1" applyProtection="1">
      <alignment vertical="center"/>
      <protection locked="0"/>
    </xf>
    <xf numFmtId="0" fontId="3" fillId="0" borderId="110" xfId="0" applyFont="1" applyBorder="1" applyAlignment="1"/>
    <xf numFmtId="164" fontId="3" fillId="5" borderId="32" xfId="0" applyNumberFormat="1" applyFont="1" applyFill="1" applyBorder="1" applyProtection="1">
      <alignment vertical="center"/>
      <protection locked="0"/>
    </xf>
    <xf numFmtId="11" fontId="3" fillId="0" borderId="0" xfId="0" applyNumberFormat="1" applyFont="1">
      <alignment vertical="center"/>
    </xf>
    <xf numFmtId="0" fontId="23" fillId="7" borderId="68" xfId="0" applyFont="1" applyFill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" fillId="2" borderId="55" xfId="0" applyFont="1" applyFill="1" applyBorder="1" applyAlignment="1" applyProtection="1">
      <alignment horizontal="left" vertical="center"/>
      <protection locked="0"/>
    </xf>
    <xf numFmtId="0" fontId="3" fillId="0" borderId="83" xfId="0" applyFont="1" applyBorder="1">
      <alignment vertical="center"/>
    </xf>
    <xf numFmtId="0" fontId="23" fillId="7" borderId="78" xfId="0" applyFont="1" applyFill="1" applyBorder="1" applyAlignment="1">
      <alignment horizontal="right" vertical="center"/>
    </xf>
    <xf numFmtId="0" fontId="23" fillId="7" borderId="85" xfId="0" applyFont="1" applyFill="1" applyBorder="1" applyAlignment="1">
      <alignment horizontal="right" vertical="center"/>
    </xf>
    <xf numFmtId="0" fontId="23" fillId="7" borderId="86" xfId="0" applyFont="1" applyFill="1" applyBorder="1" applyAlignment="1">
      <alignment horizontal="right" vertical="center"/>
    </xf>
    <xf numFmtId="0" fontId="3" fillId="2" borderId="87" xfId="0" applyFont="1" applyFill="1" applyBorder="1" applyAlignment="1" applyProtection="1">
      <alignment horizontal="right" vertical="center"/>
      <protection locked="0"/>
    </xf>
    <xf numFmtId="0" fontId="3" fillId="2" borderId="88" xfId="0" applyFont="1" applyFill="1" applyBorder="1" applyAlignment="1" applyProtection="1">
      <alignment horizontal="right" vertical="center"/>
      <protection locked="0"/>
    </xf>
    <xf numFmtId="0" fontId="3" fillId="2" borderId="89" xfId="0" applyFont="1" applyFill="1" applyBorder="1" applyAlignment="1" applyProtection="1">
      <alignment horizontal="right" vertical="center"/>
      <protection locked="0"/>
    </xf>
    <xf numFmtId="0" fontId="3" fillId="4" borderId="81" xfId="0" applyFont="1" applyFill="1" applyBorder="1" applyAlignment="1" applyProtection="1">
      <alignment horizontal="right" vertical="center"/>
      <protection locked="0"/>
    </xf>
    <xf numFmtId="0" fontId="3" fillId="4" borderId="2" xfId="0" applyFont="1" applyFill="1" applyBorder="1" applyAlignment="1" applyProtection="1">
      <alignment horizontal="right" vertical="center"/>
      <protection locked="0"/>
    </xf>
    <xf numFmtId="0" fontId="3" fillId="4" borderId="82" xfId="0" applyFont="1" applyFill="1" applyBorder="1" applyAlignment="1" applyProtection="1">
      <alignment horizontal="right" vertical="center"/>
      <protection locked="0"/>
    </xf>
    <xf numFmtId="164" fontId="3" fillId="4" borderId="81" xfId="0" applyNumberFormat="1" applyFont="1" applyFill="1" applyBorder="1" applyProtection="1">
      <alignment vertical="center"/>
      <protection locked="0"/>
    </xf>
    <xf numFmtId="164" fontId="3" fillId="4" borderId="2" xfId="0" applyNumberFormat="1" applyFont="1" applyFill="1" applyBorder="1" applyProtection="1">
      <alignment vertical="center"/>
      <protection locked="0"/>
    </xf>
    <xf numFmtId="164" fontId="3" fillId="4" borderId="82" xfId="0" applyNumberFormat="1" applyFont="1" applyFill="1" applyBorder="1" applyProtection="1">
      <alignment vertical="center"/>
      <protection locked="0"/>
    </xf>
    <xf numFmtId="164" fontId="3" fillId="4" borderId="90" xfId="0" applyNumberFormat="1" applyFont="1" applyFill="1" applyBorder="1" applyProtection="1">
      <alignment vertical="center"/>
      <protection locked="0"/>
    </xf>
    <xf numFmtId="164" fontId="3" fillId="4" borderId="91" xfId="0" applyNumberFormat="1" applyFont="1" applyFill="1" applyBorder="1" applyProtection="1">
      <alignment vertical="center"/>
      <protection locked="0"/>
    </xf>
    <xf numFmtId="164" fontId="3" fillId="4" borderId="92" xfId="0" applyNumberFormat="1" applyFont="1" applyFill="1" applyBorder="1" applyProtection="1">
      <alignment vertical="center"/>
      <protection locked="0"/>
    </xf>
    <xf numFmtId="0" fontId="23" fillId="7" borderId="84" xfId="0" applyFont="1" applyFill="1" applyBorder="1" applyAlignment="1">
      <alignment horizontal="right" vertical="center"/>
    </xf>
    <xf numFmtId="2" fontId="3" fillId="4" borderId="95" xfId="0" applyNumberFormat="1" applyFont="1" applyFill="1" applyBorder="1" applyAlignment="1" applyProtection="1">
      <alignment horizontal="right" vertical="center"/>
      <protection locked="0"/>
    </xf>
    <xf numFmtId="2" fontId="3" fillId="4" borderId="96" xfId="0" applyNumberFormat="1" applyFont="1" applyFill="1" applyBorder="1" applyAlignment="1" applyProtection="1">
      <alignment horizontal="right" vertical="center"/>
      <protection locked="0"/>
    </xf>
    <xf numFmtId="2" fontId="3" fillId="4" borderId="97" xfId="0" applyNumberFormat="1" applyFont="1" applyFill="1" applyBorder="1" applyAlignment="1" applyProtection="1">
      <alignment horizontal="right" vertical="center"/>
      <protection locked="0"/>
    </xf>
    <xf numFmtId="2" fontId="3" fillId="4" borderId="81" xfId="0" applyNumberFormat="1" applyFont="1" applyFill="1" applyBorder="1" applyAlignment="1" applyProtection="1">
      <alignment horizontal="right" vertical="center"/>
      <protection locked="0"/>
    </xf>
    <xf numFmtId="2" fontId="3" fillId="4" borderId="2" xfId="0" applyNumberFormat="1" applyFont="1" applyFill="1" applyBorder="1" applyAlignment="1" applyProtection="1">
      <alignment horizontal="right" vertical="center"/>
      <protection locked="0"/>
    </xf>
    <xf numFmtId="2" fontId="3" fillId="4" borderId="82" xfId="0" applyNumberFormat="1" applyFont="1" applyFill="1" applyBorder="1" applyAlignment="1" applyProtection="1">
      <alignment horizontal="right" vertical="center"/>
      <protection locked="0"/>
    </xf>
    <xf numFmtId="2" fontId="3" fillId="4" borderId="90" xfId="0" applyNumberFormat="1" applyFont="1" applyFill="1" applyBorder="1" applyAlignment="1" applyProtection="1">
      <alignment horizontal="right" vertical="center"/>
      <protection locked="0"/>
    </xf>
    <xf numFmtId="2" fontId="3" fillId="4" borderId="91" xfId="0" applyNumberFormat="1" applyFont="1" applyFill="1" applyBorder="1" applyAlignment="1" applyProtection="1">
      <alignment horizontal="right" vertical="center"/>
      <protection locked="0"/>
    </xf>
    <xf numFmtId="2" fontId="3" fillId="4" borderId="92" xfId="0" applyNumberFormat="1" applyFont="1" applyFill="1" applyBorder="1" applyAlignment="1" applyProtection="1">
      <alignment horizontal="right" vertical="center"/>
      <protection locked="0"/>
    </xf>
    <xf numFmtId="0" fontId="23" fillId="7" borderId="67" xfId="0" applyFont="1" applyFill="1" applyBorder="1" applyAlignment="1">
      <alignment horizontal="right" vertical="center"/>
    </xf>
    <xf numFmtId="0" fontId="23" fillId="7" borderId="68" xfId="0" applyFont="1" applyFill="1" applyBorder="1" applyAlignment="1">
      <alignment horizontal="right" vertical="center"/>
    </xf>
    <xf numFmtId="0" fontId="23" fillId="7" borderId="69" xfId="0" applyFont="1" applyFill="1" applyBorder="1" applyAlignment="1">
      <alignment horizontal="right" vertical="center"/>
    </xf>
    <xf numFmtId="9" fontId="3" fillId="4" borderId="95" xfId="1" applyFont="1" applyFill="1" applyBorder="1" applyAlignment="1" applyProtection="1">
      <alignment horizontal="right" vertical="center"/>
      <protection locked="0"/>
    </xf>
    <xf numFmtId="9" fontId="3" fillId="4" borderId="96" xfId="1" applyFont="1" applyFill="1" applyBorder="1" applyAlignment="1" applyProtection="1">
      <alignment horizontal="right" vertical="center"/>
      <protection locked="0"/>
    </xf>
    <xf numFmtId="9" fontId="3" fillId="4" borderId="97" xfId="1" applyFont="1" applyFill="1" applyBorder="1" applyAlignment="1" applyProtection="1">
      <alignment horizontal="right" vertical="center"/>
      <protection locked="0"/>
    </xf>
    <xf numFmtId="9" fontId="3" fillId="3" borderId="93" xfId="1" applyFont="1" applyFill="1" applyBorder="1" applyAlignment="1" applyProtection="1">
      <alignment horizontal="right" vertical="center"/>
    </xf>
    <xf numFmtId="9" fontId="3" fillId="4" borderId="81" xfId="1" applyFont="1" applyFill="1" applyBorder="1" applyAlignment="1" applyProtection="1">
      <alignment horizontal="right" vertical="center"/>
      <protection locked="0"/>
    </xf>
    <xf numFmtId="9" fontId="3" fillId="4" borderId="2" xfId="1" applyFont="1" applyFill="1" applyBorder="1" applyAlignment="1" applyProtection="1">
      <alignment horizontal="right" vertical="center"/>
      <protection locked="0"/>
    </xf>
    <xf numFmtId="9" fontId="3" fillId="4" borderId="82" xfId="1" applyFont="1" applyFill="1" applyBorder="1" applyAlignment="1" applyProtection="1">
      <alignment horizontal="right" vertical="center"/>
      <protection locked="0"/>
    </xf>
    <xf numFmtId="9" fontId="3" fillId="4" borderId="90" xfId="1" applyFont="1" applyFill="1" applyBorder="1" applyAlignment="1" applyProtection="1">
      <alignment horizontal="right" vertical="center"/>
      <protection locked="0"/>
    </xf>
    <xf numFmtId="9" fontId="3" fillId="4" borderId="91" xfId="1" applyFont="1" applyFill="1" applyBorder="1" applyAlignment="1" applyProtection="1">
      <alignment horizontal="right" vertical="center"/>
      <protection locked="0"/>
    </xf>
    <xf numFmtId="9" fontId="3" fillId="4" borderId="92" xfId="1" applyFont="1" applyFill="1" applyBorder="1" applyAlignment="1" applyProtection="1">
      <alignment horizontal="right" vertical="center"/>
      <protection locked="0"/>
    </xf>
    <xf numFmtId="9" fontId="3" fillId="3" borderId="94" xfId="1" applyFont="1" applyFill="1" applyBorder="1" applyAlignment="1" applyProtection="1">
      <alignment horizontal="right" vertical="center"/>
    </xf>
    <xf numFmtId="0" fontId="23" fillId="7" borderId="78" xfId="0" applyFont="1" applyFill="1" applyBorder="1">
      <alignment vertical="center"/>
    </xf>
    <xf numFmtId="0" fontId="23" fillId="7" borderId="124" xfId="0" applyFont="1" applyFill="1" applyBorder="1">
      <alignment vertical="center"/>
    </xf>
    <xf numFmtId="0" fontId="3" fillId="0" borderId="35" xfId="0" applyFont="1" applyBorder="1" applyAlignment="1">
      <alignment horizontal="right"/>
    </xf>
    <xf numFmtId="166" fontId="3" fillId="2" borderId="72" xfId="0" applyNumberFormat="1" applyFont="1" applyFill="1" applyBorder="1" applyProtection="1">
      <alignment vertical="center"/>
      <protection locked="0"/>
    </xf>
    <xf numFmtId="166" fontId="3" fillId="2" borderId="73" xfId="0" applyNumberFormat="1" applyFont="1" applyFill="1" applyBorder="1" applyProtection="1">
      <alignment vertical="center"/>
      <protection locked="0"/>
    </xf>
    <xf numFmtId="166" fontId="3" fillId="2" borderId="74" xfId="0" applyNumberFormat="1" applyFont="1" applyFill="1" applyBorder="1" applyProtection="1">
      <alignment vertical="center"/>
      <protection locked="0"/>
    </xf>
    <xf numFmtId="0" fontId="3" fillId="0" borderId="56" xfId="0" applyFont="1" applyBorder="1" applyAlignment="1"/>
    <xf numFmtId="0" fontId="3" fillId="0" borderId="57" xfId="0" applyFont="1" applyBorder="1" applyAlignment="1"/>
    <xf numFmtId="0" fontId="3" fillId="0" borderId="58" xfId="0" applyFont="1" applyBorder="1" applyAlignment="1"/>
    <xf numFmtId="2" fontId="3" fillId="0" borderId="59" xfId="0" applyNumberFormat="1" applyFont="1" applyBorder="1" applyAlignment="1"/>
    <xf numFmtId="2" fontId="3" fillId="0" borderId="1" xfId="0" applyNumberFormat="1" applyFont="1" applyBorder="1" applyAlignment="1"/>
    <xf numFmtId="2" fontId="3" fillId="0" borderId="60" xfId="0" applyNumberFormat="1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2" borderId="33" xfId="0" applyFont="1" applyFill="1" applyBorder="1" applyProtection="1">
      <alignment vertical="center"/>
      <protection locked="0"/>
    </xf>
    <xf numFmtId="0" fontId="3" fillId="2" borderId="7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3" fillId="2" borderId="60" xfId="0" applyFont="1" applyFill="1" applyBorder="1" applyProtection="1">
      <alignment vertical="center"/>
      <protection locked="0"/>
    </xf>
    <xf numFmtId="0" fontId="3" fillId="2" borderId="62" xfId="0" applyFont="1" applyFill="1" applyBorder="1" applyProtection="1">
      <alignment vertical="center"/>
      <protection locked="0"/>
    </xf>
    <xf numFmtId="0" fontId="3" fillId="2" borderId="63" xfId="0" applyFont="1" applyFill="1" applyBorder="1" applyProtection="1">
      <alignment vertical="center"/>
      <protection locked="0"/>
    </xf>
    <xf numFmtId="0" fontId="29" fillId="6" borderId="0" xfId="0" applyFont="1" applyFill="1">
      <alignment vertical="center"/>
    </xf>
    <xf numFmtId="0" fontId="30" fillId="0" borderId="0" xfId="0" applyFont="1">
      <alignment vertical="center"/>
    </xf>
    <xf numFmtId="0" fontId="30" fillId="0" borderId="0" xfId="0" applyFont="1" applyProtection="1">
      <alignment vertical="center"/>
      <protection locked="0"/>
    </xf>
    <xf numFmtId="0" fontId="31" fillId="6" borderId="0" xfId="0" applyFont="1" applyFill="1">
      <alignment vertical="center"/>
    </xf>
    <xf numFmtId="0" fontId="27" fillId="6" borderId="0" xfId="0" applyFont="1" applyFill="1">
      <alignment vertical="center"/>
    </xf>
    <xf numFmtId="0" fontId="29" fillId="6" borderId="126" xfId="0" applyFont="1" applyFill="1" applyBorder="1">
      <alignment vertical="center"/>
    </xf>
    <xf numFmtId="0" fontId="29" fillId="6" borderId="122" xfId="0" applyFont="1" applyFill="1" applyBorder="1">
      <alignment vertical="center"/>
    </xf>
    <xf numFmtId="0" fontId="29" fillId="6" borderId="31" xfId="0" applyFont="1" applyFill="1" applyBorder="1">
      <alignment vertical="center"/>
    </xf>
    <xf numFmtId="0" fontId="29" fillId="6" borderId="127" xfId="0" applyFont="1" applyFill="1" applyBorder="1">
      <alignment vertical="center"/>
    </xf>
    <xf numFmtId="0" fontId="32" fillId="6" borderId="0" xfId="0" applyFont="1" applyFill="1">
      <alignment vertical="center"/>
    </xf>
    <xf numFmtId="0" fontId="29" fillId="6" borderId="128" xfId="0" applyFont="1" applyFill="1" applyBorder="1">
      <alignment vertical="center"/>
    </xf>
    <xf numFmtId="0" fontId="33" fillId="5" borderId="4" xfId="0" applyFont="1" applyFill="1" applyBorder="1" applyAlignment="1" applyProtection="1">
      <alignment horizontal="right" vertical="center"/>
      <protection locked="0"/>
    </xf>
    <xf numFmtId="1" fontId="33" fillId="5" borderId="4" xfId="0" applyNumberFormat="1" applyFont="1" applyFill="1" applyBorder="1" applyAlignment="1" applyProtection="1">
      <alignment horizontal="right" vertical="center"/>
      <protection locked="0"/>
    </xf>
    <xf numFmtId="0" fontId="29" fillId="6" borderId="129" xfId="0" applyFont="1" applyFill="1" applyBorder="1">
      <alignment vertical="center"/>
    </xf>
    <xf numFmtId="0" fontId="29" fillId="6" borderId="130" xfId="0" applyFont="1" applyFill="1" applyBorder="1">
      <alignment vertical="center"/>
    </xf>
    <xf numFmtId="0" fontId="29" fillId="6" borderId="131" xfId="0" applyFont="1" applyFill="1" applyBorder="1">
      <alignment vertical="center"/>
    </xf>
    <xf numFmtId="0" fontId="34" fillId="6" borderId="0" xfId="0" applyFont="1" applyFill="1">
      <alignment vertical="center"/>
    </xf>
    <xf numFmtId="0" fontId="31" fillId="6" borderId="0" xfId="0" applyFont="1" applyFill="1" applyAlignment="1"/>
    <xf numFmtId="1" fontId="3" fillId="2" borderId="79" xfId="0" applyNumberFormat="1" applyFont="1" applyFill="1" applyBorder="1" applyAlignment="1" applyProtection="1">
      <alignment horizontal="right" vertical="center"/>
      <protection locked="0"/>
    </xf>
    <xf numFmtId="1" fontId="3" fillId="2" borderId="37" xfId="0" applyNumberFormat="1" applyFont="1" applyFill="1" applyBorder="1" applyAlignment="1" applyProtection="1">
      <alignment horizontal="right" vertical="center"/>
      <protection locked="0"/>
    </xf>
    <xf numFmtId="1" fontId="3" fillId="2" borderId="80" xfId="0" applyNumberFormat="1" applyFont="1" applyFill="1" applyBorder="1" applyAlignment="1" applyProtection="1">
      <alignment horizontal="right" vertical="center"/>
      <protection locked="0"/>
    </xf>
    <xf numFmtId="1" fontId="3" fillId="2" borderId="61" xfId="0" applyNumberFormat="1" applyFont="1" applyFill="1" applyBorder="1" applyAlignment="1" applyProtection="1">
      <alignment horizontal="right" vertical="center"/>
      <protection locked="0"/>
    </xf>
    <xf numFmtId="1" fontId="3" fillId="2" borderId="62" xfId="0" applyNumberFormat="1" applyFont="1" applyFill="1" applyBorder="1" applyAlignment="1" applyProtection="1">
      <alignment horizontal="right" vertical="center"/>
      <protection locked="0"/>
    </xf>
    <xf numFmtId="1" fontId="3" fillId="2" borderId="63" xfId="0" applyNumberFormat="1" applyFont="1" applyFill="1" applyBorder="1" applyAlignment="1" applyProtection="1">
      <alignment horizontal="right" vertical="center"/>
      <protection locked="0"/>
    </xf>
    <xf numFmtId="0" fontId="13" fillId="2" borderId="41" xfId="0" applyFont="1" applyFill="1" applyBorder="1" applyProtection="1">
      <alignment vertical="center"/>
      <protection locked="0"/>
    </xf>
    <xf numFmtId="0" fontId="13" fillId="2" borderId="42" xfId="0" applyFont="1" applyFill="1" applyBorder="1" applyProtection="1">
      <alignment vertical="center"/>
      <protection locked="0"/>
    </xf>
    <xf numFmtId="0" fontId="13" fillId="2" borderId="43" xfId="0" applyFont="1" applyFill="1" applyBorder="1" applyProtection="1">
      <alignment vertical="center"/>
      <protection locked="0"/>
    </xf>
    <xf numFmtId="0" fontId="13" fillId="2" borderId="44" xfId="0" applyFont="1" applyFill="1" applyBorder="1" applyProtection="1">
      <alignment vertical="center"/>
      <protection locked="0"/>
    </xf>
    <xf numFmtId="0" fontId="13" fillId="2" borderId="1" xfId="0" applyFont="1" applyFill="1" applyBorder="1" applyProtection="1">
      <alignment vertical="center"/>
      <protection locked="0"/>
    </xf>
    <xf numFmtId="0" fontId="13" fillId="2" borderId="45" xfId="0" applyFont="1" applyFill="1" applyBorder="1" applyProtection="1">
      <alignment vertical="center"/>
      <protection locked="0"/>
    </xf>
    <xf numFmtId="0" fontId="13" fillId="2" borderId="46" xfId="0" applyFont="1" applyFill="1" applyBorder="1" applyProtection="1">
      <alignment vertical="center"/>
      <protection locked="0"/>
    </xf>
    <xf numFmtId="0" fontId="13" fillId="2" borderId="47" xfId="0" applyFont="1" applyFill="1" applyBorder="1" applyProtection="1">
      <alignment vertical="center"/>
      <protection locked="0"/>
    </xf>
    <xf numFmtId="0" fontId="13" fillId="2" borderId="48" xfId="0" applyFont="1" applyFill="1" applyBorder="1" applyProtection="1">
      <alignment vertical="center"/>
      <protection locked="0"/>
    </xf>
    <xf numFmtId="0" fontId="13" fillId="2" borderId="52" xfId="0" applyFont="1" applyFill="1" applyBorder="1" applyProtection="1">
      <alignment vertical="center"/>
      <protection locked="0"/>
    </xf>
    <xf numFmtId="0" fontId="13" fillId="2" borderId="53" xfId="0" applyFont="1" applyFill="1" applyBorder="1" applyProtection="1">
      <alignment vertical="center"/>
      <protection locked="0"/>
    </xf>
    <xf numFmtId="0" fontId="13" fillId="2" borderId="54" xfId="0" applyFont="1" applyFill="1" applyBorder="1" applyProtection="1">
      <alignment vertical="center"/>
      <protection locked="0"/>
    </xf>
    <xf numFmtId="11" fontId="4" fillId="0" borderId="0" xfId="0" applyNumberFormat="1" applyFont="1">
      <alignment vertical="center"/>
    </xf>
    <xf numFmtId="9" fontId="3" fillId="2" borderId="70" xfId="0" applyNumberFormat="1" applyFont="1" applyFill="1" applyBorder="1" applyProtection="1">
      <alignment vertical="center"/>
      <protection locked="0"/>
    </xf>
    <xf numFmtId="9" fontId="3" fillId="2" borderId="59" xfId="0" applyNumberFormat="1" applyFont="1" applyFill="1" applyBorder="1" applyProtection="1">
      <alignment vertical="center"/>
      <protection locked="0"/>
    </xf>
    <xf numFmtId="9" fontId="3" fillId="2" borderId="33" xfId="0" applyNumberFormat="1" applyFont="1" applyFill="1" applyBorder="1" applyProtection="1">
      <alignment vertical="center"/>
      <protection locked="0"/>
    </xf>
    <xf numFmtId="9" fontId="3" fillId="2" borderId="1" xfId="0" applyNumberFormat="1" applyFont="1" applyFill="1" applyBorder="1" applyProtection="1">
      <alignment vertical="center"/>
      <protection locked="0"/>
    </xf>
    <xf numFmtId="9" fontId="3" fillId="0" borderId="136" xfId="1" applyFont="1" applyBorder="1" applyAlignment="1" applyProtection="1"/>
    <xf numFmtId="9" fontId="3" fillId="0" borderId="137" xfId="1" applyFont="1" applyBorder="1" applyAlignment="1" applyProtection="1"/>
    <xf numFmtId="9" fontId="3" fillId="0" borderId="138" xfId="1" applyFont="1" applyBorder="1" applyAlignment="1" applyProtection="1"/>
    <xf numFmtId="0" fontId="22" fillId="0" borderId="36" xfId="0" applyFont="1" applyBorder="1" applyAlignment="1"/>
    <xf numFmtId="0" fontId="23" fillId="7" borderId="49" xfId="0" applyFont="1" applyFill="1" applyBorder="1">
      <alignment vertical="center"/>
    </xf>
    <xf numFmtId="0" fontId="23" fillId="7" borderId="139" xfId="0" applyFont="1" applyFill="1" applyBorder="1">
      <alignment vertical="center"/>
    </xf>
    <xf numFmtId="0" fontId="23" fillId="7" borderId="140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4" fillId="0" borderId="125" xfId="0" applyFont="1" applyBorder="1" applyProtection="1">
      <alignment vertical="center"/>
      <protection locked="0"/>
    </xf>
    <xf numFmtId="11" fontId="4" fillId="0" borderId="0" xfId="0" applyNumberFormat="1" applyFont="1" applyProtection="1">
      <alignment vertical="center"/>
      <protection locked="0"/>
    </xf>
    <xf numFmtId="0" fontId="5" fillId="5" borderId="1" xfId="0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39" fillId="0" borderId="0" xfId="0" applyFont="1" applyProtection="1">
      <alignment vertical="center"/>
      <protection locked="0"/>
    </xf>
    <xf numFmtId="11" fontId="39" fillId="0" borderId="0" xfId="0" applyNumberFormat="1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1" fontId="5" fillId="0" borderId="0" xfId="0" applyNumberFormat="1" applyFont="1" applyProtection="1">
      <alignment vertical="center"/>
      <protection locked="0"/>
    </xf>
    <xf numFmtId="11" fontId="4" fillId="0" borderId="0" xfId="0" applyNumberFormat="1" applyFont="1" applyAlignment="1" applyProtection="1">
      <alignment horizontal="right" vertical="center"/>
      <protection locked="0"/>
    </xf>
    <xf numFmtId="0" fontId="38" fillId="5" borderId="1" xfId="0" applyFont="1" applyFill="1" applyBorder="1">
      <alignment vertical="center"/>
    </xf>
    <xf numFmtId="0" fontId="40" fillId="5" borderId="1" xfId="0" applyFont="1" applyFill="1" applyBorder="1">
      <alignment vertical="center"/>
    </xf>
    <xf numFmtId="11" fontId="39" fillId="5" borderId="1" xfId="0" applyNumberFormat="1" applyFont="1" applyFill="1" applyBorder="1">
      <alignment vertical="center"/>
    </xf>
    <xf numFmtId="0" fontId="39" fillId="5" borderId="1" xfId="0" applyFont="1" applyFill="1" applyBorder="1">
      <alignment vertical="center"/>
    </xf>
    <xf numFmtId="0" fontId="4" fillId="5" borderId="1" xfId="0" applyFont="1" applyFill="1" applyBorder="1" applyAlignment="1">
      <alignment horizontal="left" vertical="center"/>
    </xf>
    <xf numFmtId="0" fontId="39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right" vertical="center"/>
    </xf>
    <xf numFmtId="0" fontId="39" fillId="0" borderId="0" xfId="0" applyFont="1">
      <alignment vertical="center"/>
    </xf>
    <xf numFmtId="11" fontId="39" fillId="0" borderId="0" xfId="0" applyNumberFormat="1" applyFont="1">
      <alignment vertical="center"/>
    </xf>
    <xf numFmtId="0" fontId="41" fillId="5" borderId="1" xfId="0" applyFont="1" applyFill="1" applyBorder="1">
      <alignment vertical="center"/>
    </xf>
    <xf numFmtId="9" fontId="39" fillId="0" borderId="0" xfId="1" applyFont="1" applyAlignment="1" applyProtection="1">
      <alignment vertical="center"/>
      <protection locked="0"/>
    </xf>
    <xf numFmtId="0" fontId="4" fillId="5" borderId="3" xfId="0" applyFont="1" applyFill="1" applyBorder="1">
      <alignment vertical="center"/>
    </xf>
    <xf numFmtId="11" fontId="23" fillId="6" borderId="11" xfId="0" applyNumberFormat="1" applyFont="1" applyFill="1" applyBorder="1" applyAlignment="1"/>
    <xf numFmtId="0" fontId="3" fillId="0" borderId="0" xfId="0" applyFont="1" applyProtection="1">
      <alignment vertical="center"/>
      <protection locked="0"/>
    </xf>
    <xf numFmtId="0" fontId="43" fillId="6" borderId="0" xfId="0" applyFont="1" applyFill="1">
      <alignment vertical="center"/>
    </xf>
    <xf numFmtId="11" fontId="23" fillId="6" borderId="30" xfId="0" applyNumberFormat="1" applyFont="1" applyFill="1" applyBorder="1" applyAlignment="1"/>
    <xf numFmtId="0" fontId="3" fillId="2" borderId="21" xfId="0" applyFont="1" applyFill="1" applyBorder="1" applyAlignment="1">
      <alignment horizontal="right"/>
    </xf>
    <xf numFmtId="0" fontId="3" fillId="2" borderId="123" xfId="0" applyFont="1" applyFill="1" applyBorder="1" applyAlignment="1">
      <alignment horizontal="right" wrapText="1"/>
    </xf>
    <xf numFmtId="0" fontId="3" fillId="2" borderId="23" xfId="0" applyFont="1" applyFill="1" applyBorder="1" applyAlignment="1">
      <alignment horizontal="right" wrapText="1"/>
    </xf>
    <xf numFmtId="0" fontId="3" fillId="2" borderId="22" xfId="0" applyFont="1" applyFill="1" applyBorder="1" applyAlignment="1">
      <alignment horizontal="right"/>
    </xf>
    <xf numFmtId="0" fontId="3" fillId="2" borderId="21" xfId="0" applyFont="1" applyFill="1" applyBorder="1" applyAlignment="1">
      <alignment horizontal="right" wrapText="1"/>
    </xf>
    <xf numFmtId="0" fontId="3" fillId="2" borderId="21" xfId="0" applyFont="1" applyFill="1" applyBorder="1" applyAlignment="1"/>
    <xf numFmtId="0" fontId="3" fillId="0" borderId="0" xfId="0" applyFont="1" applyAlignment="1" applyProtection="1">
      <alignment horizontal="right"/>
      <protection locked="0"/>
    </xf>
    <xf numFmtId="0" fontId="44" fillId="6" borderId="6" xfId="0" applyFont="1" applyFill="1" applyBorder="1">
      <alignment vertical="center"/>
    </xf>
    <xf numFmtId="11" fontId="44" fillId="6" borderId="6" xfId="0" applyNumberFormat="1" applyFont="1" applyFill="1" applyBorder="1">
      <alignment vertical="center"/>
    </xf>
    <xf numFmtId="0" fontId="24" fillId="6" borderId="13" xfId="0" applyFont="1" applyFill="1" applyBorder="1">
      <alignment vertical="center"/>
    </xf>
    <xf numFmtId="0" fontId="24" fillId="6" borderId="14" xfId="0" applyFont="1" applyFill="1" applyBorder="1">
      <alignment vertical="center"/>
    </xf>
    <xf numFmtId="0" fontId="24" fillId="6" borderId="15" xfId="0" applyFont="1" applyFill="1" applyBorder="1">
      <alignment vertical="center"/>
    </xf>
    <xf numFmtId="0" fontId="24" fillId="6" borderId="17" xfId="0" applyFont="1" applyFill="1" applyBorder="1">
      <alignment vertical="center"/>
    </xf>
    <xf numFmtId="0" fontId="24" fillId="6" borderId="18" xfId="0" applyFont="1" applyFill="1" applyBorder="1">
      <alignment vertical="center"/>
    </xf>
    <xf numFmtId="0" fontId="24" fillId="6" borderId="28" xfId="0" applyFont="1" applyFill="1" applyBorder="1">
      <alignment vertical="center"/>
    </xf>
    <xf numFmtId="0" fontId="24" fillId="6" borderId="132" xfId="0" applyFont="1" applyFill="1" applyBorder="1">
      <alignment vertical="center"/>
    </xf>
    <xf numFmtId="0" fontId="24" fillId="6" borderId="133" xfId="0" applyFont="1" applyFill="1" applyBorder="1">
      <alignment vertical="center"/>
    </xf>
    <xf numFmtId="11" fontId="24" fillId="6" borderId="15" xfId="0" applyNumberFormat="1" applyFont="1" applyFill="1" applyBorder="1">
      <alignment vertical="center"/>
    </xf>
    <xf numFmtId="0" fontId="23" fillId="6" borderId="9" xfId="0" applyFont="1" applyFill="1" applyBorder="1" applyAlignment="1"/>
    <xf numFmtId="0" fontId="23" fillId="6" borderId="10" xfId="0" applyFont="1" applyFill="1" applyBorder="1" applyAlignment="1"/>
    <xf numFmtId="0" fontId="23" fillId="6" borderId="24" xfId="0" applyFont="1" applyFill="1" applyBorder="1" applyAlignment="1"/>
    <xf numFmtId="0" fontId="23" fillId="7" borderId="25" xfId="0" applyFont="1" applyFill="1" applyBorder="1" applyAlignment="1"/>
    <xf numFmtId="0" fontId="23" fillId="7" borderId="26" xfId="0" applyFont="1" applyFill="1" applyBorder="1" applyAlignment="1"/>
    <xf numFmtId="0" fontId="23" fillId="7" borderId="27" xfId="0" applyFont="1" applyFill="1" applyBorder="1" applyAlignment="1"/>
    <xf numFmtId="0" fontId="23" fillId="7" borderId="29" xfId="0" applyFont="1" applyFill="1" applyBorder="1" applyAlignment="1"/>
    <xf numFmtId="0" fontId="23" fillId="7" borderId="135" xfId="0" applyFont="1" applyFill="1" applyBorder="1" applyAlignment="1"/>
    <xf numFmtId="11" fontId="23" fillId="6" borderId="134" xfId="0" applyNumberFormat="1" applyFont="1" applyFill="1" applyBorder="1" applyAlignment="1"/>
    <xf numFmtId="0" fontId="23" fillId="6" borderId="12" xfId="0" applyFont="1" applyFill="1" applyBorder="1" applyAlignment="1"/>
    <xf numFmtId="0" fontId="23" fillId="6" borderId="6" xfId="0" applyFont="1" applyFill="1" applyBorder="1" applyAlignment="1"/>
    <xf numFmtId="0" fontId="3" fillId="2" borderId="5" xfId="0" applyFont="1" applyFill="1" applyBorder="1" applyAlignment="1"/>
    <xf numFmtId="0" fontId="3" fillId="2" borderId="7" xfId="0" applyFont="1" applyFill="1" applyBorder="1" applyAlignment="1"/>
    <xf numFmtId="0" fontId="3" fillId="2" borderId="16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11" fontId="3" fillId="2" borderId="5" xfId="0" applyNumberFormat="1" applyFont="1" applyFill="1" applyBorder="1" applyAlignment="1"/>
    <xf numFmtId="0" fontId="4" fillId="0" borderId="8" xfId="0" applyFont="1" applyBorder="1">
      <alignment vertical="center"/>
    </xf>
    <xf numFmtId="165" fontId="4" fillId="0" borderId="0" xfId="0" applyNumberFormat="1" applyFont="1">
      <alignment vertical="center"/>
    </xf>
    <xf numFmtId="9" fontId="4" fillId="0" borderId="0" xfId="1" applyFont="1" applyAlignment="1">
      <alignment vertical="center"/>
    </xf>
    <xf numFmtId="0" fontId="3" fillId="0" borderId="0" xfId="0" applyFont="1" applyAlignment="1">
      <alignment horizontal="left" vertical="center"/>
    </xf>
    <xf numFmtId="11" fontId="24" fillId="6" borderId="18" xfId="0" applyNumberFormat="1" applyFont="1" applyFill="1" applyBorder="1" applyAlignment="1"/>
    <xf numFmtId="11" fontId="24" fillId="6" borderId="122" xfId="0" applyNumberFormat="1" applyFont="1" applyFill="1" applyBorder="1" applyAlignment="1"/>
    <xf numFmtId="11" fontId="24" fillId="6" borderId="31" xfId="0" applyNumberFormat="1" applyFont="1" applyFill="1" applyBorder="1" applyAlignment="1"/>
    <xf numFmtId="0" fontId="22" fillId="0" borderId="0" xfId="0" applyFont="1" applyProtection="1">
      <alignment vertical="center"/>
      <protection locked="0"/>
    </xf>
    <xf numFmtId="0" fontId="22" fillId="0" borderId="32" xfId="0" applyFont="1" applyBorder="1" applyAlignment="1">
      <alignment horizontal="right" vertical="center"/>
    </xf>
    <xf numFmtId="0" fontId="45" fillId="0" borderId="35" xfId="0" applyFont="1" applyBorder="1">
      <alignment vertical="center"/>
    </xf>
    <xf numFmtId="0" fontId="45" fillId="0" borderId="32" xfId="0" applyFont="1" applyBorder="1">
      <alignment vertical="center"/>
    </xf>
    <xf numFmtId="0" fontId="45" fillId="0" borderId="32" xfId="0" applyFont="1" applyBorder="1" applyAlignment="1">
      <alignment horizontal="left" vertical="center"/>
    </xf>
    <xf numFmtId="0" fontId="45" fillId="0" borderId="0" xfId="0" applyFont="1">
      <alignment vertical="center"/>
    </xf>
    <xf numFmtId="0" fontId="46" fillId="0" borderId="32" xfId="0" applyFont="1" applyBorder="1">
      <alignment vertical="center"/>
    </xf>
    <xf numFmtId="11" fontId="3" fillId="8" borderId="99" xfId="0" applyNumberFormat="1" applyFont="1" applyFill="1" applyBorder="1" applyProtection="1">
      <alignment vertical="center"/>
      <protection locked="0"/>
    </xf>
    <xf numFmtId="11" fontId="3" fillId="8" borderId="57" xfId="0" applyNumberFormat="1" applyFont="1" applyFill="1" applyBorder="1" applyProtection="1">
      <alignment vertical="center"/>
      <protection locked="0"/>
    </xf>
    <xf numFmtId="11" fontId="3" fillId="8" borderId="1" xfId="0" applyNumberFormat="1" applyFont="1" applyFill="1" applyBorder="1" applyProtection="1">
      <alignment vertical="center"/>
      <protection locked="0"/>
    </xf>
    <xf numFmtId="11" fontId="3" fillId="8" borderId="62" xfId="0" applyNumberFormat="1" applyFont="1" applyFill="1" applyBorder="1" applyProtection="1">
      <alignment vertical="center"/>
      <protection locked="0"/>
    </xf>
    <xf numFmtId="11" fontId="3" fillId="8" borderId="56" xfId="0" applyNumberFormat="1" applyFont="1" applyFill="1" applyBorder="1" applyProtection="1">
      <alignment vertical="center"/>
      <protection locked="0"/>
    </xf>
    <xf numFmtId="11" fontId="3" fillId="8" borderId="33" xfId="0" applyNumberFormat="1" applyFont="1" applyFill="1" applyBorder="1" applyProtection="1">
      <alignment vertical="center"/>
      <protection locked="0"/>
    </xf>
    <xf numFmtId="11" fontId="3" fillId="8" borderId="59" xfId="0" applyNumberFormat="1" applyFont="1" applyFill="1" applyBorder="1" applyProtection="1">
      <alignment vertical="center"/>
      <protection locked="0"/>
    </xf>
    <xf numFmtId="11" fontId="3" fillId="8" borderId="61" xfId="0" applyNumberFormat="1" applyFont="1" applyFill="1" applyBorder="1" applyProtection="1">
      <alignment vertical="center"/>
      <protection locked="0"/>
    </xf>
    <xf numFmtId="11" fontId="3" fillId="8" borderId="98" xfId="0" applyNumberFormat="1" applyFont="1" applyFill="1" applyBorder="1" applyProtection="1">
      <alignment vertical="center"/>
      <protection locked="0"/>
    </xf>
    <xf numFmtId="11" fontId="3" fillId="8" borderId="111" xfId="0" applyNumberFormat="1" applyFont="1" applyFill="1" applyBorder="1" applyProtection="1">
      <alignment vertical="center"/>
      <protection locked="0"/>
    </xf>
    <xf numFmtId="11" fontId="3" fillId="8" borderId="100" xfId="0" applyNumberFormat="1" applyFont="1" applyFill="1" applyBorder="1" applyProtection="1">
      <alignment vertical="center"/>
      <protection locked="0"/>
    </xf>
    <xf numFmtId="0" fontId="3" fillId="8" borderId="55" xfId="0" applyFont="1" applyFill="1" applyBorder="1" applyProtection="1">
      <alignment vertical="center"/>
      <protection locked="0"/>
    </xf>
    <xf numFmtId="0" fontId="3" fillId="8" borderId="117" xfId="0" applyFont="1" applyFill="1" applyBorder="1" applyProtection="1">
      <alignment vertical="center"/>
      <protection locked="0"/>
    </xf>
    <xf numFmtId="0" fontId="3" fillId="8" borderId="98" xfId="0" applyFont="1" applyFill="1" applyBorder="1" applyProtection="1">
      <alignment vertical="center"/>
      <protection locked="0"/>
    </xf>
    <xf numFmtId="0" fontId="3" fillId="8" borderId="107" xfId="0" applyFont="1" applyFill="1" applyBorder="1" applyProtection="1">
      <alignment vertical="center"/>
      <protection locked="0"/>
    </xf>
    <xf numFmtId="0" fontId="3" fillId="8" borderId="108" xfId="0" applyFont="1" applyFill="1" applyBorder="1" applyProtection="1">
      <alignment vertical="center"/>
      <protection locked="0"/>
    </xf>
    <xf numFmtId="11" fontId="3" fillId="8" borderId="109" xfId="0" applyNumberFormat="1" applyFont="1" applyFill="1" applyBorder="1" applyProtection="1">
      <alignment vertical="center"/>
      <protection locked="0"/>
    </xf>
    <xf numFmtId="11" fontId="3" fillId="8" borderId="70" xfId="0" applyNumberFormat="1" applyFont="1" applyFill="1" applyBorder="1" applyProtection="1">
      <alignment vertical="center"/>
      <protection locked="0"/>
    </xf>
    <xf numFmtId="11" fontId="3" fillId="8" borderId="71" xfId="0" applyNumberFormat="1" applyFont="1" applyFill="1" applyBorder="1" applyProtection="1">
      <alignment vertical="center"/>
      <protection locked="0"/>
    </xf>
    <xf numFmtId="167" fontId="3" fillId="8" borderId="115" xfId="0" applyNumberFormat="1" applyFont="1" applyFill="1" applyBorder="1" applyProtection="1">
      <alignment vertical="center"/>
      <protection locked="0"/>
    </xf>
    <xf numFmtId="0" fontId="3" fillId="8" borderId="118" xfId="0" applyFont="1" applyFill="1" applyBorder="1" applyProtection="1">
      <alignment vertical="center"/>
      <protection locked="0"/>
    </xf>
    <xf numFmtId="0" fontId="3" fillId="8" borderId="70" xfId="0" applyFont="1" applyFill="1" applyBorder="1" applyProtection="1">
      <alignment vertical="center"/>
      <protection locked="0"/>
    </xf>
    <xf numFmtId="0" fontId="3" fillId="8" borderId="34" xfId="0" applyFont="1" applyFill="1" applyBorder="1" applyProtection="1">
      <alignment vertical="center"/>
      <protection locked="0"/>
    </xf>
    <xf numFmtId="0" fontId="3" fillId="8" borderId="106" xfId="0" applyFont="1" applyFill="1" applyBorder="1" applyProtection="1">
      <alignment vertical="center"/>
      <protection locked="0"/>
    </xf>
    <xf numFmtId="11" fontId="3" fillId="8" borderId="38" xfId="0" applyNumberFormat="1" applyFont="1" applyFill="1" applyBorder="1" applyProtection="1">
      <alignment vertical="center"/>
      <protection locked="0"/>
    </xf>
    <xf numFmtId="11" fontId="3" fillId="8" borderId="60" xfId="0" applyNumberFormat="1" applyFont="1" applyFill="1" applyBorder="1" applyProtection="1">
      <alignment vertical="center"/>
      <protection locked="0"/>
    </xf>
    <xf numFmtId="167" fontId="3" fillId="8" borderId="65" xfId="0" applyNumberFormat="1" applyFont="1" applyFill="1" applyBorder="1" applyProtection="1">
      <alignment vertical="center"/>
      <protection locked="0"/>
    </xf>
    <xf numFmtId="0" fontId="3" fillId="8" borderId="119" xfId="0" applyFont="1" applyFill="1" applyBorder="1" applyProtection="1">
      <alignment vertical="center"/>
      <protection locked="0"/>
    </xf>
    <xf numFmtId="0" fontId="3" fillId="8" borderId="59" xfId="0" applyFont="1" applyFill="1" applyBorder="1" applyProtection="1">
      <alignment vertical="center"/>
      <protection locked="0"/>
    </xf>
    <xf numFmtId="0" fontId="3" fillId="8" borderId="3" xfId="0" applyFont="1" applyFill="1" applyBorder="1" applyProtection="1">
      <alignment vertical="center"/>
      <protection locked="0"/>
    </xf>
    <xf numFmtId="0" fontId="3" fillId="8" borderId="103" xfId="0" applyFont="1" applyFill="1" applyBorder="1" applyProtection="1">
      <alignment vertical="center"/>
      <protection locked="0"/>
    </xf>
    <xf numFmtId="11" fontId="3" fillId="8" borderId="105" xfId="0" applyNumberFormat="1" applyFont="1" applyFill="1" applyBorder="1" applyProtection="1">
      <alignment vertical="center"/>
      <protection locked="0"/>
    </xf>
    <xf numFmtId="11" fontId="3" fillId="8" borderId="63" xfId="0" applyNumberFormat="1" applyFont="1" applyFill="1" applyBorder="1" applyProtection="1">
      <alignment vertical="center"/>
      <protection locked="0"/>
    </xf>
    <xf numFmtId="167" fontId="3" fillId="8" borderId="66" xfId="0" applyNumberFormat="1" applyFont="1" applyFill="1" applyBorder="1" applyProtection="1">
      <alignment vertical="center"/>
      <protection locked="0"/>
    </xf>
    <xf numFmtId="0" fontId="3" fillId="8" borderId="120" xfId="0" applyFont="1" applyFill="1" applyBorder="1" applyProtection="1">
      <alignment vertical="center"/>
      <protection locked="0"/>
    </xf>
    <xf numFmtId="0" fontId="3" fillId="8" borderId="61" xfId="0" applyFont="1" applyFill="1" applyBorder="1" applyProtection="1">
      <alignment vertical="center"/>
      <protection locked="0"/>
    </xf>
    <xf numFmtId="0" fontId="3" fillId="8" borderId="104" xfId="0" applyFont="1" applyFill="1" applyBorder="1" applyProtection="1">
      <alignment vertical="center"/>
      <protection locked="0"/>
    </xf>
    <xf numFmtId="0" fontId="3" fillId="8" borderId="94" xfId="0" applyFont="1" applyFill="1" applyBorder="1" applyProtection="1">
      <alignment vertical="center"/>
      <protection locked="0"/>
    </xf>
    <xf numFmtId="11" fontId="3" fillId="8" borderId="58" xfId="0" applyNumberFormat="1" applyFont="1" applyFill="1" applyBorder="1" applyProtection="1">
      <alignment vertical="center"/>
      <protection locked="0"/>
    </xf>
    <xf numFmtId="167" fontId="3" fillId="8" borderId="64" xfId="0" applyNumberFormat="1" applyFont="1" applyFill="1" applyBorder="1" applyProtection="1">
      <alignment vertical="center"/>
      <protection locked="0"/>
    </xf>
    <xf numFmtId="0" fontId="3" fillId="8" borderId="121" xfId="0" applyFont="1" applyFill="1" applyBorder="1" applyProtection="1">
      <alignment vertical="center"/>
      <protection locked="0"/>
    </xf>
    <xf numFmtId="0" fontId="3" fillId="8" borderId="56" xfId="0" applyFont="1" applyFill="1" applyBorder="1" applyProtection="1">
      <alignment vertical="center"/>
      <protection locked="0"/>
    </xf>
    <xf numFmtId="0" fontId="3" fillId="8" borderId="101" xfId="0" applyFont="1" applyFill="1" applyBorder="1" applyProtection="1">
      <alignment vertical="center"/>
      <protection locked="0"/>
    </xf>
    <xf numFmtId="0" fontId="3" fillId="8" borderId="102" xfId="0" applyFont="1" applyFill="1" applyBorder="1" applyProtection="1">
      <alignment vertical="center"/>
      <protection locked="0"/>
    </xf>
    <xf numFmtId="11" fontId="3" fillId="8" borderId="95" xfId="0" applyNumberFormat="1" applyFont="1" applyFill="1" applyBorder="1" applyProtection="1">
      <alignment vertical="center"/>
      <protection locked="0"/>
    </xf>
    <xf numFmtId="11" fontId="3" fillId="8" borderId="96" xfId="0" applyNumberFormat="1" applyFont="1" applyFill="1" applyBorder="1" applyProtection="1">
      <alignment vertical="center"/>
      <protection locked="0"/>
    </xf>
    <xf numFmtId="11" fontId="3" fillId="8" borderId="112" xfId="0" applyNumberFormat="1" applyFont="1" applyFill="1" applyBorder="1" applyProtection="1">
      <alignment vertical="center"/>
      <protection locked="0"/>
    </xf>
    <xf numFmtId="11" fontId="3" fillId="8" borderId="81" xfId="0" applyNumberFormat="1" applyFont="1" applyFill="1" applyBorder="1" applyProtection="1">
      <alignment vertical="center"/>
      <protection locked="0"/>
    </xf>
    <xf numFmtId="11" fontId="3" fillId="8" borderId="2" xfId="0" applyNumberFormat="1" applyFont="1" applyFill="1" applyBorder="1" applyProtection="1">
      <alignment vertical="center"/>
      <protection locked="0"/>
    </xf>
    <xf numFmtId="11" fontId="3" fillId="8" borderId="113" xfId="0" applyNumberFormat="1" applyFont="1" applyFill="1" applyBorder="1" applyProtection="1">
      <alignment vertical="center"/>
      <protection locked="0"/>
    </xf>
    <xf numFmtId="11" fontId="3" fillId="8" borderId="90" xfId="0" applyNumberFormat="1" applyFont="1" applyFill="1" applyBorder="1" applyProtection="1">
      <alignment vertical="center"/>
      <protection locked="0"/>
    </xf>
    <xf numFmtId="11" fontId="3" fillId="8" borderId="91" xfId="0" applyNumberFormat="1" applyFont="1" applyFill="1" applyBorder="1" applyProtection="1">
      <alignment vertical="center"/>
      <protection locked="0"/>
    </xf>
    <xf numFmtId="11" fontId="3" fillId="8" borderId="114" xfId="0" applyNumberFormat="1" applyFont="1" applyFill="1" applyBorder="1" applyProtection="1">
      <alignment vertical="center"/>
      <protection locked="0"/>
    </xf>
    <xf numFmtId="0" fontId="3" fillId="0" borderId="32" xfId="0" applyFont="1" applyBorder="1" applyAlignment="1">
      <alignment horizontal="left" wrapText="1"/>
    </xf>
  </cellXfs>
  <cellStyles count="7">
    <cellStyle name="Normal" xfId="0" builtinId="0"/>
    <cellStyle name="Normal 2" xfId="5" xr:uid="{5E5BCF77-A3BB-4A78-8AEF-58106E9B4369}"/>
    <cellStyle name="Normal 3" xfId="6" xr:uid="{67ED1513-809D-4C11-95E7-A446059176BE}"/>
    <cellStyle name="Normal 4" xfId="3" xr:uid="{6D7F4866-BD7E-4BCA-AAC9-202F9292E83F}"/>
    <cellStyle name="Percent" xfId="1" builtinId="5"/>
    <cellStyle name="Percent 2" xfId="2" xr:uid="{753B76B7-BFC4-45D9-A33F-B9D3E19B7A55}"/>
    <cellStyle name="Percent 3" xfId="4" xr:uid="{5C53E69B-C7A8-498B-B340-8FEE27A71EE0}"/>
  </cellStyles>
  <dxfs count="2">
    <dxf>
      <fill>
        <patternFill>
          <bgColor rgb="FF0070C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0081E2"/>
      <color rgb="FF0070C0"/>
      <color rgb="FF0D97FF"/>
      <color rgb="FF0066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1866900</xdr:colOff>
          <xdr:row>15</xdr:row>
          <xdr:rowOff>161925</xdr:rowOff>
        </xdr:from>
        <xdr:to>
          <xdr:col>12</xdr:col>
          <xdr:colOff>19050</xdr:colOff>
          <xdr:row>15</xdr:row>
          <xdr:rowOff>438150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1609725</xdr:colOff>
          <xdr:row>15</xdr:row>
          <xdr:rowOff>171450</xdr:rowOff>
        </xdr:from>
        <xdr:to>
          <xdr:col>4</xdr:col>
          <xdr:colOff>1085850</xdr:colOff>
          <xdr:row>15</xdr:row>
          <xdr:rowOff>447675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15</xdr:row>
          <xdr:rowOff>171450</xdr:rowOff>
        </xdr:from>
        <xdr:to>
          <xdr:col>3</xdr:col>
          <xdr:colOff>1533525</xdr:colOff>
          <xdr:row>15</xdr:row>
          <xdr:rowOff>447675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161925</xdr:rowOff>
        </xdr:from>
        <xdr:to>
          <xdr:col>10</xdr:col>
          <xdr:colOff>1800225</xdr:colOff>
          <xdr:row>15</xdr:row>
          <xdr:rowOff>438150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1409700</xdr:colOff>
          <xdr:row>8</xdr:row>
          <xdr:rowOff>9525</xdr:rowOff>
        </xdr:from>
        <xdr:to>
          <xdr:col>3</xdr:col>
          <xdr:colOff>2219325</xdr:colOff>
          <xdr:row>9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0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1895475</xdr:colOff>
          <xdr:row>2</xdr:row>
          <xdr:rowOff>85725</xdr:rowOff>
        </xdr:from>
        <xdr:to>
          <xdr:col>14</xdr:col>
          <xdr:colOff>28575</xdr:colOff>
          <xdr:row>3</xdr:row>
          <xdr:rowOff>161925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0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inputs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36</xdr:row>
          <xdr:rowOff>180975</xdr:rowOff>
        </xdr:from>
        <xdr:to>
          <xdr:col>10</xdr:col>
          <xdr:colOff>581025</xdr:colOff>
          <xdr:row>39</xdr:row>
          <xdr:rowOff>142875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6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time-dependent lifespan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5</xdr:row>
          <xdr:rowOff>190500</xdr:rowOff>
        </xdr:from>
        <xdr:to>
          <xdr:col>5</xdr:col>
          <xdr:colOff>295275</xdr:colOff>
          <xdr:row>7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6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Auto-parameterization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20</xdr:row>
          <xdr:rowOff>0</xdr:rowOff>
        </xdr:from>
        <xdr:to>
          <xdr:col>11</xdr:col>
          <xdr:colOff>295275</xdr:colOff>
          <xdr:row>30</xdr:row>
          <xdr:rowOff>123825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6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time-independent distribution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190500</xdr:rowOff>
        </xdr:from>
        <xdr:to>
          <xdr:col>4</xdr:col>
          <xdr:colOff>876300</xdr:colOff>
          <xdr:row>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6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66675</xdr:rowOff>
        </xdr:from>
        <xdr:to>
          <xdr:col>6</xdr:col>
          <xdr:colOff>485775</xdr:colOff>
          <xdr:row>1</xdr:row>
          <xdr:rowOff>47625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5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default emission factors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9525</xdr:rowOff>
        </xdr:from>
        <xdr:to>
          <xdr:col>7</xdr:col>
          <xdr:colOff>790575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19050</xdr:rowOff>
        </xdr:from>
        <xdr:to>
          <xdr:col>7</xdr:col>
          <xdr:colOff>790575</xdr:colOff>
          <xdr:row>5</xdr:row>
          <xdr:rowOff>9525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19050</xdr:rowOff>
        </xdr:from>
        <xdr:to>
          <xdr:col>7</xdr:col>
          <xdr:colOff>790575</xdr:colOff>
          <xdr:row>6</xdr:row>
          <xdr:rowOff>9525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50"/>
  <sheetViews>
    <sheetView tabSelected="1" zoomScaleNormal="100" workbookViewId="0">
      <pane xSplit="28" ySplit="36" topLeftCell="AC37" activePane="bottomRight" state="frozen"/>
      <selection pane="topRight" activeCell="AC1" sqref="AC1"/>
      <selection pane="bottomLeft" activeCell="A37" sqref="A37"/>
      <selection pane="bottomRight" activeCell="U14" sqref="U14"/>
    </sheetView>
  </sheetViews>
  <sheetFormatPr defaultColWidth="8.73046875" defaultRowHeight="13.5"/>
  <cols>
    <col min="1" max="1" width="8.73046875" style="158"/>
    <col min="2" max="2" width="1.1328125" style="158" customWidth="1"/>
    <col min="3" max="3" width="2.86328125" style="158" customWidth="1"/>
    <col min="4" max="4" width="29.265625" style="158" customWidth="1"/>
    <col min="5" max="5" width="14.265625" style="158" customWidth="1"/>
    <col min="6" max="6" width="1.3984375" style="158" customWidth="1"/>
    <col min="7" max="7" width="1.1328125" style="158" customWidth="1"/>
    <col min="8" max="8" width="8.73046875" style="158"/>
    <col min="9" max="9" width="1.1328125" style="158" customWidth="1"/>
    <col min="10" max="10" width="2.86328125" style="158" customWidth="1"/>
    <col min="11" max="11" width="31.3984375" style="158" customWidth="1"/>
    <col min="12" max="12" width="15.3984375" style="158" customWidth="1"/>
    <col min="13" max="13" width="1.59765625" style="158" customWidth="1"/>
    <col min="14" max="14" width="1.1328125" style="158" customWidth="1"/>
    <col min="15" max="16384" width="8.73046875" style="158"/>
  </cols>
  <sheetData>
    <row r="1" spans="1:33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E1" s="159"/>
      <c r="AF1" s="159"/>
      <c r="AG1" s="159"/>
    </row>
    <row r="2" spans="1:33" ht="43.5" customHeight="1">
      <c r="A2" s="157"/>
      <c r="B2" s="174" t="s">
        <v>193</v>
      </c>
      <c r="C2" s="160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E2" s="159"/>
      <c r="AF2" s="159"/>
      <c r="AG2" s="159"/>
    </row>
    <row r="3" spans="1:33" ht="15">
      <c r="A3" s="157"/>
      <c r="B3" s="157"/>
      <c r="C3" s="173" t="s">
        <v>221</v>
      </c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E3" s="159" t="s">
        <v>441</v>
      </c>
      <c r="AF3" s="159" t="b">
        <v>0</v>
      </c>
      <c r="AG3" s="159"/>
    </row>
    <row r="4" spans="1:33">
      <c r="A4" s="157"/>
      <c r="B4" s="161"/>
      <c r="C4" s="161" t="s">
        <v>591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E4" s="159"/>
      <c r="AF4" s="159"/>
      <c r="AG4" s="159"/>
    </row>
    <row r="5" spans="1:33" ht="13.9" thickBot="1">
      <c r="A5" s="157"/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E5" s="159"/>
      <c r="AF5" s="159"/>
      <c r="AG5" s="159"/>
    </row>
    <row r="6" spans="1:33" ht="6" customHeight="1">
      <c r="A6" s="157"/>
      <c r="B6" s="162"/>
      <c r="C6" s="163"/>
      <c r="D6" s="163"/>
      <c r="E6" s="163"/>
      <c r="F6" s="163"/>
      <c r="G6" s="164"/>
      <c r="H6" s="157"/>
      <c r="I6" s="162"/>
      <c r="J6" s="163"/>
      <c r="K6" s="163"/>
      <c r="L6" s="163"/>
      <c r="M6" s="163"/>
      <c r="N6" s="164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E6" s="159"/>
      <c r="AF6" s="159"/>
      <c r="AG6" s="159"/>
    </row>
    <row r="7" spans="1:33" ht="18" customHeight="1">
      <c r="A7" s="157"/>
      <c r="B7" s="165"/>
      <c r="C7" s="166" t="s">
        <v>220</v>
      </c>
      <c r="D7" s="157"/>
      <c r="E7" s="157"/>
      <c r="F7" s="157"/>
      <c r="G7" s="167"/>
      <c r="H7" s="157"/>
      <c r="I7" s="165"/>
      <c r="J7" s="166" t="s">
        <v>219</v>
      </c>
      <c r="K7" s="157"/>
      <c r="L7" s="157"/>
      <c r="M7" s="157"/>
      <c r="N7" s="16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E7" s="159"/>
      <c r="AF7" s="159"/>
      <c r="AG7" s="159"/>
    </row>
    <row r="8" spans="1:33" ht="6.95" customHeight="1">
      <c r="A8" s="157"/>
      <c r="B8" s="165"/>
      <c r="C8" s="157"/>
      <c r="D8" s="157"/>
      <c r="E8" s="157"/>
      <c r="F8" s="157"/>
      <c r="G8" s="167"/>
      <c r="H8" s="157"/>
      <c r="I8" s="165"/>
      <c r="J8" s="157"/>
      <c r="K8" s="157"/>
      <c r="L8" s="157"/>
      <c r="M8" s="157"/>
      <c r="N8" s="16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E8" s="159"/>
      <c r="AF8" s="159"/>
      <c r="AG8" s="159"/>
    </row>
    <row r="9" spans="1:33" ht="18" customHeight="1">
      <c r="A9" s="157"/>
      <c r="B9" s="165"/>
      <c r="C9" s="157" t="s">
        <v>222</v>
      </c>
      <c r="D9" s="157"/>
      <c r="E9" s="168" t="s">
        <v>506</v>
      </c>
      <c r="F9" s="157"/>
      <c r="G9" s="167"/>
      <c r="H9" s="157"/>
      <c r="I9" s="165"/>
      <c r="J9" s="157" t="s">
        <v>403</v>
      </c>
      <c r="K9" s="157"/>
      <c r="L9" s="168">
        <v>1</v>
      </c>
      <c r="M9" s="157"/>
      <c r="N9" s="16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E9" s="159"/>
      <c r="AF9" s="159"/>
      <c r="AG9" s="159"/>
    </row>
    <row r="10" spans="1:33" ht="18" customHeight="1">
      <c r="A10" s="157"/>
      <c r="B10" s="165"/>
      <c r="C10" s="157" t="s">
        <v>442</v>
      </c>
      <c r="D10" s="157"/>
      <c r="E10" s="168">
        <v>1930</v>
      </c>
      <c r="F10" s="157"/>
      <c r="G10" s="167"/>
      <c r="H10" s="157"/>
      <c r="I10" s="165"/>
      <c r="J10" s="157" t="s">
        <v>402</v>
      </c>
      <c r="K10" s="157"/>
      <c r="L10" s="168">
        <v>1</v>
      </c>
      <c r="M10" s="157"/>
      <c r="N10" s="16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E10" s="159"/>
      <c r="AF10" s="159"/>
      <c r="AG10" s="159"/>
    </row>
    <row r="11" spans="1:33" ht="18" customHeight="1">
      <c r="A11" s="157"/>
      <c r="B11" s="165"/>
      <c r="C11" s="157" t="s">
        <v>443</v>
      </c>
      <c r="D11" s="157"/>
      <c r="E11" s="168">
        <v>1980</v>
      </c>
      <c r="F11" s="157"/>
      <c r="G11" s="167"/>
      <c r="H11" s="157"/>
      <c r="I11" s="165"/>
      <c r="J11" s="157" t="s">
        <v>429</v>
      </c>
      <c r="K11" s="157"/>
      <c r="L11" s="168" t="s">
        <v>440</v>
      </c>
      <c r="M11" s="157"/>
      <c r="N11" s="16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</row>
    <row r="12" spans="1:33" ht="18" customHeight="1">
      <c r="A12" s="157"/>
      <c r="B12" s="165"/>
      <c r="C12" s="157" t="s">
        <v>493</v>
      </c>
      <c r="D12" s="157"/>
      <c r="E12" s="168" t="s">
        <v>440</v>
      </c>
      <c r="F12" s="157"/>
      <c r="G12" s="167"/>
      <c r="H12" s="157"/>
      <c r="I12" s="165"/>
      <c r="J12" s="157" t="s">
        <v>428</v>
      </c>
      <c r="K12" s="157"/>
      <c r="L12" s="168" t="s">
        <v>583</v>
      </c>
      <c r="M12" s="157"/>
      <c r="N12" s="16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1:33" ht="18" customHeight="1">
      <c r="A13" s="157"/>
      <c r="B13" s="165"/>
      <c r="C13" s="157" t="s">
        <v>494</v>
      </c>
      <c r="D13" s="157"/>
      <c r="E13" s="168" t="s">
        <v>440</v>
      </c>
      <c r="F13" s="157"/>
      <c r="G13" s="167"/>
      <c r="H13" s="157"/>
      <c r="I13" s="165"/>
      <c r="J13" s="157"/>
      <c r="K13" s="157" t="str">
        <f>IF(RAIDARoutput="Yes","Regional population","")</f>
        <v>Regional population</v>
      </c>
      <c r="L13" s="168">
        <f>300000000/10</f>
        <v>30000000</v>
      </c>
      <c r="M13" s="157"/>
      <c r="N13" s="16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</row>
    <row r="14" spans="1:33" ht="18" customHeight="1">
      <c r="A14" s="157"/>
      <c r="B14" s="165"/>
      <c r="C14" s="157"/>
      <c r="D14" s="157"/>
      <c r="E14" s="157"/>
      <c r="F14" s="157"/>
      <c r="G14" s="167"/>
      <c r="H14" s="157"/>
      <c r="I14" s="165"/>
      <c r="J14" s="157"/>
      <c r="K14" s="157" t="str">
        <f>IF(RAIDARoutput="Yes","Regional number of houses","")</f>
        <v>Regional number of houses</v>
      </c>
      <c r="L14" s="169">
        <f>POPreg/3.14</f>
        <v>9554140.1273885351</v>
      </c>
      <c r="M14" s="157"/>
      <c r="N14" s="16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</row>
    <row r="15" spans="1:33" ht="18" customHeight="1">
      <c r="A15" s="157"/>
      <c r="B15" s="165"/>
      <c r="C15" s="157" t="s">
        <v>569</v>
      </c>
      <c r="D15" s="157"/>
      <c r="E15" s="168" t="s">
        <v>578</v>
      </c>
      <c r="F15" s="157"/>
      <c r="G15" s="167"/>
      <c r="H15" s="157"/>
      <c r="I15" s="165"/>
      <c r="J15" s="157"/>
      <c r="K15" s="157" t="str">
        <f>IF(RAIDARoutput="Yes","Area of a single room (m2)","")</f>
        <v>Area of a single room (m2)</v>
      </c>
      <c r="L15" s="168">
        <v>164</v>
      </c>
      <c r="M15" s="157"/>
      <c r="N15" s="16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</row>
    <row r="16" spans="1:33" ht="38.1" customHeight="1">
      <c r="A16" s="157"/>
      <c r="B16" s="165"/>
      <c r="C16" s="157"/>
      <c r="D16" s="157"/>
      <c r="E16" s="157"/>
      <c r="F16" s="157"/>
      <c r="G16" s="167"/>
      <c r="H16" s="157"/>
      <c r="I16" s="165"/>
      <c r="J16" s="157"/>
      <c r="K16" s="157"/>
      <c r="L16" s="157"/>
      <c r="M16" s="157"/>
      <c r="N16" s="16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</row>
    <row r="17" spans="1:29" ht="6.6" customHeight="1" thickBot="1">
      <c r="A17" s="157"/>
      <c r="B17" s="170"/>
      <c r="C17" s="171"/>
      <c r="D17" s="171"/>
      <c r="E17" s="171"/>
      <c r="F17" s="171"/>
      <c r="G17" s="172"/>
      <c r="H17" s="157"/>
      <c r="I17" s="170"/>
      <c r="J17" s="171"/>
      <c r="K17" s="171"/>
      <c r="L17" s="171"/>
      <c r="M17" s="171"/>
      <c r="N17" s="172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</row>
    <row r="18" spans="1:29" ht="18" customHeight="1">
      <c r="A18" s="157"/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</row>
    <row r="19" spans="1:29" ht="18" customHeight="1">
      <c r="A19" s="157"/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</row>
    <row r="20" spans="1:29" ht="18" customHeight="1">
      <c r="A20" s="157"/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</row>
    <row r="21" spans="1:29" ht="18" customHeight="1">
      <c r="A21" s="157"/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 t="s">
        <v>216</v>
      </c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</row>
    <row r="22" spans="1:29" ht="18" customHeight="1">
      <c r="A22" s="157"/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</row>
    <row r="23" spans="1:29" ht="18" customHeight="1">
      <c r="A23" s="157"/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</row>
    <row r="24" spans="1:29" ht="18" customHeight="1">
      <c r="A24" s="157"/>
      <c r="B24" s="157"/>
      <c r="C24" s="157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</row>
    <row r="25" spans="1:29" ht="18" customHeight="1">
      <c r="A25" s="157"/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</row>
    <row r="26" spans="1:29" ht="18" customHeight="1">
      <c r="A26" s="157"/>
      <c r="B26" s="157"/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</row>
    <row r="27" spans="1:29" ht="18" customHeight="1">
      <c r="A27" s="157"/>
      <c r="B27" s="157"/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</row>
    <row r="28" spans="1:29">
      <c r="A28" s="157"/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</row>
    <row r="29" spans="1:29">
      <c r="A29" s="157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</row>
    <row r="30" spans="1:29">
      <c r="A30" s="157"/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</row>
    <row r="31" spans="1:29">
      <c r="A31" s="157"/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</row>
    <row r="32" spans="1:29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</row>
    <row r="33" spans="1:29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</row>
    <row r="34" spans="1:29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</row>
    <row r="35" spans="1:29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</row>
    <row r="36" spans="1:29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</row>
    <row r="37" spans="1:29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</row>
    <row r="38" spans="1:29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</row>
    <row r="39" spans="1:29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</row>
    <row r="40" spans="1:29">
      <c r="A40" s="157"/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</row>
    <row r="41" spans="1:29">
      <c r="A41" s="157"/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</row>
    <row r="42" spans="1:29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</row>
    <row r="43" spans="1:29">
      <c r="A43" s="157"/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</row>
    <row r="44" spans="1:29">
      <c r="A44" s="157"/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</row>
    <row r="45" spans="1:29">
      <c r="A45" s="157"/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</row>
    <row r="46" spans="1:29">
      <c r="A46" s="157"/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</row>
    <row r="47" spans="1:29">
      <c r="A47" s="157"/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</row>
    <row r="48" spans="1:29">
      <c r="A48" s="157"/>
      <c r="B48" s="157"/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</row>
    <row r="49" spans="1:29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</row>
    <row r="50" spans="1:29">
      <c r="A50" s="157"/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</row>
    <row r="51" spans="1:29">
      <c r="A51" s="157"/>
      <c r="B51" s="157"/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</row>
    <row r="52" spans="1:29">
      <c r="A52" s="157"/>
      <c r="B52" s="157"/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</row>
    <row r="53" spans="1:29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</row>
    <row r="54" spans="1:29">
      <c r="A54" s="157"/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</row>
    <row r="55" spans="1:29">
      <c r="A55" s="157"/>
      <c r="B55" s="157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</row>
    <row r="56" spans="1:29">
      <c r="A56" s="157"/>
      <c r="B56" s="157"/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</row>
    <row r="59" spans="1:29">
      <c r="D59" s="158" t="s">
        <v>349</v>
      </c>
      <c r="E59" s="158" t="s">
        <v>378</v>
      </c>
      <c r="F59" s="158" t="s">
        <v>445</v>
      </c>
      <c r="G59" s="158" t="s">
        <v>450</v>
      </c>
      <c r="H59" s="158" t="s">
        <v>456</v>
      </c>
      <c r="I59" s="158" t="s">
        <v>562</v>
      </c>
    </row>
    <row r="60" spans="1:29">
      <c r="A60" s="158">
        <v>1</v>
      </c>
      <c r="D60" s="158" t="s">
        <v>331</v>
      </c>
      <c r="E60" s="158" t="s">
        <v>45</v>
      </c>
      <c r="F60" s="158" t="s">
        <v>411</v>
      </c>
      <c r="G60" s="158" t="s">
        <v>21</v>
      </c>
      <c r="H60" s="158" t="s">
        <v>457</v>
      </c>
      <c r="I60" s="158" t="s">
        <v>561</v>
      </c>
    </row>
    <row r="61" spans="1:29">
      <c r="A61" s="158">
        <v>2</v>
      </c>
      <c r="D61" s="158" t="s">
        <v>332</v>
      </c>
      <c r="E61" s="158" t="s">
        <v>47</v>
      </c>
      <c r="F61" s="158" t="s">
        <v>446</v>
      </c>
      <c r="G61" s="158" t="s">
        <v>451</v>
      </c>
      <c r="H61" s="158" t="s">
        <v>458</v>
      </c>
      <c r="I61" s="158" t="s">
        <v>563</v>
      </c>
    </row>
    <row r="62" spans="1:29">
      <c r="A62" s="158">
        <v>3</v>
      </c>
      <c r="D62" s="158" t="s">
        <v>333</v>
      </c>
      <c r="E62" s="158" t="s">
        <v>49</v>
      </c>
      <c r="F62" s="158" t="s">
        <v>447</v>
      </c>
      <c r="G62" s="158" t="s">
        <v>452</v>
      </c>
      <c r="H62" s="158" t="s">
        <v>459</v>
      </c>
      <c r="I62" s="158" t="s">
        <v>564</v>
      </c>
    </row>
    <row r="63" spans="1:29">
      <c r="A63" s="158">
        <v>4</v>
      </c>
      <c r="D63" s="158" t="s">
        <v>334</v>
      </c>
      <c r="E63" s="158" t="s">
        <v>356</v>
      </c>
      <c r="F63" s="158" t="s">
        <v>448</v>
      </c>
      <c r="G63" s="158" t="s">
        <v>27</v>
      </c>
      <c r="H63" s="158" t="s">
        <v>460</v>
      </c>
      <c r="I63" s="158" t="s">
        <v>565</v>
      </c>
    </row>
    <row r="64" spans="1:29">
      <c r="A64" s="158">
        <v>5</v>
      </c>
      <c r="D64" s="158" t="s">
        <v>335</v>
      </c>
      <c r="E64" s="158" t="s">
        <v>357</v>
      </c>
      <c r="F64" s="158" t="s">
        <v>449</v>
      </c>
      <c r="G64" s="158" t="s">
        <v>453</v>
      </c>
      <c r="H64" s="158" t="s">
        <v>461</v>
      </c>
      <c r="I64" s="158" t="s">
        <v>566</v>
      </c>
    </row>
    <row r="65" spans="1:9">
      <c r="A65" s="158">
        <v>6</v>
      </c>
      <c r="D65" s="158" t="s">
        <v>336</v>
      </c>
      <c r="E65" s="158" t="s">
        <v>51</v>
      </c>
      <c r="G65" s="158" t="s">
        <v>454</v>
      </c>
      <c r="I65" s="158" t="s">
        <v>567</v>
      </c>
    </row>
    <row r="66" spans="1:9">
      <c r="A66" s="158">
        <v>7</v>
      </c>
      <c r="D66" s="158" t="s">
        <v>337</v>
      </c>
      <c r="E66" s="158" t="s">
        <v>53</v>
      </c>
      <c r="G66" s="158" t="s">
        <v>455</v>
      </c>
      <c r="I66" s="158" t="s">
        <v>568</v>
      </c>
    </row>
    <row r="67" spans="1:9">
      <c r="A67" s="158">
        <v>8</v>
      </c>
      <c r="D67" s="158" t="s">
        <v>348</v>
      </c>
      <c r="E67" s="158" t="s">
        <v>358</v>
      </c>
    </row>
    <row r="68" spans="1:9">
      <c r="A68" s="158">
        <v>9</v>
      </c>
      <c r="D68" s="158" t="s">
        <v>338</v>
      </c>
      <c r="E68" s="158" t="s">
        <v>359</v>
      </c>
    </row>
    <row r="69" spans="1:9">
      <c r="A69" s="158">
        <v>10</v>
      </c>
      <c r="D69" s="158" t="s">
        <v>339</v>
      </c>
      <c r="E69" s="158" t="s">
        <v>56</v>
      </c>
    </row>
    <row r="70" spans="1:9">
      <c r="A70" s="158">
        <v>11</v>
      </c>
      <c r="D70" s="158" t="s">
        <v>340</v>
      </c>
      <c r="E70" s="158" t="s">
        <v>57</v>
      </c>
    </row>
    <row r="71" spans="1:9">
      <c r="A71" s="158">
        <v>12</v>
      </c>
      <c r="D71" s="158" t="s">
        <v>341</v>
      </c>
      <c r="E71" s="158" t="s">
        <v>283</v>
      </c>
    </row>
    <row r="72" spans="1:9">
      <c r="A72" s="158">
        <v>13</v>
      </c>
      <c r="D72" s="158" t="s">
        <v>342</v>
      </c>
      <c r="E72" s="158" t="s">
        <v>360</v>
      </c>
    </row>
    <row r="73" spans="1:9">
      <c r="A73" s="158">
        <v>14</v>
      </c>
      <c r="D73" s="158" t="s">
        <v>343</v>
      </c>
      <c r="E73" s="158" t="s">
        <v>361</v>
      </c>
    </row>
    <row r="74" spans="1:9">
      <c r="A74" s="158">
        <v>15</v>
      </c>
      <c r="D74" s="158" t="s">
        <v>46</v>
      </c>
      <c r="E74" s="158" t="s">
        <v>60</v>
      </c>
    </row>
    <row r="75" spans="1:9">
      <c r="A75" s="158">
        <v>16</v>
      </c>
      <c r="D75" s="158" t="s">
        <v>344</v>
      </c>
      <c r="E75" s="158" t="s">
        <v>61</v>
      </c>
    </row>
    <row r="76" spans="1:9">
      <c r="E76" s="158" t="s">
        <v>63</v>
      </c>
    </row>
    <row r="77" spans="1:9">
      <c r="E77" s="158" t="s">
        <v>64</v>
      </c>
    </row>
    <row r="78" spans="1:9">
      <c r="E78" s="158" t="s">
        <v>66</v>
      </c>
    </row>
    <row r="79" spans="1:9">
      <c r="E79" s="158" t="s">
        <v>68</v>
      </c>
    </row>
    <row r="80" spans="1:9">
      <c r="E80" s="158" t="s">
        <v>70</v>
      </c>
    </row>
    <row r="81" spans="5:5">
      <c r="E81" s="158" t="s">
        <v>71</v>
      </c>
    </row>
    <row r="82" spans="5:5">
      <c r="E82" s="158" t="s">
        <v>72</v>
      </c>
    </row>
    <row r="83" spans="5:5">
      <c r="E83" s="158" t="s">
        <v>73</v>
      </c>
    </row>
    <row r="84" spans="5:5">
      <c r="E84" s="158" t="s">
        <v>362</v>
      </c>
    </row>
    <row r="85" spans="5:5">
      <c r="E85" s="158" t="s">
        <v>363</v>
      </c>
    </row>
    <row r="86" spans="5:5">
      <c r="E86" s="158" t="s">
        <v>75</v>
      </c>
    </row>
    <row r="87" spans="5:5">
      <c r="E87" s="158" t="s">
        <v>364</v>
      </c>
    </row>
    <row r="88" spans="5:5">
      <c r="E88" s="158" t="s">
        <v>365</v>
      </c>
    </row>
    <row r="89" spans="5:5">
      <c r="E89" s="158" t="s">
        <v>76</v>
      </c>
    </row>
    <row r="90" spans="5:5">
      <c r="E90" s="158" t="s">
        <v>366</v>
      </c>
    </row>
    <row r="91" spans="5:5">
      <c r="E91" s="158" t="s">
        <v>77</v>
      </c>
    </row>
    <row r="92" spans="5:5">
      <c r="E92" s="158" t="s">
        <v>79</v>
      </c>
    </row>
    <row r="93" spans="5:5">
      <c r="E93" s="158" t="s">
        <v>367</v>
      </c>
    </row>
    <row r="94" spans="5:5">
      <c r="E94" s="158" t="s">
        <v>368</v>
      </c>
    </row>
    <row r="95" spans="5:5">
      <c r="E95" s="158" t="s">
        <v>82</v>
      </c>
    </row>
    <row r="96" spans="5:5">
      <c r="E96" s="158" t="s">
        <v>84</v>
      </c>
    </row>
    <row r="97" spans="5:5">
      <c r="E97" s="158" t="s">
        <v>369</v>
      </c>
    </row>
    <row r="98" spans="5:5">
      <c r="E98" s="158" t="s">
        <v>87</v>
      </c>
    </row>
    <row r="99" spans="5:5">
      <c r="E99" s="158" t="s">
        <v>89</v>
      </c>
    </row>
    <row r="100" spans="5:5">
      <c r="E100" s="158" t="s">
        <v>91</v>
      </c>
    </row>
    <row r="101" spans="5:5">
      <c r="E101" s="158" t="s">
        <v>370</v>
      </c>
    </row>
    <row r="102" spans="5:5">
      <c r="E102" s="158" t="s">
        <v>93</v>
      </c>
    </row>
    <row r="103" spans="5:5">
      <c r="E103" s="158" t="s">
        <v>94</v>
      </c>
    </row>
    <row r="104" spans="5:5">
      <c r="E104" s="158" t="s">
        <v>96</v>
      </c>
    </row>
    <row r="105" spans="5:5">
      <c r="E105" s="158" t="s">
        <v>371</v>
      </c>
    </row>
    <row r="106" spans="5:5">
      <c r="E106" s="158" t="s">
        <v>97</v>
      </c>
    </row>
    <row r="107" spans="5:5">
      <c r="E107" s="158" t="s">
        <v>98</v>
      </c>
    </row>
    <row r="108" spans="5:5">
      <c r="E108" s="158" t="s">
        <v>99</v>
      </c>
    </row>
    <row r="109" spans="5:5">
      <c r="E109" s="158" t="s">
        <v>100</v>
      </c>
    </row>
    <row r="110" spans="5:5">
      <c r="E110" s="158" t="s">
        <v>102</v>
      </c>
    </row>
    <row r="111" spans="5:5">
      <c r="E111" s="158" t="s">
        <v>103</v>
      </c>
    </row>
    <row r="112" spans="5:5">
      <c r="E112" s="158" t="s">
        <v>105</v>
      </c>
    </row>
    <row r="113" spans="5:5">
      <c r="E113" s="158" t="s">
        <v>284</v>
      </c>
    </row>
    <row r="114" spans="5:5">
      <c r="E114" s="158" t="s">
        <v>108</v>
      </c>
    </row>
    <row r="115" spans="5:5">
      <c r="E115" s="158" t="s">
        <v>110</v>
      </c>
    </row>
    <row r="116" spans="5:5">
      <c r="E116" s="158" t="s">
        <v>111</v>
      </c>
    </row>
    <row r="117" spans="5:5">
      <c r="E117" s="158" t="s">
        <v>112</v>
      </c>
    </row>
    <row r="118" spans="5:5">
      <c r="E118" s="158" t="s">
        <v>113</v>
      </c>
    </row>
    <row r="119" spans="5:5">
      <c r="E119" s="158" t="s">
        <v>114</v>
      </c>
    </row>
    <row r="120" spans="5:5">
      <c r="E120" s="158" t="s">
        <v>372</v>
      </c>
    </row>
    <row r="121" spans="5:5">
      <c r="E121" s="158" t="s">
        <v>116</v>
      </c>
    </row>
    <row r="122" spans="5:5">
      <c r="E122" s="158" t="s">
        <v>117</v>
      </c>
    </row>
    <row r="123" spans="5:5">
      <c r="E123" s="158" t="s">
        <v>119</v>
      </c>
    </row>
    <row r="124" spans="5:5">
      <c r="E124" s="158" t="s">
        <v>120</v>
      </c>
    </row>
    <row r="125" spans="5:5">
      <c r="E125" s="158" t="s">
        <v>282</v>
      </c>
    </row>
    <row r="126" spans="5:5">
      <c r="E126" s="158" t="s">
        <v>122</v>
      </c>
    </row>
    <row r="127" spans="5:5">
      <c r="E127" s="158" t="s">
        <v>123</v>
      </c>
    </row>
    <row r="128" spans="5:5">
      <c r="E128" s="158" t="s">
        <v>373</v>
      </c>
    </row>
    <row r="129" spans="5:5">
      <c r="E129" s="158" t="s">
        <v>124</v>
      </c>
    </row>
    <row r="130" spans="5:5">
      <c r="E130" s="158" t="s">
        <v>125</v>
      </c>
    </row>
    <row r="131" spans="5:5">
      <c r="E131" s="158" t="s">
        <v>374</v>
      </c>
    </row>
    <row r="132" spans="5:5">
      <c r="E132" s="158" t="s">
        <v>127</v>
      </c>
    </row>
    <row r="133" spans="5:5">
      <c r="E133" s="158" t="s">
        <v>128</v>
      </c>
    </row>
    <row r="134" spans="5:5">
      <c r="E134" s="158" t="s">
        <v>130</v>
      </c>
    </row>
    <row r="135" spans="5:5">
      <c r="E135" s="158" t="s">
        <v>375</v>
      </c>
    </row>
    <row r="136" spans="5:5">
      <c r="E136" s="158" t="s">
        <v>131</v>
      </c>
    </row>
    <row r="137" spans="5:5">
      <c r="E137" s="158" t="s">
        <v>133</v>
      </c>
    </row>
    <row r="138" spans="5:5">
      <c r="E138" s="158" t="s">
        <v>134</v>
      </c>
    </row>
    <row r="139" spans="5:5">
      <c r="E139" s="158" t="s">
        <v>135</v>
      </c>
    </row>
    <row r="140" spans="5:5">
      <c r="E140" s="158" t="s">
        <v>136</v>
      </c>
    </row>
    <row r="141" spans="5:5">
      <c r="E141" s="158" t="s">
        <v>376</v>
      </c>
    </row>
    <row r="142" spans="5:5">
      <c r="E142" s="158" t="s">
        <v>137</v>
      </c>
    </row>
    <row r="143" spans="5:5">
      <c r="E143" s="158" t="s">
        <v>139</v>
      </c>
    </row>
    <row r="144" spans="5:5">
      <c r="E144" s="158" t="s">
        <v>140</v>
      </c>
    </row>
    <row r="145" spans="5:5">
      <c r="E145" s="158" t="s">
        <v>377</v>
      </c>
    </row>
    <row r="146" spans="5:5">
      <c r="E146" s="158" t="s">
        <v>142</v>
      </c>
    </row>
    <row r="147" spans="5:5">
      <c r="E147" s="158" t="s">
        <v>144</v>
      </c>
    </row>
    <row r="148" spans="5:5">
      <c r="E148" s="158" t="s">
        <v>146</v>
      </c>
    </row>
    <row r="149" spans="5:5">
      <c r="E149" s="158" t="s">
        <v>147</v>
      </c>
    </row>
    <row r="150" spans="5:5">
      <c r="E150" s="158" t="s">
        <v>149</v>
      </c>
    </row>
  </sheetData>
  <sheetProtection algorithmName="SHA-512" hashValue="idrBsbwUDmAa4Y3TAe/a3Ng5I38WJriHAsskGIb/bhsg46mVqj4aC2spgwY9nJ/hFJ4kdgb7wmJ5KFl9eEFopQ==" saltValue="gMumm/yff30dM6xR3JK86Q==" spinCount="100000" sheet="1" objects="1" scenarios="1"/>
  <phoneticPr fontId="2" type="noConversion"/>
  <conditionalFormatting sqref="L13:L15">
    <cfRule type="expression" dxfId="1" priority="2">
      <formula>$L$12="No"</formula>
    </cfRule>
  </conditionalFormatting>
  <conditionalFormatting sqref="E16">
    <cfRule type="expression" dxfId="0" priority="1">
      <formula>$E$12="No"</formula>
    </cfRule>
  </conditionalFormatting>
  <dataValidations count="2">
    <dataValidation type="list" allowBlank="1" showInputMessage="1" showErrorMessage="1" sqref="F26:F27 L11:L12 E13" xr:uid="{00000000-0002-0000-0000-000000000000}">
      <formula1>"Yes,No"</formula1>
    </dataValidation>
    <dataValidation type="list" allowBlank="1" showInputMessage="1" showErrorMessage="1" sqref="E12" xr:uid="{5B5CA339-2261-4973-96D2-F4EDC4719180}">
      <formula1>"No,BETR-VBA,BETR-Python,GIPERM"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etLevelIII">
                <anchor moveWithCells="1" sizeWithCells="1">
                  <from>
                    <xdr:col>10</xdr:col>
                    <xdr:colOff>1866900</xdr:colOff>
                    <xdr:row>15</xdr:row>
                    <xdr:rowOff>161925</xdr:rowOff>
                  </from>
                  <to>
                    <xdr:col>12</xdr:col>
                    <xdr:colOff>19050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etLevelIV">
                <anchor moveWithCells="1" sizeWithCells="1">
                  <from>
                    <xdr:col>3</xdr:col>
                    <xdr:colOff>1609725</xdr:colOff>
                    <xdr:row>15</xdr:row>
                    <xdr:rowOff>171450</xdr:rowOff>
                  </from>
                  <to>
                    <xdr:col>4</xdr:col>
                    <xdr:colOff>1085850</xdr:colOff>
                    <xdr:row>15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DisplayIV">
                <anchor moveWithCells="1" sizeWithCells="1">
                  <from>
                    <xdr:col>2</xdr:col>
                    <xdr:colOff>9525</xdr:colOff>
                    <xdr:row>15</xdr:row>
                    <xdr:rowOff>171450</xdr:rowOff>
                  </from>
                  <to>
                    <xdr:col>3</xdr:col>
                    <xdr:colOff>1533525</xdr:colOff>
                    <xdr:row>15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isplayIII">
                <anchor moveWithCells="1" sizeWithCells="1">
                  <from>
                    <xdr:col>9</xdr:col>
                    <xdr:colOff>66675</xdr:colOff>
                    <xdr:row>15</xdr:row>
                    <xdr:rowOff>161925</xdr:rowOff>
                  </from>
                  <to>
                    <xdr:col>10</xdr:col>
                    <xdr:colOff>1800225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8" name="Button 10">
              <controlPr defaultSize="0" print="0" autoFill="0" autoPict="0" macro="[0]!SelectChem">
                <anchor moveWithCells="1" sizeWithCells="1">
                  <from>
                    <xdr:col>3</xdr:col>
                    <xdr:colOff>1409700</xdr:colOff>
                    <xdr:row>8</xdr:row>
                    <xdr:rowOff>9525</xdr:rowOff>
                  </from>
                  <to>
                    <xdr:col>3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9" name="Button 16">
              <controlPr defaultSize="0" print="0" autoFill="0" autoPict="0" macro="[0]!ClearAllInput">
                <anchor moveWithCells="1" sizeWithCells="1">
                  <from>
                    <xdr:col>10</xdr:col>
                    <xdr:colOff>1895475</xdr:colOff>
                    <xdr:row>2</xdr:row>
                    <xdr:rowOff>85725</xdr:rowOff>
                  </from>
                  <to>
                    <xdr:col>14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4CFF2C-8F7F-4972-BDFD-3F41F5EC7512}">
          <x14:formula1>
            <xm:f>'DB-chemicals'!$C$3:$AM$3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114A4-2195-4A83-A79B-6CCD5B53CCB8}">
  <sheetPr codeName="Sheet23"/>
  <dimension ref="A1:O19"/>
  <sheetViews>
    <sheetView topLeftCell="A3" workbookViewId="0">
      <pane xSplit="2" ySplit="1" topLeftCell="C4" activePane="bottomRight" state="frozen"/>
      <selection activeCell="A3" sqref="A3"/>
      <selection pane="topRight" activeCell="C3" sqref="C3"/>
      <selection pane="bottomLeft" activeCell="A4" sqref="A4"/>
      <selection pane="bottomRight" activeCell="G37" sqref="G37"/>
    </sheetView>
  </sheetViews>
  <sheetFormatPr defaultColWidth="8.3984375" defaultRowHeight="13.5"/>
  <cols>
    <col min="1" max="2" width="8.3984375" style="205"/>
    <col min="3" max="15" width="9.59765625" style="159" customWidth="1"/>
    <col min="16" max="16384" width="8.3984375" style="159"/>
  </cols>
  <sheetData>
    <row r="1" spans="1:15" hidden="1"/>
    <row r="2" spans="1:15" ht="13.5" hidden="1" customHeight="1"/>
    <row r="3" spans="1:15">
      <c r="A3" s="209" t="s">
        <v>386</v>
      </c>
      <c r="B3" s="209" t="s">
        <v>274</v>
      </c>
      <c r="C3" s="206" t="s">
        <v>506</v>
      </c>
      <c r="D3" s="206" t="s">
        <v>498</v>
      </c>
      <c r="E3" s="206" t="s">
        <v>499</v>
      </c>
      <c r="F3" s="206" t="s">
        <v>500</v>
      </c>
      <c r="G3" s="206" t="s">
        <v>501</v>
      </c>
      <c r="H3" s="206" t="s">
        <v>496</v>
      </c>
      <c r="I3" s="206" t="s">
        <v>497</v>
      </c>
      <c r="J3" s="206" t="s">
        <v>495</v>
      </c>
      <c r="K3" s="206" t="s">
        <v>502</v>
      </c>
      <c r="L3" s="206" t="s">
        <v>503</v>
      </c>
      <c r="M3" s="206" t="s">
        <v>504</v>
      </c>
      <c r="N3" s="206" t="s">
        <v>505</v>
      </c>
      <c r="O3" s="207" t="s">
        <v>492</v>
      </c>
    </row>
    <row r="4" spans="1:15">
      <c r="A4" s="205" t="s">
        <v>400</v>
      </c>
      <c r="B4" s="205" t="s">
        <v>10</v>
      </c>
      <c r="C4" s="206">
        <v>223.1</v>
      </c>
      <c r="D4" s="206">
        <v>257.5</v>
      </c>
      <c r="E4" s="206">
        <v>292</v>
      </c>
      <c r="F4" s="206">
        <v>326.39999999999998</v>
      </c>
      <c r="G4" s="206">
        <v>360.9</v>
      </c>
      <c r="H4" s="206">
        <v>395.31</v>
      </c>
      <c r="I4" s="206">
        <v>328</v>
      </c>
      <c r="J4" s="206">
        <v>406.9</v>
      </c>
      <c r="K4" s="206">
        <v>485.8</v>
      </c>
      <c r="L4" s="206">
        <v>564.70000000000005</v>
      </c>
      <c r="M4" s="206">
        <v>643.6</v>
      </c>
      <c r="N4" s="206">
        <v>722.5</v>
      </c>
      <c r="O4" s="206">
        <v>959.2</v>
      </c>
    </row>
    <row r="5" spans="1:15" ht="14.25">
      <c r="A5" s="205" t="s">
        <v>519</v>
      </c>
      <c r="B5" s="205" t="s">
        <v>379</v>
      </c>
      <c r="C5" s="206">
        <v>179</v>
      </c>
      <c r="D5" s="206">
        <v>191</v>
      </c>
      <c r="E5" s="206">
        <v>203</v>
      </c>
      <c r="F5" s="206">
        <v>214</v>
      </c>
      <c r="G5" s="206">
        <v>226</v>
      </c>
      <c r="H5" s="206">
        <v>238</v>
      </c>
      <c r="I5" s="206">
        <v>192</v>
      </c>
      <c r="J5" s="206">
        <v>209</v>
      </c>
      <c r="K5" s="206">
        <v>225</v>
      </c>
      <c r="L5" s="206">
        <v>241</v>
      </c>
      <c r="M5" s="206">
        <v>257</v>
      </c>
      <c r="N5" s="206">
        <v>273</v>
      </c>
      <c r="O5" s="206">
        <v>322</v>
      </c>
    </row>
    <row r="6" spans="1:15" ht="15">
      <c r="A6" s="205" t="s">
        <v>389</v>
      </c>
      <c r="B6" s="205" t="s">
        <v>520</v>
      </c>
      <c r="C6" s="208">
        <v>113000</v>
      </c>
      <c r="D6" s="208">
        <v>457088.18961487466</v>
      </c>
      <c r="E6" s="208">
        <v>812830.51616410096</v>
      </c>
      <c r="F6" s="208">
        <v>4897788.1936844587</v>
      </c>
      <c r="G6" s="208">
        <v>7413102.4130091891</v>
      </c>
      <c r="H6" s="208">
        <v>14500000</v>
      </c>
      <c r="I6" s="208">
        <v>275422.87033381703</v>
      </c>
      <c r="J6" s="208">
        <v>831763.77110267128</v>
      </c>
      <c r="K6" s="208">
        <v>3388441.5613920307</v>
      </c>
      <c r="L6" s="208">
        <v>10000000</v>
      </c>
      <c r="M6" s="208">
        <v>22908676.527677748</v>
      </c>
      <c r="N6" s="208">
        <v>18197008.586099867</v>
      </c>
      <c r="O6" s="208">
        <v>9332543007.9699497</v>
      </c>
    </row>
    <row r="7" spans="1:15" ht="15">
      <c r="A7" s="205" t="s">
        <v>387</v>
      </c>
      <c r="B7" s="205" t="s">
        <v>521</v>
      </c>
      <c r="C7" s="208">
        <v>5.18348623853211E-3</v>
      </c>
      <c r="D7" s="208">
        <v>6.4565422903465524E-3</v>
      </c>
      <c r="E7" s="208">
        <v>4.8977881936844566E-3</v>
      </c>
      <c r="F7" s="208">
        <v>2.1379620895022318E-3</v>
      </c>
      <c r="G7" s="208">
        <v>2.6915348039269148E-3</v>
      </c>
      <c r="H7" s="208">
        <v>9.9315068493150685E-4</v>
      </c>
      <c r="I7" s="208">
        <v>5.1286138399136471E-3</v>
      </c>
      <c r="J7" s="208">
        <v>1.9952623149688781E-3</v>
      </c>
      <c r="K7" s="208">
        <v>7.5857757502918277E-4</v>
      </c>
      <c r="L7" s="208">
        <v>4.2657951880159235E-4</v>
      </c>
      <c r="M7" s="208">
        <v>2.0892961308540387E-4</v>
      </c>
      <c r="N7" s="208">
        <v>5.2480746024977172E-5</v>
      </c>
      <c r="O7" s="208">
        <v>1.5488166189124811E-5</v>
      </c>
    </row>
    <row r="8" spans="1:15" ht="15">
      <c r="A8" s="205" t="s">
        <v>388</v>
      </c>
      <c r="B8" s="205" t="s">
        <v>522</v>
      </c>
      <c r="C8" s="208">
        <v>21800000</v>
      </c>
      <c r="D8" s="208">
        <v>70794578.438413769</v>
      </c>
      <c r="E8" s="208">
        <v>165958690.74375659</v>
      </c>
      <c r="F8" s="208">
        <v>2290867652.7677717</v>
      </c>
      <c r="G8" s="208">
        <v>2754228703.3381724</v>
      </c>
      <c r="H8" s="208">
        <v>14600000000</v>
      </c>
      <c r="I8" s="208">
        <v>123026877.08123825</v>
      </c>
      <c r="J8" s="208">
        <v>1445439770.7459295</v>
      </c>
      <c r="K8" s="208">
        <v>25118864315.095894</v>
      </c>
      <c r="L8" s="208">
        <v>199526231496.8891</v>
      </c>
      <c r="M8" s="208">
        <v>1258925411794.1692</v>
      </c>
      <c r="N8" s="208">
        <v>3981071705534.9741</v>
      </c>
      <c r="O8" s="208">
        <v>6.3095734448019512E+16</v>
      </c>
    </row>
    <row r="9" spans="1:15" ht="15">
      <c r="A9" s="205" t="s">
        <v>391</v>
      </c>
      <c r="B9" s="205" t="s">
        <v>523</v>
      </c>
      <c r="C9" s="206">
        <v>-22700</v>
      </c>
      <c r="D9" s="206">
        <v>-26300</v>
      </c>
      <c r="E9" s="206">
        <v>-27300</v>
      </c>
      <c r="F9" s="206">
        <v>-28500</v>
      </c>
      <c r="G9" s="206">
        <v>-26600</v>
      </c>
      <c r="H9" s="206">
        <v>-29100</v>
      </c>
      <c r="I9" s="206">
        <v>-21000</v>
      </c>
      <c r="J9" s="206">
        <v>-16000</v>
      </c>
      <c r="K9" s="206">
        <v>-20000</v>
      </c>
      <c r="L9" s="206">
        <v>-12000</v>
      </c>
      <c r="M9" s="206">
        <v>-21000</v>
      </c>
      <c r="N9" s="206">
        <v>-20000</v>
      </c>
      <c r="O9" s="206">
        <v>-80000</v>
      </c>
    </row>
    <row r="10" spans="1:15" ht="15">
      <c r="A10" s="205" t="s">
        <v>390</v>
      </c>
      <c r="B10" s="205" t="s">
        <v>524</v>
      </c>
      <c r="C10" s="206">
        <v>49800</v>
      </c>
      <c r="D10" s="206">
        <v>52200</v>
      </c>
      <c r="E10" s="206">
        <v>54100</v>
      </c>
      <c r="F10" s="206">
        <v>60500</v>
      </c>
      <c r="G10" s="206">
        <v>68200</v>
      </c>
      <c r="H10" s="206">
        <v>63600</v>
      </c>
      <c r="I10" s="206">
        <v>49000</v>
      </c>
      <c r="J10" s="206">
        <v>57000</v>
      </c>
      <c r="K10" s="206">
        <v>77000</v>
      </c>
      <c r="L10" s="206">
        <v>79000</v>
      </c>
      <c r="M10" s="206">
        <v>77000</v>
      </c>
      <c r="N10" s="206">
        <v>70000</v>
      </c>
      <c r="O10" s="206">
        <v>65000</v>
      </c>
    </row>
    <row r="11" spans="1:15" ht="15">
      <c r="A11" s="205" t="s">
        <v>392</v>
      </c>
      <c r="B11" s="205" t="s">
        <v>525</v>
      </c>
      <c r="C11" s="206">
        <v>-72500</v>
      </c>
      <c r="D11" s="206">
        <v>-78500</v>
      </c>
      <c r="E11" s="206">
        <v>-81400</v>
      </c>
      <c r="F11" s="206">
        <v>-89000</v>
      </c>
      <c r="G11" s="206">
        <v>-94800</v>
      </c>
      <c r="H11" s="206">
        <v>-92700</v>
      </c>
      <c r="I11" s="206">
        <v>-70000</v>
      </c>
      <c r="J11" s="206">
        <v>-73000</v>
      </c>
      <c r="K11" s="206">
        <v>-97000</v>
      </c>
      <c r="L11" s="206">
        <v>-91000</v>
      </c>
      <c r="M11" s="206">
        <v>-98000</v>
      </c>
      <c r="N11" s="206">
        <v>-90000</v>
      </c>
      <c r="O11" s="206">
        <v>-145000</v>
      </c>
    </row>
    <row r="12" spans="1:15">
      <c r="A12" s="205" t="s">
        <v>393</v>
      </c>
      <c r="B12" s="205" t="s">
        <v>394</v>
      </c>
      <c r="C12" s="206">
        <v>9999</v>
      </c>
      <c r="D12" s="206">
        <v>9999</v>
      </c>
      <c r="E12" s="206">
        <v>9999</v>
      </c>
      <c r="F12" s="206">
        <v>9999</v>
      </c>
      <c r="G12" s="206">
        <v>9999</v>
      </c>
      <c r="H12" s="206">
        <v>9999</v>
      </c>
      <c r="I12" s="206">
        <v>9999</v>
      </c>
      <c r="J12" s="206">
        <v>9999</v>
      </c>
      <c r="K12" s="206">
        <v>9999</v>
      </c>
      <c r="L12" s="206">
        <v>9999</v>
      </c>
      <c r="M12" s="206">
        <v>9999</v>
      </c>
      <c r="N12" s="206">
        <v>9999</v>
      </c>
      <c r="O12" s="206">
        <v>9999</v>
      </c>
    </row>
    <row r="13" spans="1:15" ht="15">
      <c r="A13" s="205" t="s">
        <v>518</v>
      </c>
      <c r="B13" s="205" t="s">
        <v>526</v>
      </c>
      <c r="C13" s="206">
        <v>7.131143832921248E-3</v>
      </c>
      <c r="D13" s="208">
        <v>3.8412000000000003E-3</v>
      </c>
      <c r="E13" s="208">
        <v>3.3348600000000003E-3</v>
      </c>
      <c r="F13" s="208">
        <v>2.0567880000000004E-3</v>
      </c>
      <c r="G13" s="208">
        <v>1.267596E-3</v>
      </c>
      <c r="H13" s="208">
        <v>5.6629671614374618E-4</v>
      </c>
      <c r="I13" s="208">
        <v>7.4610072000000005E-3</v>
      </c>
      <c r="J13" s="208">
        <v>4.9341960000000001E-3</v>
      </c>
      <c r="K13" s="208">
        <v>3.4919999999999994E-3</v>
      </c>
      <c r="L13" s="208">
        <v>1.9206000000000002E-3</v>
      </c>
      <c r="M13" s="208">
        <v>1.9212983999999998E-3</v>
      </c>
      <c r="N13" s="208">
        <v>5.8071960000000004E-4</v>
      </c>
      <c r="O13" s="208">
        <v>1.1872800000000002E-4</v>
      </c>
    </row>
    <row r="14" spans="1:15" ht="15">
      <c r="A14" s="205" t="s">
        <v>395</v>
      </c>
      <c r="B14" s="205" t="s">
        <v>527</v>
      </c>
      <c r="C14" s="208">
        <v>4.7200000000000002E-5</v>
      </c>
      <c r="D14" s="208">
        <v>1.5733333333333334E-5</v>
      </c>
      <c r="E14" s="208">
        <v>1.401E-5</v>
      </c>
      <c r="F14" s="208">
        <v>2.0449999999999999E-5</v>
      </c>
      <c r="G14" s="208">
        <v>7.4370000000000001E-6</v>
      </c>
      <c r="H14" s="208">
        <v>3.7189999999999999E-6</v>
      </c>
      <c r="I14" s="208">
        <v>2.7725887222397811E-4</v>
      </c>
      <c r="J14" s="208">
        <v>1.3862943611198905E-4</v>
      </c>
      <c r="K14" s="208">
        <v>7.5015928632028709E-5</v>
      </c>
      <c r="L14" s="208">
        <v>4.0773363562349724E-5</v>
      </c>
      <c r="M14" s="208">
        <v>2.2145277334183554E-5</v>
      </c>
      <c r="N14" s="208">
        <v>1.6425288638861262E-5</v>
      </c>
      <c r="O14" s="208">
        <v>9.1203576389466481E-6</v>
      </c>
    </row>
    <row r="15" spans="1:15" ht="15">
      <c r="A15" s="205" t="s">
        <v>396</v>
      </c>
      <c r="B15" s="205" t="s">
        <v>528</v>
      </c>
      <c r="C15" s="208">
        <v>1.6503504299046317E-4</v>
      </c>
      <c r="D15" s="208">
        <v>1.2602676010180824E-4</v>
      </c>
      <c r="E15" s="208">
        <v>6.9314718055994527E-5</v>
      </c>
      <c r="F15" s="208">
        <v>2.2359586469675653E-5</v>
      </c>
      <c r="G15" s="208">
        <v>1.2602676010180823E-5</v>
      </c>
      <c r="H15" s="208">
        <v>1.2602676010180823E-5</v>
      </c>
      <c r="I15" s="208">
        <v>3.8508176697774738E-4</v>
      </c>
      <c r="J15" s="208">
        <v>2.7725887222397811E-4</v>
      </c>
      <c r="K15" s="208">
        <v>1.5068416968694464E-4</v>
      </c>
      <c r="L15" s="208">
        <v>8.1546727124699449E-5</v>
      </c>
      <c r="M15" s="208">
        <v>4.4149501946493329E-5</v>
      </c>
      <c r="N15" s="208">
        <v>3.3007008598092633E-5</v>
      </c>
      <c r="O15" s="208">
        <v>1.8240715277893296E-5</v>
      </c>
    </row>
    <row r="16" spans="1:15" ht="15">
      <c r="A16" s="205" t="s">
        <v>397</v>
      </c>
      <c r="B16" s="205" t="s">
        <v>529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6"/>
      <c r="O16" s="206"/>
    </row>
    <row r="17" spans="1:15" ht="15">
      <c r="A17" s="205" t="s">
        <v>398</v>
      </c>
      <c r="B17" s="205" t="s">
        <v>530</v>
      </c>
      <c r="C17" s="206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</row>
    <row r="18" spans="1:15" ht="15">
      <c r="A18" s="205" t="s">
        <v>399</v>
      </c>
      <c r="B18" s="205" t="s">
        <v>531</v>
      </c>
      <c r="C18" s="206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</row>
    <row r="19" spans="1:15">
      <c r="A19" s="205" t="s">
        <v>482</v>
      </c>
      <c r="B19" s="205" t="s">
        <v>483</v>
      </c>
      <c r="C19" s="159">
        <v>312</v>
      </c>
      <c r="D19" s="159">
        <v>335</v>
      </c>
      <c r="E19" s="159">
        <v>350</v>
      </c>
      <c r="F19" s="159">
        <v>378</v>
      </c>
      <c r="G19" s="159">
        <v>387</v>
      </c>
      <c r="H19" s="159">
        <v>419</v>
      </c>
      <c r="I19" s="159">
        <v>338</v>
      </c>
      <c r="J19" s="159">
        <v>365</v>
      </c>
      <c r="K19" s="159">
        <v>394</v>
      </c>
      <c r="L19" s="159">
        <v>429</v>
      </c>
      <c r="M19" s="159">
        <v>456</v>
      </c>
      <c r="N19" s="159">
        <v>486</v>
      </c>
      <c r="O19" s="159">
        <v>558</v>
      </c>
    </row>
  </sheetData>
  <sheetProtection algorithmName="SHA-512" hashValue="7CzFmCMJLAGeWQb/GDNjWRKJ0ca+vYTBmlxNc+42aoERiI/okoXS+o0iQfJft5epjJqmPbU+c9pdMWCWZJSHNg==" saltValue="xDx3q1OqPTnGrwEkntjiRw==" spinCount="100000" sheet="1" objects="1" scenarios="1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54A6-948B-4978-BA6B-2C739AE20DF7}">
  <sheetPr codeName="Sheet22"/>
  <dimension ref="A1:N35"/>
  <sheetViews>
    <sheetView topLeftCell="C7" workbookViewId="0">
      <pane xSplit="1" ySplit="4" topLeftCell="D11" activePane="bottomRight" state="frozen"/>
      <selection activeCell="C7" sqref="C7"/>
      <selection pane="topRight" activeCell="D7" sqref="D7"/>
      <selection pane="bottomLeft" activeCell="C11" sqref="C11"/>
      <selection pane="bottomRight" activeCell="D15" sqref="D15"/>
    </sheetView>
  </sheetViews>
  <sheetFormatPr defaultColWidth="8.3984375" defaultRowHeight="12.75"/>
  <cols>
    <col min="1" max="1" width="8.3984375" style="205" hidden="1" customWidth="1"/>
    <col min="2" max="2" width="0" style="205" hidden="1" customWidth="1"/>
    <col min="3" max="3" width="24.3984375" style="205" customWidth="1"/>
    <col min="4" max="4" width="16" style="206" customWidth="1"/>
    <col min="5" max="5" width="17.86328125" style="206" customWidth="1"/>
    <col min="6" max="6" width="12.3984375" style="206" customWidth="1"/>
    <col min="7" max="7" width="13.3984375" style="206" customWidth="1"/>
    <col min="8" max="8" width="9.86328125" style="212" customWidth="1"/>
    <col min="9" max="9" width="12" style="212" customWidth="1"/>
    <col min="10" max="12" width="9.86328125" style="212" customWidth="1"/>
    <col min="13" max="13" width="8.3984375" style="212"/>
    <col min="14" max="16384" width="8.3984375" style="206"/>
  </cols>
  <sheetData>
    <row r="1" spans="1:14" s="2" customFormat="1" ht="9.9499999999999993" hidden="1" customHeight="1">
      <c r="A1" s="205"/>
      <c r="B1" s="205"/>
      <c r="C1" s="205"/>
      <c r="H1" s="224"/>
      <c r="I1" s="224"/>
      <c r="J1" s="224"/>
      <c r="K1" s="224"/>
      <c r="L1" s="224"/>
      <c r="M1" s="224"/>
    </row>
    <row r="2" spans="1:14" s="2" customFormat="1" ht="9.9499999999999993" hidden="1" customHeight="1">
      <c r="A2" s="205"/>
      <c r="B2" s="205"/>
      <c r="C2" s="205"/>
      <c r="H2" s="224"/>
      <c r="I2" s="224"/>
      <c r="J2" s="224"/>
      <c r="K2" s="224"/>
      <c r="L2" s="224"/>
      <c r="M2" s="224"/>
    </row>
    <row r="3" spans="1:14" s="2" customFormat="1" ht="9.9499999999999993" hidden="1" customHeight="1">
      <c r="A3" s="205"/>
      <c r="B3" s="205"/>
      <c r="C3" s="205"/>
      <c r="H3" s="224"/>
      <c r="I3" s="224"/>
      <c r="J3" s="224"/>
      <c r="K3" s="224"/>
      <c r="L3" s="224"/>
      <c r="M3" s="224"/>
    </row>
    <row r="4" spans="1:14" s="2" customFormat="1" ht="9.9499999999999993" hidden="1" customHeight="1">
      <c r="A4" s="205"/>
      <c r="B4" s="205"/>
      <c r="C4" s="205"/>
      <c r="H4" s="224"/>
      <c r="I4" s="224"/>
      <c r="J4" s="224"/>
      <c r="K4" s="224"/>
      <c r="L4" s="224"/>
      <c r="M4" s="224"/>
    </row>
    <row r="5" spans="1:14" s="2" customFormat="1" ht="9.9499999999999993" hidden="1" customHeight="1">
      <c r="A5" s="205"/>
      <c r="B5" s="205"/>
      <c r="C5" s="205"/>
      <c r="H5" s="224"/>
      <c r="I5" s="224"/>
      <c r="J5" s="224"/>
      <c r="K5" s="224"/>
      <c r="L5" s="224"/>
      <c r="M5" s="224"/>
    </row>
    <row r="6" spans="1:14" s="2" customFormat="1" ht="9.9499999999999993" hidden="1" customHeight="1">
      <c r="A6" s="205"/>
      <c r="B6" s="205"/>
      <c r="C6" s="205"/>
      <c r="H6" s="224"/>
      <c r="I6" s="225"/>
      <c r="J6" s="225"/>
      <c r="K6" s="224"/>
      <c r="L6" s="224"/>
      <c r="M6" s="224"/>
    </row>
    <row r="7" spans="1:14" s="2" customFormat="1" ht="12.6" customHeight="1">
      <c r="A7" s="205"/>
      <c r="B7" s="205"/>
      <c r="C7" s="205"/>
      <c r="D7" s="217" t="s">
        <v>535</v>
      </c>
      <c r="E7" s="217"/>
      <c r="F7" s="217"/>
      <c r="G7" s="217"/>
      <c r="H7" s="218" t="s">
        <v>536</v>
      </c>
      <c r="I7" s="219"/>
      <c r="J7" s="219"/>
      <c r="K7" s="220"/>
      <c r="L7" s="220"/>
      <c r="M7" s="220"/>
      <c r="N7" s="205"/>
    </row>
    <row r="8" spans="1:14" s="2" customFormat="1" ht="12.6" customHeight="1">
      <c r="A8" s="205"/>
      <c r="B8" s="205"/>
      <c r="C8" s="205"/>
      <c r="D8" s="205"/>
      <c r="E8" s="205"/>
      <c r="F8" s="205"/>
      <c r="G8" s="205"/>
      <c r="H8" s="220" t="s">
        <v>533</v>
      </c>
      <c r="I8" s="220" t="s">
        <v>534</v>
      </c>
      <c r="J8" s="220"/>
      <c r="K8" s="220"/>
      <c r="L8" s="220"/>
      <c r="M8" s="220"/>
      <c r="N8" s="205"/>
    </row>
    <row r="9" spans="1:14" s="2" customFormat="1">
      <c r="A9" s="205"/>
      <c r="B9" s="205"/>
      <c r="C9" s="205"/>
      <c r="D9" s="221" t="s">
        <v>330</v>
      </c>
      <c r="E9" s="221" t="s">
        <v>385</v>
      </c>
      <c r="F9" s="205"/>
      <c r="G9" s="205"/>
      <c r="H9" s="220"/>
      <c r="I9" s="222" t="s">
        <v>328</v>
      </c>
      <c r="J9" s="220"/>
      <c r="K9" s="222" t="s">
        <v>329</v>
      </c>
      <c r="L9" s="220"/>
      <c r="M9" s="220" t="s">
        <v>315</v>
      </c>
      <c r="N9" s="205"/>
    </row>
    <row r="10" spans="1:14" s="2" customFormat="1" ht="13.15">
      <c r="A10" s="205"/>
      <c r="B10" s="205"/>
      <c r="C10" s="209" t="s">
        <v>289</v>
      </c>
      <c r="D10" s="209" t="s">
        <v>326</v>
      </c>
      <c r="E10" s="209" t="s">
        <v>326</v>
      </c>
      <c r="F10" s="223" t="s">
        <v>328</v>
      </c>
      <c r="G10" s="223" t="s">
        <v>329</v>
      </c>
      <c r="H10" s="220" t="s">
        <v>299</v>
      </c>
      <c r="I10" s="220" t="s">
        <v>299</v>
      </c>
      <c r="J10" s="220" t="s">
        <v>302</v>
      </c>
      <c r="K10" s="220" t="s">
        <v>324</v>
      </c>
      <c r="L10" s="220" t="s">
        <v>325</v>
      </c>
      <c r="M10" s="220"/>
      <c r="N10" s="205"/>
    </row>
    <row r="11" spans="1:14" ht="13.15">
      <c r="C11" s="205" t="s">
        <v>318</v>
      </c>
      <c r="D11" s="215" t="e">
        <f>D12</f>
        <v>#DIV/0!</v>
      </c>
      <c r="E11" s="215" t="e">
        <f>E12</f>
        <v>#DIV/0!</v>
      </c>
      <c r="M11" s="212" t="s">
        <v>318</v>
      </c>
    </row>
    <row r="12" spans="1:14" ht="13.15">
      <c r="C12" s="205" t="s">
        <v>290</v>
      </c>
      <c r="D12" s="215" t="e">
        <f>1/Chemical!D14</f>
        <v>#DIV/0!</v>
      </c>
      <c r="E12" s="215" t="e">
        <f>0.002*Chemical!$D$11^(-0.654)</f>
        <v>#DIV/0!</v>
      </c>
      <c r="M12" s="212" t="s">
        <v>313</v>
      </c>
    </row>
    <row r="13" spans="1:14" ht="13.15">
      <c r="C13" s="205" t="s">
        <v>291</v>
      </c>
      <c r="D13" s="215">
        <f>Chemical!D15</f>
        <v>0</v>
      </c>
      <c r="E13" s="214"/>
      <c r="I13" s="213"/>
      <c r="J13" s="213"/>
      <c r="M13" s="212" t="s">
        <v>313</v>
      </c>
    </row>
    <row r="14" spans="1:14" ht="13.15">
      <c r="C14" s="205" t="s">
        <v>214</v>
      </c>
      <c r="D14" s="215">
        <f>IFERROR(8.314*298.15/(VP*Chemical!D12/(100^3)),10000000000)</f>
        <v>10000000000</v>
      </c>
      <c r="E14" s="215">
        <v>10000000000</v>
      </c>
      <c r="M14" s="212" t="s">
        <v>313</v>
      </c>
    </row>
    <row r="15" spans="1:14" ht="13.15">
      <c r="C15" s="205" t="s">
        <v>300</v>
      </c>
      <c r="D15" s="215" t="e">
        <f>10^(-0.38+0.63*LOG10(Chemical!$D$15)+H15)</f>
        <v>#NUM!</v>
      </c>
      <c r="E15" s="215" t="e">
        <f>IF(ISBLANK(G15),F15,GEOMEAN(F15,G15))</f>
        <v>#NUM!</v>
      </c>
      <c r="F15" s="208" t="e">
        <f>10^(6.39-2.49*LOG10(Chemical!$D$11)+I15+(J15-3486)/298.15)</f>
        <v>#NUM!</v>
      </c>
      <c r="G15" s="208"/>
      <c r="H15" s="212">
        <v>1.1100000000000001</v>
      </c>
      <c r="I15" s="212">
        <v>1.17</v>
      </c>
      <c r="J15" s="212">
        <v>0</v>
      </c>
      <c r="M15" s="212" t="s">
        <v>312</v>
      </c>
    </row>
    <row r="16" spans="1:14" ht="13.15">
      <c r="C16" s="205" t="s">
        <v>292</v>
      </c>
      <c r="D16" s="215" t="e">
        <f>10^(-0.38+0.63*LOG10(Chemical!$D$15)+H16)</f>
        <v>#NUM!</v>
      </c>
      <c r="E16" s="215" t="e">
        <f t="shared" ref="E16:E31" si="0">IF(ISBLANK(G16),F16,GEOMEAN(F16,G16))</f>
        <v>#NUM!</v>
      </c>
      <c r="F16" s="208" t="e">
        <f>10^(6.39-2.49*LOG10(Chemical!$D$11)+I16+(J16-3486)/298.15)</f>
        <v>#NUM!</v>
      </c>
      <c r="G16" s="208">
        <f>EXP(K16 - 0.1351 * Chemical!$D$11 ^ (2 / 3) + 0.003 * Chemical!$D$11 - L16 * 1000 / 8.314 / 298.15)</f>
        <v>7.9541386626392396E-15</v>
      </c>
      <c r="H16" s="212">
        <v>1.97</v>
      </c>
      <c r="I16" s="212">
        <v>-1.23</v>
      </c>
      <c r="J16" s="212">
        <v>0</v>
      </c>
      <c r="K16" s="212">
        <v>2.6</v>
      </c>
      <c r="L16" s="212">
        <v>86.92</v>
      </c>
      <c r="M16" s="212" t="s">
        <v>312</v>
      </c>
    </row>
    <row r="17" spans="3:13" ht="13.15">
      <c r="C17" s="205" t="s">
        <v>301</v>
      </c>
      <c r="D17" s="215" t="e">
        <f>10^(-0.38+0.63*LOG10(Chemical!$D$15)+H17)</f>
        <v>#NUM!</v>
      </c>
      <c r="E17" s="215" t="e">
        <f t="shared" si="0"/>
        <v>#NUM!</v>
      </c>
      <c r="F17" s="208" t="e">
        <f>10^(6.39-2.49*LOG10(Chemical!$D$11)+I17+(J17-3486)/298.15)</f>
        <v>#NUM!</v>
      </c>
      <c r="G17" s="208"/>
      <c r="H17" s="212">
        <v>1.1100000000000001</v>
      </c>
      <c r="I17" s="212">
        <v>0.33</v>
      </c>
      <c r="J17" s="212">
        <v>0</v>
      </c>
      <c r="M17" s="212" t="s">
        <v>312</v>
      </c>
    </row>
    <row r="18" spans="3:13" ht="13.15">
      <c r="C18" s="205" t="s">
        <v>293</v>
      </c>
      <c r="D18" s="215" t="e">
        <f>10^(-0.38+0.63*LOG10(Chemical!$D$15)+H18)</f>
        <v>#NUM!</v>
      </c>
      <c r="E18" s="215" t="e">
        <f t="shared" si="0"/>
        <v>#NUM!</v>
      </c>
      <c r="F18" s="208" t="e">
        <f>10^(6.39-2.49*LOG10(Chemical!$D$11)+I18+(J18-3486)/298.15)</f>
        <v>#NUM!</v>
      </c>
      <c r="G18" s="208"/>
      <c r="H18" s="212">
        <v>0.72</v>
      </c>
      <c r="I18" s="212">
        <v>-1.24</v>
      </c>
      <c r="J18" s="212">
        <v>1676</v>
      </c>
      <c r="M18" s="212" t="s">
        <v>312</v>
      </c>
    </row>
    <row r="19" spans="3:13" ht="13.15">
      <c r="C19" s="205" t="s">
        <v>304</v>
      </c>
      <c r="D19" s="215" t="e">
        <f>10^(-0.38+0.63*LOG10(Chemical!$D$15)+H19)</f>
        <v>#NUM!</v>
      </c>
      <c r="E19" s="215" t="e">
        <f t="shared" si="0"/>
        <v>#NUM!</v>
      </c>
      <c r="F19" s="208" t="e">
        <f>10^(6.39-2.49*LOG10(Chemical!$D$11)+I19+(J19-3486)/298.15)</f>
        <v>#NUM!</v>
      </c>
      <c r="G19" s="208"/>
      <c r="H19" s="212">
        <v>3.5</v>
      </c>
      <c r="I19" s="212">
        <v>-6.32</v>
      </c>
      <c r="J19" s="212">
        <v>1676</v>
      </c>
      <c r="M19" s="212" t="s">
        <v>312</v>
      </c>
    </row>
    <row r="20" spans="3:13" ht="13.15">
      <c r="C20" s="205" t="s">
        <v>303</v>
      </c>
      <c r="D20" s="215" t="e">
        <f>10^(-0.38+0.63*LOG10(Chemical!$D$15)+H20)</f>
        <v>#NUM!</v>
      </c>
      <c r="E20" s="215" t="e">
        <f t="shared" si="0"/>
        <v>#NUM!</v>
      </c>
      <c r="F20" s="208" t="e">
        <f>10^(6.39-2.49*LOG10(Chemical!$D$11)+I20+(J20-3486)/298.15)</f>
        <v>#NUM!</v>
      </c>
      <c r="G20" s="208"/>
      <c r="H20" s="212">
        <v>1.1100000000000001</v>
      </c>
      <c r="I20" s="212">
        <v>-8.57</v>
      </c>
      <c r="J20" s="212">
        <v>0</v>
      </c>
      <c r="M20" s="212" t="s">
        <v>312</v>
      </c>
    </row>
    <row r="21" spans="3:13" ht="13.15">
      <c r="C21" s="205" t="s">
        <v>294</v>
      </c>
      <c r="D21" s="215" t="e">
        <f>10^(-0.38+0.63*LOG10(Chemical!$D$15)+H21)</f>
        <v>#NUM!</v>
      </c>
      <c r="E21" s="215" t="e">
        <f t="shared" si="0"/>
        <v>#NUM!</v>
      </c>
      <c r="F21" s="208" t="e">
        <f>10^(6.39-2.49*LOG10(Chemical!$D$11)+I21+(J21-3486)/298.15)</f>
        <v>#NUM!</v>
      </c>
      <c r="G21" s="208"/>
      <c r="H21" s="212">
        <v>1.28</v>
      </c>
      <c r="I21" s="212">
        <v>-5.77</v>
      </c>
      <c r="J21" s="212">
        <v>1676</v>
      </c>
      <c r="M21" s="212" t="s">
        <v>312</v>
      </c>
    </row>
    <row r="22" spans="3:13" ht="13.15">
      <c r="C22" s="205" t="s">
        <v>295</v>
      </c>
      <c r="D22" s="215" t="e">
        <f>10^(-0.38+0.63*LOG10(Chemical!$D$15)+H22)</f>
        <v>#NUM!</v>
      </c>
      <c r="E22" s="215" t="e">
        <f t="shared" si="0"/>
        <v>#NUM!</v>
      </c>
      <c r="F22" s="208" t="e">
        <f>10^(6.39-2.49*LOG10(Chemical!$D$11)+I22+(J22-3486)/298.15)</f>
        <v>#NUM!</v>
      </c>
      <c r="G22" s="208"/>
      <c r="H22" s="212">
        <v>0.14000000000000001</v>
      </c>
      <c r="I22" s="212">
        <v>-8.5299999999999994</v>
      </c>
      <c r="J22" s="212">
        <v>1676</v>
      </c>
      <c r="M22" s="212" t="s">
        <v>312</v>
      </c>
    </row>
    <row r="23" spans="3:13" ht="13.15">
      <c r="C23" s="205" t="s">
        <v>296</v>
      </c>
      <c r="D23" s="215" t="e">
        <f>10^(-0.38+0.63*LOG10(Chemical!$D$15)+H23)</f>
        <v>#NUM!</v>
      </c>
      <c r="E23" s="215" t="e">
        <f t="shared" si="0"/>
        <v>#NUM!</v>
      </c>
      <c r="F23" s="208" t="e">
        <f>10^(6.39-2.49*LOG10(Chemical!$D$11)+I23+(J23-3486)/298.15)</f>
        <v>#NUM!</v>
      </c>
      <c r="G23" s="208"/>
      <c r="H23" s="212">
        <v>1.36</v>
      </c>
      <c r="I23" s="212">
        <v>-5.61</v>
      </c>
      <c r="J23" s="212">
        <v>1676</v>
      </c>
      <c r="M23" s="212" t="s">
        <v>312</v>
      </c>
    </row>
    <row r="24" spans="3:13" ht="13.15">
      <c r="C24" s="205" t="s">
        <v>305</v>
      </c>
      <c r="D24" s="215" t="e">
        <f>10^(-0.38+0.63*LOG10(Chemical!$D$15)+H24)</f>
        <v>#NUM!</v>
      </c>
      <c r="E24" s="215" t="e">
        <f t="shared" si="0"/>
        <v>#NUM!</v>
      </c>
      <c r="F24" s="208" t="e">
        <f>10^(6.39-2.49*LOG10(Chemical!$D$11)+I24+(J24-3486)/298.15)</f>
        <v>#NUM!</v>
      </c>
      <c r="G24" s="208">
        <f>EXP(K24 - 0.1351 * Chemical!$D$11 ^ (2 / 3) + 0.003 * Chemical!$D$11 - L24 * 1000 / 8.314 / 298.15)</f>
        <v>5.9848480281721298E-12</v>
      </c>
      <c r="H24" s="212">
        <v>2.4500000000000002</v>
      </c>
      <c r="I24" s="212">
        <v>-1.65</v>
      </c>
      <c r="J24" s="212">
        <v>0</v>
      </c>
      <c r="K24" s="212">
        <v>14.5</v>
      </c>
      <c r="L24" s="212">
        <v>100</v>
      </c>
      <c r="M24" s="212" t="s">
        <v>312</v>
      </c>
    </row>
    <row r="25" spans="3:13" ht="13.15">
      <c r="C25" s="205" t="s">
        <v>308</v>
      </c>
      <c r="D25" s="215" t="e">
        <f>10^(-0.38+0.63*LOG10(Chemical!$D$15)+H25)</f>
        <v>#NUM!</v>
      </c>
      <c r="E25" s="215" t="e">
        <f>IF(ISBLANK(G25),F25,GEOMEAN(F25,G25))</f>
        <v>#NUM!</v>
      </c>
      <c r="F25" s="208" t="e">
        <f>10^(6.39-2.49*LOG10(Chemical!$D$11)+I25+(J25-3486)/298.15)</f>
        <v>#NUM!</v>
      </c>
      <c r="G25" s="208">
        <f>EXP(K25 - 0.1351 * Chemical!$D$11 ^ (2 / 3) + 0.003 * Chemical!$D$11 - L25 * 1000 / 8.314 / 298.15)</f>
        <v>1.8166356120043704E-15</v>
      </c>
      <c r="H25" s="212">
        <v>0.6</v>
      </c>
      <c r="I25" s="212">
        <v>0</v>
      </c>
      <c r="J25" s="212">
        <v>-2391</v>
      </c>
      <c r="K25" s="212">
        <v>6.4</v>
      </c>
      <c r="L25" s="212">
        <v>100</v>
      </c>
      <c r="M25" s="212" t="s">
        <v>312</v>
      </c>
    </row>
    <row r="26" spans="3:13" ht="13.15">
      <c r="C26" s="205" t="s">
        <v>309</v>
      </c>
      <c r="D26" s="215" t="e">
        <f>10^(-0.38+0.63*LOG10(Chemical!$D$15)+H26)</f>
        <v>#NUM!</v>
      </c>
      <c r="E26" s="215" t="e">
        <f t="shared" si="0"/>
        <v>#NUM!</v>
      </c>
      <c r="F26" s="208" t="e">
        <f>10^(6.39-2.49*LOG10(Chemical!$D$11)+I26+(J26-3486)/298.15)</f>
        <v>#NUM!</v>
      </c>
      <c r="G26" s="208">
        <f>EXP(K26 - 0.1351 * Chemical!$D$11 ^ (2 / 3) + 0.003 * Chemical!$D$11 - L26 * 1000 / 8.314 / 298.15)</f>
        <v>1.6059128996335254E-15</v>
      </c>
      <c r="H26" s="212">
        <v>1.36</v>
      </c>
      <c r="I26" s="212">
        <v>2.04</v>
      </c>
      <c r="J26" s="212">
        <v>-2391</v>
      </c>
      <c r="K26" s="212">
        <v>1</v>
      </c>
      <c r="L26" s="212">
        <v>86.92</v>
      </c>
      <c r="M26" s="212" t="s">
        <v>312</v>
      </c>
    </row>
    <row r="27" spans="3:13" ht="13.15">
      <c r="C27" s="205" t="s">
        <v>306</v>
      </c>
      <c r="D27" s="215" t="e">
        <f>10^(-0.38+0.63*LOG10(Chemical!$D$15)+H27)</f>
        <v>#NUM!</v>
      </c>
      <c r="E27" s="215" t="e">
        <f t="shared" si="0"/>
        <v>#NUM!</v>
      </c>
      <c r="F27" s="208" t="e">
        <f>10^(6.39-2.49*LOG10(Chemical!$D$11)+I27+(J27-3486)/298.15)</f>
        <v>#NUM!</v>
      </c>
      <c r="G27" s="208"/>
      <c r="H27" s="212">
        <v>1.06</v>
      </c>
      <c r="I27" s="212">
        <v>-7.35</v>
      </c>
      <c r="J27" s="212">
        <v>1676</v>
      </c>
      <c r="M27" s="212" t="s">
        <v>312</v>
      </c>
    </row>
    <row r="28" spans="3:13" ht="13.15">
      <c r="C28" s="205" t="s">
        <v>307</v>
      </c>
      <c r="D28" s="215" t="e">
        <f>10^(-0.38+0.63*LOG10(Chemical!$D$15)+H28)</f>
        <v>#NUM!</v>
      </c>
      <c r="E28" s="215" t="e">
        <f t="shared" si="0"/>
        <v>#NUM!</v>
      </c>
      <c r="F28" s="208" t="e">
        <f>10^(6.39-2.49*LOG10(Chemical!$D$11)+I28+(J28-3486)/298.15)</f>
        <v>#NUM!</v>
      </c>
      <c r="G28" s="208">
        <f>EXP(K28 - 0.1351 * Chemical!$D$11 ^ (2 / 3) + 0.003 * Chemical!$D$11 - L28 * 1000 / 8.314 / 298.15)</f>
        <v>1.4758453533991593E-12</v>
      </c>
      <c r="H28" s="212">
        <v>2.06</v>
      </c>
      <c r="I28" s="212">
        <v>4.79</v>
      </c>
      <c r="J28" s="212">
        <v>-2391</v>
      </c>
      <c r="K28" s="212">
        <v>13.1</v>
      </c>
      <c r="L28" s="212">
        <v>100</v>
      </c>
      <c r="M28" s="212" t="s">
        <v>312</v>
      </c>
    </row>
    <row r="29" spans="3:13" ht="13.15">
      <c r="C29" s="205" t="s">
        <v>297</v>
      </c>
      <c r="D29" s="215" t="e">
        <f>10^(-0.38+0.63*LOG10(Chemical!$D$15)+H29)</f>
        <v>#NUM!</v>
      </c>
      <c r="E29" s="215" t="e">
        <f t="shared" si="0"/>
        <v>#NUM!</v>
      </c>
      <c r="F29" s="208" t="e">
        <f>10^(6.39-2.49*LOG10(Chemical!$D$11)+I29+(J29-3486)/298.15)</f>
        <v>#NUM!</v>
      </c>
      <c r="G29" s="208"/>
      <c r="H29" s="212">
        <v>2.0699999999999998</v>
      </c>
      <c r="I29" s="212">
        <v>-8.57</v>
      </c>
      <c r="J29" s="212">
        <v>0</v>
      </c>
      <c r="M29" s="212" t="s">
        <v>312</v>
      </c>
    </row>
    <row r="30" spans="3:13" ht="13.15">
      <c r="C30" s="205" t="s">
        <v>298</v>
      </c>
      <c r="D30" s="215" t="e">
        <f>10^(-0.38+0.63*LOG10(Chemical!$D$15)+H30)</f>
        <v>#NUM!</v>
      </c>
      <c r="E30" s="215" t="e">
        <f t="shared" si="0"/>
        <v>#NUM!</v>
      </c>
      <c r="F30" s="208" t="e">
        <f>10^(6.39-2.49*LOG10(Chemical!$D$11)+I30+(J30-3486)/298.15)</f>
        <v>#NUM!</v>
      </c>
      <c r="G30" s="208">
        <f>EXP(K30 - 0.1351 * Chemical!$D$11 ^ (2 / 3) + 0.003 * Chemical!$D$11 - L30 * 1000 / 8.314 / 298.15)</f>
        <v>2.1733667712523312E-16</v>
      </c>
      <c r="H30" s="212">
        <v>2.2599999999999998</v>
      </c>
      <c r="I30" s="212">
        <v>-6.77</v>
      </c>
      <c r="J30" s="212">
        <v>1676</v>
      </c>
      <c r="K30" s="212">
        <v>-1</v>
      </c>
      <c r="L30" s="212">
        <v>86.92</v>
      </c>
      <c r="M30" s="212" t="s">
        <v>312</v>
      </c>
    </row>
    <row r="31" spans="3:13" ht="13.15">
      <c r="C31" s="205" t="s">
        <v>310</v>
      </c>
      <c r="D31" s="215" t="e">
        <f>10^(-0.38+0.63*LOG10(Chemical!$D$15)+H31)</f>
        <v>#NUM!</v>
      </c>
      <c r="E31" s="215" t="e">
        <f t="shared" si="0"/>
        <v>#NUM!</v>
      </c>
      <c r="F31" s="208" t="e">
        <f>10^(6.39-2.49*LOG10(Chemical!$D$11)+I31+(J31-3486)/298.15)</f>
        <v>#NUM!</v>
      </c>
      <c r="G31" s="208"/>
      <c r="H31" s="212">
        <v>2.0099999999999998</v>
      </c>
      <c r="I31" s="212">
        <v>-6.72</v>
      </c>
      <c r="J31" s="212">
        <v>1676</v>
      </c>
      <c r="M31" s="212" t="s">
        <v>312</v>
      </c>
    </row>
    <row r="32" spans="3:13" ht="13.15">
      <c r="C32" s="205" t="s">
        <v>311</v>
      </c>
      <c r="D32" s="215">
        <f>0.06*Chemical!D15</f>
        <v>0</v>
      </c>
      <c r="E32" s="215">
        <f>G32</f>
        <v>2.14545576513341E-11</v>
      </c>
      <c r="F32" s="216" t="s">
        <v>327</v>
      </c>
      <c r="G32" s="208">
        <f>EXP(K32 - 0.1351 * Chemical!$D$11 ^ (2 / 3) + 0.003 * Chemical!$D$11 - L32 * 1000 / 8.314 / 298.15)</f>
        <v>2.14545576513341E-11</v>
      </c>
      <c r="K32" s="212">
        <v>10.5</v>
      </c>
      <c r="L32" s="212">
        <v>86.92</v>
      </c>
      <c r="M32" s="212" t="s">
        <v>312</v>
      </c>
    </row>
    <row r="33" spans="3:7" ht="13.15">
      <c r="C33" s="205" t="s">
        <v>319</v>
      </c>
      <c r="D33" s="214"/>
      <c r="E33" s="214"/>
      <c r="F33" s="208"/>
      <c r="G33" s="208"/>
    </row>
    <row r="34" spans="3:7" ht="13.15">
      <c r="C34" s="205" t="s">
        <v>320</v>
      </c>
      <c r="D34" s="214"/>
      <c r="E34" s="214"/>
      <c r="F34" s="208"/>
      <c r="G34" s="208"/>
    </row>
    <row r="35" spans="3:7" ht="13.15">
      <c r="C35" s="205" t="s">
        <v>321</v>
      </c>
      <c r="D35" s="214"/>
      <c r="E35" s="214"/>
      <c r="F35" s="208"/>
      <c r="G35" s="208"/>
    </row>
  </sheetData>
  <sheetProtection algorithmName="SHA-512" hashValue="RnElh3RXKTl9eXwfXaxiR6Rz4UF84WwtxrNJ8ABCp5GIutk6L64W6hKCMR4ZA+ylLPlP/+vgKglHNXcIfUrWgg==" saltValue="9KEHDvWxasx5RENZtSmoWQ==" spinCount="100000" sheet="1" objects="1" scenarios="1"/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rgb="FF0081E2"/>
  </sheetPr>
  <dimension ref="A1:T11"/>
  <sheetViews>
    <sheetView zoomScale="90" zoomScaleNormal="9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K29" sqref="K29"/>
    </sheetView>
  </sheetViews>
  <sheetFormatPr defaultColWidth="8.73046875" defaultRowHeight="13.15"/>
  <cols>
    <col min="1" max="1" width="6" style="230" customWidth="1"/>
    <col min="2" max="5" width="13.3984375" style="230" customWidth="1"/>
    <col min="6" max="9" width="13.265625" style="230" customWidth="1"/>
    <col min="10" max="13" width="16.73046875" style="230" customWidth="1"/>
    <col min="14" max="15" width="11.86328125" style="230" customWidth="1"/>
    <col min="16" max="16" width="15.265625" style="230" customWidth="1"/>
    <col min="17" max="17" width="21.86328125" style="230" customWidth="1"/>
    <col min="18" max="20" width="11.73046875" style="230" customWidth="1"/>
    <col min="21" max="16384" width="8.73046875" style="230"/>
  </cols>
  <sheetData>
    <row r="1" spans="1:20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</row>
    <row r="2" spans="1:20" ht="27.75">
      <c r="A2" s="231" t="s">
        <v>232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</row>
    <row r="3" spans="1:20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R3" s="229"/>
      <c r="S3" s="229"/>
      <c r="T3" s="229"/>
    </row>
    <row r="4" spans="1:20" hidden="1">
      <c r="A4" s="161"/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</row>
    <row r="5" spans="1:20" hidden="1">
      <c r="A5" s="229"/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P5" s="229"/>
      <c r="Q5" s="229"/>
      <c r="R5" s="229"/>
      <c r="S5" s="229"/>
      <c r="T5" s="229"/>
    </row>
    <row r="6" spans="1:20" hidden="1">
      <c r="A6" s="229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229"/>
    </row>
    <row r="7" spans="1:20" hidden="1">
      <c r="A7" s="229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</row>
    <row r="8" spans="1:20" ht="13.5" thickBot="1">
      <c r="A8" s="232"/>
      <c r="B8" s="232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</row>
    <row r="9" spans="1:20" s="275" customFormat="1" ht="21" customHeight="1">
      <c r="A9" s="272" t="s">
        <v>224</v>
      </c>
      <c r="B9" s="272"/>
      <c r="C9" s="272"/>
      <c r="D9" s="273"/>
      <c r="E9" s="274"/>
      <c r="F9" s="272" t="s">
        <v>228</v>
      </c>
      <c r="G9" s="272"/>
      <c r="H9" s="272"/>
      <c r="I9" s="272"/>
      <c r="J9" s="272"/>
      <c r="K9" s="272"/>
      <c r="L9" s="272"/>
      <c r="M9" s="274"/>
      <c r="N9" s="272" t="s">
        <v>229</v>
      </c>
      <c r="O9" s="272"/>
      <c r="P9" s="274"/>
      <c r="Q9" s="272" t="s">
        <v>230</v>
      </c>
      <c r="R9" s="272"/>
      <c r="S9" s="272"/>
      <c r="T9" s="272"/>
    </row>
    <row r="10" spans="1:20" s="239" customFormat="1" ht="39.6" customHeight="1">
      <c r="A10" s="233" t="s">
        <v>40</v>
      </c>
      <c r="B10" s="233" t="s">
        <v>226</v>
      </c>
      <c r="C10" s="233" t="s">
        <v>227</v>
      </c>
      <c r="D10" s="234" t="s">
        <v>225</v>
      </c>
      <c r="E10" s="235" t="s">
        <v>571</v>
      </c>
      <c r="F10" s="236" t="s">
        <v>572</v>
      </c>
      <c r="G10" s="233" t="s">
        <v>573</v>
      </c>
      <c r="H10" s="233" t="s">
        <v>574</v>
      </c>
      <c r="I10" s="233" t="s">
        <v>394</v>
      </c>
      <c r="J10" s="237" t="s">
        <v>575</v>
      </c>
      <c r="K10" s="237" t="s">
        <v>576</v>
      </c>
      <c r="L10" s="237" t="s">
        <v>577</v>
      </c>
      <c r="M10" s="235" t="s">
        <v>404</v>
      </c>
      <c r="N10" s="236" t="s">
        <v>194</v>
      </c>
      <c r="O10" s="233" t="s">
        <v>169</v>
      </c>
      <c r="P10" s="235" t="s">
        <v>231</v>
      </c>
      <c r="Q10" s="236" t="s">
        <v>41</v>
      </c>
      <c r="R10" s="238"/>
      <c r="S10" s="238"/>
      <c r="T10" s="238"/>
    </row>
    <row r="11" spans="1:20">
      <c r="A11" s="230">
        <v>1</v>
      </c>
      <c r="B11" s="230" t="s">
        <v>570</v>
      </c>
      <c r="C11" s="230" t="s">
        <v>430</v>
      </c>
      <c r="D11" s="230">
        <v>228.291</v>
      </c>
      <c r="E11" s="230">
        <v>199.57</v>
      </c>
      <c r="F11" s="230">
        <v>2089.2961308540398</v>
      </c>
      <c r="G11" s="230">
        <v>6.8657818460771166E-9</v>
      </c>
      <c r="H11" s="230">
        <v>304305638846.914</v>
      </c>
      <c r="J11" s="230">
        <v>69.01764952818931</v>
      </c>
      <c r="K11" s="230">
        <v>726.32640000000004</v>
      </c>
      <c r="L11" s="230">
        <v>363.16320000000002</v>
      </c>
      <c r="M11" s="230">
        <v>359.93299999999999</v>
      </c>
      <c r="N11" s="230">
        <v>2267961.85</v>
      </c>
      <c r="O11" s="230">
        <v>453592.37</v>
      </c>
      <c r="Q11" s="230" t="s">
        <v>284</v>
      </c>
    </row>
  </sheetData>
  <sheetProtection algorithmName="SHA-512" hashValue="UYqwG8i+qhAYp+DXhlrUPk5KHjC7WkVazIffQaXDsyBmrfHXubkzIp4tSWxpJWYELGLsPR44Q4wN9YnnheBLCQ==" saltValue="38g/kH9D+9ONb4fpKIrTfg==" spinCount="100000" sheet="1" objects="1" scenarios="1"/>
  <phoneticPr fontId="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81E2"/>
  </sheetPr>
  <dimension ref="A1:G49"/>
  <sheetViews>
    <sheetView zoomScale="90" zoomScaleNormal="90" workbookViewId="0">
      <selection activeCell="G19" sqref="G19"/>
    </sheetView>
  </sheetViews>
  <sheetFormatPr defaultColWidth="0" defaultRowHeight="13.15"/>
  <cols>
    <col min="1" max="1" width="3.3984375" style="1" customWidth="1"/>
    <col min="2" max="2" width="44.265625" style="1" customWidth="1"/>
    <col min="3" max="3" width="11.1328125" style="1" customWidth="1"/>
    <col min="4" max="4" width="12.265625" style="1" bestFit="1" customWidth="1"/>
    <col min="5" max="5" width="15.3984375" style="1" bestFit="1" customWidth="1"/>
    <col min="6" max="7" width="8.73046875" style="1" customWidth="1"/>
    <col min="8" max="16384" width="8.73046875" style="1" hidden="1"/>
  </cols>
  <sheetData>
    <row r="1" spans="1:7" ht="24.95" customHeight="1">
      <c r="A1" s="38" t="s">
        <v>273</v>
      </c>
      <c r="C1" s="55"/>
      <c r="D1" s="55"/>
      <c r="E1" s="55"/>
      <c r="F1" s="55"/>
      <c r="G1" s="55"/>
    </row>
    <row r="2" spans="1:7" ht="15" customHeight="1">
      <c r="A2" s="55"/>
      <c r="B2" s="55"/>
      <c r="C2" s="55"/>
      <c r="D2" s="55"/>
      <c r="E2" s="55"/>
      <c r="F2" s="55"/>
      <c r="G2" s="55"/>
    </row>
    <row r="3" spans="1:7" ht="15" customHeight="1">
      <c r="A3" s="55"/>
      <c r="B3" s="55"/>
      <c r="C3" s="55"/>
      <c r="D3" s="55"/>
      <c r="E3" s="55"/>
      <c r="F3" s="55"/>
      <c r="G3" s="55"/>
    </row>
    <row r="4" spans="1:7" ht="15" hidden="1" customHeight="1">
      <c r="A4" s="55"/>
      <c r="B4" s="55"/>
      <c r="C4" s="55"/>
      <c r="D4" s="55"/>
      <c r="E4" s="55"/>
      <c r="F4" s="55"/>
      <c r="G4" s="55"/>
    </row>
    <row r="5" spans="1:7" ht="15" hidden="1" customHeight="1">
      <c r="A5" s="55"/>
      <c r="B5" s="55"/>
      <c r="C5" s="55"/>
      <c r="D5" s="55"/>
      <c r="E5" s="55"/>
      <c r="F5" s="55"/>
      <c r="G5" s="55"/>
    </row>
    <row r="6" spans="1:7" ht="15" hidden="1" customHeight="1">
      <c r="A6" s="55"/>
      <c r="B6" s="55"/>
      <c r="C6" s="55"/>
      <c r="D6" s="55"/>
      <c r="E6" s="55"/>
      <c r="F6" s="55"/>
      <c r="G6" s="55"/>
    </row>
    <row r="7" spans="1:7" ht="15" hidden="1" customHeight="1">
      <c r="A7" s="55"/>
      <c r="B7" s="55"/>
      <c r="C7" s="55"/>
      <c r="D7" s="55"/>
      <c r="E7" s="55"/>
      <c r="F7" s="55"/>
      <c r="G7" s="55"/>
    </row>
    <row r="8" spans="1:7" ht="15" hidden="1" customHeight="1">
      <c r="A8" s="55"/>
      <c r="B8" s="79"/>
      <c r="C8" s="79"/>
      <c r="D8" s="79"/>
      <c r="E8" s="79"/>
      <c r="F8" s="55"/>
      <c r="G8" s="55"/>
    </row>
    <row r="9" spans="1:7" ht="15" customHeight="1">
      <c r="A9" s="80"/>
      <c r="B9" s="81" t="s">
        <v>381</v>
      </c>
      <c r="C9" s="82" t="s">
        <v>274</v>
      </c>
      <c r="D9" s="82" t="s">
        <v>275</v>
      </c>
      <c r="E9" s="83" t="s">
        <v>276</v>
      </c>
      <c r="F9" s="84"/>
      <c r="G9" s="55"/>
    </row>
    <row r="10" spans="1:7" ht="15" customHeight="1">
      <c r="A10" s="55"/>
      <c r="B10" s="51" t="s">
        <v>222</v>
      </c>
      <c r="C10" s="51"/>
      <c r="D10" s="85" t="s">
        <v>506</v>
      </c>
      <c r="E10" s="1" t="s">
        <v>216</v>
      </c>
      <c r="F10" s="55"/>
      <c r="G10" s="55"/>
    </row>
    <row r="11" spans="1:7" ht="15" customHeight="1">
      <c r="A11" s="45"/>
      <c r="B11" s="39" t="s">
        <v>380</v>
      </c>
      <c r="C11" s="45" t="s">
        <v>10</v>
      </c>
      <c r="D11" s="86"/>
      <c r="E11" s="46" t="s">
        <v>466</v>
      </c>
      <c r="F11" s="46"/>
      <c r="G11" s="39"/>
    </row>
    <row r="12" spans="1:7" ht="15" customHeight="1">
      <c r="A12" s="45"/>
      <c r="B12" s="87" t="s">
        <v>355</v>
      </c>
      <c r="C12" s="88" t="s">
        <v>379</v>
      </c>
      <c r="D12" s="89"/>
      <c r="E12" s="90" t="s">
        <v>467</v>
      </c>
      <c r="F12" s="46"/>
      <c r="G12" s="39"/>
    </row>
    <row r="13" spans="1:7" ht="15" customHeight="1">
      <c r="A13" s="45"/>
      <c r="B13" s="39" t="s">
        <v>12</v>
      </c>
      <c r="C13" s="45" t="s">
        <v>468</v>
      </c>
      <c r="D13" s="91"/>
      <c r="E13" s="46"/>
      <c r="F13" s="46"/>
      <c r="G13" s="39"/>
    </row>
    <row r="14" spans="1:7" ht="15" customHeight="1">
      <c r="A14" s="45"/>
      <c r="B14" s="39" t="s">
        <v>15</v>
      </c>
      <c r="C14" s="45" t="s">
        <v>469</v>
      </c>
      <c r="D14" s="91"/>
      <c r="E14" s="46"/>
      <c r="F14" s="46"/>
      <c r="G14" s="39"/>
    </row>
    <row r="15" spans="1:7" ht="15" customHeight="1">
      <c r="A15" s="45"/>
      <c r="B15" s="39" t="s">
        <v>11</v>
      </c>
      <c r="C15" s="45" t="s">
        <v>470</v>
      </c>
      <c r="D15" s="91"/>
      <c r="E15" s="46"/>
      <c r="F15" s="46"/>
      <c r="G15" s="39"/>
    </row>
    <row r="16" spans="1:7" ht="15" customHeight="1">
      <c r="A16" s="45"/>
      <c r="B16" s="39" t="s">
        <v>16</v>
      </c>
      <c r="C16" s="45" t="s">
        <v>471</v>
      </c>
      <c r="D16" s="86"/>
      <c r="E16" s="46" t="s">
        <v>472</v>
      </c>
      <c r="F16" s="46"/>
      <c r="G16" s="39"/>
    </row>
    <row r="17" spans="1:7" ht="15" customHeight="1">
      <c r="A17" s="45"/>
      <c r="B17" s="39" t="s">
        <v>13</v>
      </c>
      <c r="C17" s="45" t="s">
        <v>473</v>
      </c>
      <c r="D17" s="89"/>
      <c r="E17" s="46" t="s">
        <v>472</v>
      </c>
      <c r="F17" s="46"/>
      <c r="G17" s="39"/>
    </row>
    <row r="18" spans="1:7" ht="15" customHeight="1">
      <c r="A18" s="45"/>
      <c r="B18" s="39" t="s">
        <v>14</v>
      </c>
      <c r="C18" s="45" t="s">
        <v>474</v>
      </c>
      <c r="D18" s="89"/>
      <c r="E18" s="46" t="s">
        <v>472</v>
      </c>
      <c r="F18" s="46"/>
      <c r="G18" s="39"/>
    </row>
    <row r="19" spans="1:7" ht="15" customHeight="1">
      <c r="A19" s="55"/>
      <c r="B19" s="55" t="s">
        <v>394</v>
      </c>
      <c r="C19" s="80" t="s">
        <v>394</v>
      </c>
      <c r="D19" s="89"/>
      <c r="E19" s="84"/>
      <c r="F19" s="55"/>
      <c r="G19" s="55"/>
    </row>
    <row r="20" spans="1:7" ht="15" customHeight="1">
      <c r="A20" s="45"/>
      <c r="B20" s="39" t="s">
        <v>444</v>
      </c>
      <c r="C20" s="45" t="s">
        <v>475</v>
      </c>
      <c r="D20" s="91"/>
      <c r="E20" s="46" t="s">
        <v>476</v>
      </c>
      <c r="F20" s="46"/>
      <c r="G20" s="39"/>
    </row>
    <row r="21" spans="1:7" ht="15" customHeight="1">
      <c r="A21" s="45"/>
      <c r="B21" s="39" t="s">
        <v>18</v>
      </c>
      <c r="C21" s="45" t="s">
        <v>477</v>
      </c>
      <c r="D21" s="91"/>
      <c r="E21" s="46" t="s">
        <v>476</v>
      </c>
      <c r="F21" s="46"/>
      <c r="G21" s="39"/>
    </row>
    <row r="22" spans="1:7" ht="15" customHeight="1">
      <c r="A22" s="45"/>
      <c r="B22" s="39" t="s">
        <v>17</v>
      </c>
      <c r="C22" s="45" t="s">
        <v>478</v>
      </c>
      <c r="D22" s="91"/>
      <c r="E22" s="46" t="s">
        <v>476</v>
      </c>
      <c r="F22" s="46"/>
      <c r="G22" s="39"/>
    </row>
    <row r="23" spans="1:7" ht="15" customHeight="1">
      <c r="A23" s="45"/>
      <c r="B23" s="39" t="s">
        <v>42</v>
      </c>
      <c r="C23" s="45" t="s">
        <v>479</v>
      </c>
      <c r="D23" s="86"/>
      <c r="E23" s="46" t="s">
        <v>472</v>
      </c>
      <c r="F23" s="46"/>
      <c r="G23" s="39"/>
    </row>
    <row r="24" spans="1:7" ht="15" customHeight="1">
      <c r="A24" s="45"/>
      <c r="B24" s="39" t="s">
        <v>43</v>
      </c>
      <c r="C24" s="45" t="s">
        <v>480</v>
      </c>
      <c r="D24" s="86"/>
      <c r="E24" s="46" t="s">
        <v>472</v>
      </c>
      <c r="F24" s="46"/>
      <c r="G24" s="39"/>
    </row>
    <row r="25" spans="1:7" ht="15" customHeight="1">
      <c r="A25" s="45"/>
      <c r="B25" s="39" t="s">
        <v>44</v>
      </c>
      <c r="C25" s="45" t="s">
        <v>481</v>
      </c>
      <c r="D25" s="86"/>
      <c r="E25" s="46" t="s">
        <v>472</v>
      </c>
      <c r="F25" s="46"/>
      <c r="G25" s="39"/>
    </row>
    <row r="26" spans="1:7" ht="15" customHeight="1">
      <c r="A26" s="45"/>
      <c r="B26" s="39" t="s">
        <v>175</v>
      </c>
      <c r="C26" s="45" t="s">
        <v>176</v>
      </c>
      <c r="D26" s="89"/>
      <c r="E26" s="46" t="s">
        <v>405</v>
      </c>
      <c r="F26" s="46"/>
      <c r="G26" s="39"/>
    </row>
    <row r="27" spans="1:7" ht="15" customHeight="1">
      <c r="A27" s="55"/>
      <c r="B27" s="55" t="s">
        <v>587</v>
      </c>
      <c r="C27" s="45" t="s">
        <v>588</v>
      </c>
      <c r="D27" s="89"/>
      <c r="E27" s="46" t="s">
        <v>405</v>
      </c>
      <c r="F27" s="55"/>
      <c r="G27" s="55"/>
    </row>
    <row r="28" spans="1:7" ht="15" customHeight="1">
      <c r="A28" s="55"/>
      <c r="B28" s="55"/>
      <c r="C28" s="55"/>
      <c r="D28" s="55"/>
      <c r="E28" s="55"/>
      <c r="F28" s="55"/>
      <c r="G28" s="55"/>
    </row>
    <row r="29" spans="1:7" ht="15" customHeight="1">
      <c r="A29" s="55"/>
      <c r="B29" s="56" t="s">
        <v>586</v>
      </c>
      <c r="C29" s="55"/>
      <c r="D29" s="55"/>
      <c r="E29" s="55"/>
      <c r="F29" s="55"/>
      <c r="G29" s="55"/>
    </row>
    <row r="30" spans="1:7" ht="15" customHeight="1">
      <c r="A30" s="55"/>
      <c r="B30" s="81" t="s">
        <v>381</v>
      </c>
      <c r="C30" s="82" t="s">
        <v>274</v>
      </c>
      <c r="D30" s="82" t="s">
        <v>275</v>
      </c>
      <c r="E30" s="83" t="s">
        <v>276</v>
      </c>
      <c r="F30" s="55"/>
      <c r="G30" s="55"/>
    </row>
    <row r="31" spans="1:7" ht="15" customHeight="1">
      <c r="A31" s="55"/>
      <c r="B31" s="55" t="s">
        <v>322</v>
      </c>
      <c r="C31" s="55" t="s">
        <v>590</v>
      </c>
      <c r="D31" s="89"/>
      <c r="E31" s="55" t="s">
        <v>323</v>
      </c>
      <c r="F31" s="55"/>
      <c r="G31" s="55"/>
    </row>
    <row r="32" spans="1:7" ht="15.4">
      <c r="A32" s="55"/>
      <c r="B32" s="55" t="s">
        <v>584</v>
      </c>
      <c r="C32" s="55" t="s">
        <v>589</v>
      </c>
      <c r="D32" s="89"/>
      <c r="E32" s="55" t="s">
        <v>585</v>
      </c>
      <c r="F32" s="55"/>
      <c r="G32" s="55"/>
    </row>
    <row r="33" spans="1:7">
      <c r="A33" s="55"/>
      <c r="B33" s="55"/>
      <c r="C33" s="55"/>
      <c r="D33" s="55"/>
      <c r="E33" s="55"/>
      <c r="F33" s="55"/>
      <c r="G33" s="55"/>
    </row>
    <row r="34" spans="1:7">
      <c r="A34" s="55"/>
      <c r="B34" s="55"/>
      <c r="C34" s="55"/>
      <c r="D34" s="55"/>
      <c r="E34" s="55"/>
      <c r="F34" s="55"/>
      <c r="G34" s="55"/>
    </row>
    <row r="35" spans="1:7">
      <c r="A35" s="55"/>
      <c r="B35" s="55"/>
      <c r="C35" s="55"/>
      <c r="D35" s="55"/>
      <c r="E35" s="55"/>
      <c r="F35" s="55"/>
      <c r="G35" s="55"/>
    </row>
    <row r="36" spans="1:7">
      <c r="A36" s="55"/>
      <c r="B36" s="55"/>
      <c r="C36" s="55"/>
      <c r="D36" s="55"/>
      <c r="E36" s="55"/>
      <c r="F36" s="55"/>
      <c r="G36" s="55"/>
    </row>
    <row r="37" spans="1:7">
      <c r="A37" s="55"/>
      <c r="B37" s="55"/>
      <c r="C37" s="55"/>
      <c r="D37" s="55"/>
      <c r="E37" s="55"/>
      <c r="F37" s="55"/>
      <c r="G37" s="55"/>
    </row>
    <row r="38" spans="1:7">
      <c r="A38" s="55"/>
      <c r="B38" s="55"/>
      <c r="C38" s="55"/>
      <c r="D38" s="55"/>
      <c r="E38" s="55"/>
      <c r="F38" s="55"/>
      <c r="G38" s="55"/>
    </row>
    <row r="39" spans="1:7">
      <c r="A39" s="55"/>
      <c r="B39" s="55"/>
      <c r="C39" s="55"/>
      <c r="D39" s="55"/>
      <c r="E39" s="55"/>
      <c r="F39" s="55"/>
      <c r="G39" s="55"/>
    </row>
    <row r="40" spans="1:7">
      <c r="A40" s="55"/>
      <c r="B40" s="55"/>
      <c r="C40" s="55"/>
      <c r="D40" s="55"/>
      <c r="E40" s="55"/>
      <c r="F40" s="55"/>
      <c r="G40" s="55"/>
    </row>
    <row r="49" spans="4:4">
      <c r="D49" s="92"/>
    </row>
  </sheetData>
  <sheetProtection algorithmName="SHA-512" hashValue="su4D2oSrc3xx11Z7ToYW8gxXlCyp8+wqQoU+m9TS2IF22ecXAYUImCItAS3smQhbbvWTo3yGChjRMuPdZpj0oQ==" saltValue="wgdql9hV6ANF8xPeWhDNqw==" spinCount="100000"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81E2"/>
  </sheetPr>
  <dimension ref="A1:Y215"/>
  <sheetViews>
    <sheetView zoomScale="90" zoomScaleNormal="90" workbookViewId="0">
      <pane xSplit="2" ySplit="10" topLeftCell="C14" activePane="bottomRight" state="frozen"/>
      <selection pane="topRight" activeCell="C1" sqref="C1"/>
      <selection pane="bottomLeft" activeCell="A11" sqref="A11"/>
      <selection pane="bottomRight" activeCell="H15" sqref="H15"/>
    </sheetView>
  </sheetViews>
  <sheetFormatPr defaultColWidth="0" defaultRowHeight="13.15" zeroHeight="1"/>
  <cols>
    <col min="1" max="1" width="3.3984375" style="1" customWidth="1"/>
    <col min="2" max="25" width="8.73046875" style="1" customWidth="1"/>
    <col min="26" max="16384" width="8.73046875" style="1" hidden="1"/>
  </cols>
  <sheetData>
    <row r="1" spans="1:25" ht="24.95" customHeight="1">
      <c r="A1" s="38" t="s">
        <v>254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idden="1">
      <c r="A6" s="39"/>
      <c r="B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8" spans="1:25" ht="13.5">
      <c r="A8" s="39"/>
      <c r="B8" s="39"/>
      <c r="C8" s="40" t="s">
        <v>234</v>
      </c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</row>
    <row r="9" spans="1:25" ht="13.9" thickBot="1">
      <c r="A9" s="39"/>
      <c r="B9" s="39"/>
      <c r="C9" s="59" t="s">
        <v>236</v>
      </c>
      <c r="D9" s="59"/>
      <c r="E9" s="59"/>
      <c r="F9" s="59"/>
      <c r="G9" s="59"/>
      <c r="H9" s="59"/>
      <c r="I9" s="59"/>
      <c r="J9" s="59" t="s">
        <v>285</v>
      </c>
      <c r="K9" s="59"/>
      <c r="L9" s="59"/>
      <c r="M9" s="59"/>
      <c r="N9" s="59"/>
      <c r="O9" s="59"/>
      <c r="P9" s="59"/>
      <c r="Q9" s="59" t="s">
        <v>384</v>
      </c>
      <c r="R9" s="44"/>
      <c r="S9" s="44"/>
      <c r="T9" s="44"/>
      <c r="U9" s="44"/>
      <c r="V9" s="44"/>
      <c r="W9" s="44"/>
      <c r="X9" s="39"/>
      <c r="Y9" s="39"/>
    </row>
    <row r="10" spans="1:25" ht="15" customHeight="1" thickBot="1">
      <c r="A10" s="39"/>
      <c r="B10" s="60" t="s">
        <v>235</v>
      </c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255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255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39"/>
      <c r="Y10" s="39"/>
    </row>
    <row r="11" spans="1:25" ht="15" customHeight="1">
      <c r="A11" s="39"/>
      <c r="B11" s="45">
        <f>IF(Start_year+ROW(B11)-ROW($B$11)&gt;End_year,"",Start_year+ROW(B11)-ROW($B$11))</f>
        <v>1930</v>
      </c>
      <c r="C11" s="64"/>
      <c r="D11" s="65"/>
      <c r="E11" s="65"/>
      <c r="F11" s="65"/>
      <c r="G11" s="65"/>
      <c r="H11" s="65"/>
      <c r="I11" s="66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39"/>
      <c r="Y11" s="39"/>
    </row>
    <row r="12" spans="1:25" ht="15" customHeight="1">
      <c r="A12" s="39"/>
      <c r="B12" s="45">
        <f t="shared" ref="B12:B42" si="0">IF(Start_year+ROW(B12)-ROW($B$11)&gt;End_year,"",Start_year+ROW(B12)-ROW($B$11))</f>
        <v>1931</v>
      </c>
      <c r="C12" s="64"/>
      <c r="D12" s="65"/>
      <c r="E12" s="65"/>
      <c r="F12" s="65"/>
      <c r="G12" s="65"/>
      <c r="H12" s="65"/>
      <c r="I12" s="66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39"/>
      <c r="Y12" s="39"/>
    </row>
    <row r="13" spans="1:25" ht="15" customHeight="1">
      <c r="A13" s="39"/>
      <c r="B13" s="45">
        <f t="shared" si="0"/>
        <v>1932</v>
      </c>
      <c r="C13" s="64"/>
      <c r="D13" s="65"/>
      <c r="E13" s="65"/>
      <c r="F13" s="65"/>
      <c r="G13" s="65"/>
      <c r="H13" s="65"/>
      <c r="I13" s="66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39"/>
      <c r="Y13" s="39"/>
    </row>
    <row r="14" spans="1:25" ht="15" customHeight="1">
      <c r="A14" s="39"/>
      <c r="B14" s="45">
        <f t="shared" si="0"/>
        <v>1933</v>
      </c>
      <c r="C14" s="64"/>
      <c r="D14" s="65"/>
      <c r="E14" s="65"/>
      <c r="F14" s="65"/>
      <c r="G14" s="65"/>
      <c r="H14" s="65"/>
      <c r="I14" s="66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39"/>
      <c r="Y14" s="39"/>
    </row>
    <row r="15" spans="1:25" ht="15" customHeight="1">
      <c r="A15" s="39"/>
      <c r="B15" s="45">
        <f t="shared" si="0"/>
        <v>1934</v>
      </c>
      <c r="C15" s="64"/>
      <c r="D15" s="65"/>
      <c r="E15" s="65"/>
      <c r="F15" s="65"/>
      <c r="G15" s="65"/>
      <c r="H15" s="65"/>
      <c r="I15" s="66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39"/>
      <c r="Y15" s="39"/>
    </row>
    <row r="16" spans="1:25" ht="15" customHeight="1">
      <c r="A16" s="39"/>
      <c r="B16" s="45">
        <f t="shared" si="0"/>
        <v>1935</v>
      </c>
      <c r="C16" s="64"/>
      <c r="D16" s="65"/>
      <c r="E16" s="65"/>
      <c r="F16" s="65"/>
      <c r="G16" s="65"/>
      <c r="H16" s="65"/>
      <c r="I16" s="66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39"/>
      <c r="Y16" s="39"/>
    </row>
    <row r="17" spans="1:25" ht="15" customHeight="1">
      <c r="A17" s="39"/>
      <c r="B17" s="45">
        <f t="shared" si="0"/>
        <v>1936</v>
      </c>
      <c r="C17" s="64"/>
      <c r="D17" s="65"/>
      <c r="E17" s="65"/>
      <c r="F17" s="65"/>
      <c r="G17" s="65"/>
      <c r="H17" s="65"/>
      <c r="I17" s="66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39"/>
      <c r="Y17" s="39"/>
    </row>
    <row r="18" spans="1:25" ht="15" customHeight="1">
      <c r="A18" s="39"/>
      <c r="B18" s="45">
        <f t="shared" si="0"/>
        <v>1937</v>
      </c>
      <c r="C18" s="64"/>
      <c r="D18" s="65"/>
      <c r="E18" s="65"/>
      <c r="F18" s="65"/>
      <c r="G18" s="65"/>
      <c r="H18" s="65"/>
      <c r="I18" s="66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39"/>
      <c r="Y18" s="39"/>
    </row>
    <row r="19" spans="1:25" ht="15" customHeight="1">
      <c r="A19" s="39"/>
      <c r="B19" s="45">
        <f t="shared" si="0"/>
        <v>1938</v>
      </c>
      <c r="C19" s="64"/>
      <c r="D19" s="65"/>
      <c r="E19" s="65"/>
      <c r="F19" s="65"/>
      <c r="G19" s="65"/>
      <c r="H19" s="65"/>
      <c r="I19" s="66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39"/>
      <c r="Y19" s="39"/>
    </row>
    <row r="20" spans="1:25" ht="15" customHeight="1">
      <c r="A20" s="39"/>
      <c r="B20" s="45">
        <f t="shared" si="0"/>
        <v>1939</v>
      </c>
      <c r="C20" s="64"/>
      <c r="D20" s="65"/>
      <c r="E20" s="65"/>
      <c r="F20" s="65"/>
      <c r="G20" s="65"/>
      <c r="H20" s="65"/>
      <c r="I20" s="66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39"/>
      <c r="Y20" s="39"/>
    </row>
    <row r="21" spans="1:25" ht="15" customHeight="1">
      <c r="A21" s="39"/>
      <c r="B21" s="45">
        <f t="shared" si="0"/>
        <v>1940</v>
      </c>
      <c r="C21" s="64"/>
      <c r="D21" s="65"/>
      <c r="E21" s="65"/>
      <c r="F21" s="65"/>
      <c r="G21" s="65"/>
      <c r="H21" s="65"/>
      <c r="I21" s="66"/>
      <c r="J21" s="67"/>
      <c r="K21" s="68"/>
      <c r="L21" s="68"/>
      <c r="M21" s="68"/>
      <c r="N21" s="68"/>
      <c r="O21" s="68"/>
      <c r="P21" s="69"/>
      <c r="Q21" s="67"/>
      <c r="R21" s="68"/>
      <c r="S21" s="68"/>
      <c r="T21" s="68"/>
      <c r="U21" s="68"/>
      <c r="V21" s="68"/>
      <c r="W21" s="69"/>
      <c r="X21" s="39"/>
      <c r="Y21" s="39"/>
    </row>
    <row r="22" spans="1:25" ht="15" customHeight="1">
      <c r="A22" s="39"/>
      <c r="B22" s="45">
        <f t="shared" si="0"/>
        <v>1941</v>
      </c>
      <c r="C22" s="64"/>
      <c r="D22" s="65"/>
      <c r="E22" s="65"/>
      <c r="F22" s="65"/>
      <c r="G22" s="65"/>
      <c r="H22" s="65"/>
      <c r="I22" s="66"/>
      <c r="J22" s="67"/>
      <c r="K22" s="68"/>
      <c r="L22" s="68"/>
      <c r="M22" s="68"/>
      <c r="N22" s="68"/>
      <c r="O22" s="68"/>
      <c r="P22" s="69"/>
      <c r="Q22" s="67"/>
      <c r="R22" s="68"/>
      <c r="S22" s="68"/>
      <c r="T22" s="68"/>
      <c r="U22" s="68"/>
      <c r="V22" s="68"/>
      <c r="W22" s="69"/>
      <c r="X22" s="39"/>
      <c r="Y22" s="39"/>
    </row>
    <row r="23" spans="1:25" ht="15" customHeight="1">
      <c r="A23" s="39"/>
      <c r="B23" s="45">
        <f t="shared" si="0"/>
        <v>1942</v>
      </c>
      <c r="C23" s="64"/>
      <c r="D23" s="65"/>
      <c r="E23" s="65"/>
      <c r="F23" s="65"/>
      <c r="G23" s="65"/>
      <c r="H23" s="65"/>
      <c r="I23" s="66"/>
      <c r="J23" s="67"/>
      <c r="K23" s="68"/>
      <c r="L23" s="68"/>
      <c r="M23" s="68"/>
      <c r="N23" s="68"/>
      <c r="O23" s="68"/>
      <c r="P23" s="69"/>
      <c r="Q23" s="67"/>
      <c r="R23" s="68"/>
      <c r="S23" s="68"/>
      <c r="T23" s="68"/>
      <c r="U23" s="68"/>
      <c r="V23" s="68"/>
      <c r="W23" s="69"/>
      <c r="X23" s="39"/>
      <c r="Y23" s="39"/>
    </row>
    <row r="24" spans="1:25" ht="15" customHeight="1">
      <c r="A24" s="39"/>
      <c r="B24" s="45">
        <f t="shared" si="0"/>
        <v>1943</v>
      </c>
      <c r="C24" s="64"/>
      <c r="D24" s="65"/>
      <c r="E24" s="65"/>
      <c r="F24" s="65"/>
      <c r="G24" s="65"/>
      <c r="H24" s="65"/>
      <c r="I24" s="66"/>
      <c r="J24" s="67"/>
      <c r="K24" s="68"/>
      <c r="L24" s="68"/>
      <c r="M24" s="68"/>
      <c r="N24" s="68"/>
      <c r="O24" s="68"/>
      <c r="P24" s="69"/>
      <c r="Q24" s="67"/>
      <c r="R24" s="68"/>
      <c r="S24" s="68"/>
      <c r="T24" s="68"/>
      <c r="U24" s="68"/>
      <c r="V24" s="68"/>
      <c r="W24" s="69"/>
      <c r="X24" s="39"/>
      <c r="Y24" s="39"/>
    </row>
    <row r="25" spans="1:25" ht="15" customHeight="1">
      <c r="A25" s="39"/>
      <c r="B25" s="45">
        <f t="shared" si="0"/>
        <v>1944</v>
      </c>
      <c r="C25" s="64"/>
      <c r="D25" s="65"/>
      <c r="E25" s="65"/>
      <c r="F25" s="65"/>
      <c r="G25" s="65"/>
      <c r="H25" s="65"/>
      <c r="I25" s="66"/>
      <c r="J25" s="67"/>
      <c r="K25" s="68"/>
      <c r="L25" s="68"/>
      <c r="M25" s="68"/>
      <c r="N25" s="68"/>
      <c r="O25" s="68"/>
      <c r="P25" s="69"/>
      <c r="Q25" s="67"/>
      <c r="R25" s="68"/>
      <c r="S25" s="68"/>
      <c r="T25" s="68"/>
      <c r="U25" s="68"/>
      <c r="V25" s="68"/>
      <c r="W25" s="69"/>
      <c r="X25" s="39"/>
      <c r="Y25" s="39"/>
    </row>
    <row r="26" spans="1:25" ht="15" customHeight="1">
      <c r="A26" s="39"/>
      <c r="B26" s="45">
        <f t="shared" si="0"/>
        <v>1945</v>
      </c>
      <c r="C26" s="64"/>
      <c r="D26" s="65"/>
      <c r="E26" s="65"/>
      <c r="F26" s="65"/>
      <c r="G26" s="65"/>
      <c r="H26" s="65"/>
      <c r="I26" s="66"/>
      <c r="J26" s="67"/>
      <c r="K26" s="68"/>
      <c r="L26" s="68"/>
      <c r="M26" s="68"/>
      <c r="N26" s="68"/>
      <c r="O26" s="68"/>
      <c r="P26" s="69"/>
      <c r="Q26" s="67"/>
      <c r="R26" s="68"/>
      <c r="S26" s="68"/>
      <c r="T26" s="68"/>
      <c r="U26" s="68"/>
      <c r="V26" s="68"/>
      <c r="W26" s="69"/>
      <c r="X26" s="39"/>
      <c r="Y26" s="39"/>
    </row>
    <row r="27" spans="1:25" ht="15" customHeight="1">
      <c r="A27" s="39"/>
      <c r="B27" s="45">
        <f t="shared" si="0"/>
        <v>1946</v>
      </c>
      <c r="C27" s="64"/>
      <c r="D27" s="65"/>
      <c r="E27" s="65"/>
      <c r="F27" s="65"/>
      <c r="G27" s="65"/>
      <c r="H27" s="65"/>
      <c r="I27" s="66"/>
      <c r="J27" s="67"/>
      <c r="K27" s="68"/>
      <c r="L27" s="68"/>
      <c r="M27" s="68"/>
      <c r="N27" s="68"/>
      <c r="O27" s="68"/>
      <c r="P27" s="69"/>
      <c r="Q27" s="67"/>
      <c r="R27" s="68"/>
      <c r="S27" s="68"/>
      <c r="T27" s="68"/>
      <c r="U27" s="68"/>
      <c r="V27" s="68"/>
      <c r="W27" s="69"/>
      <c r="X27" s="39"/>
      <c r="Y27" s="39"/>
    </row>
    <row r="28" spans="1:25" ht="15" customHeight="1">
      <c r="A28" s="39"/>
      <c r="B28" s="45">
        <f t="shared" si="0"/>
        <v>1947</v>
      </c>
      <c r="C28" s="64"/>
      <c r="D28" s="65"/>
      <c r="E28" s="65"/>
      <c r="F28" s="65"/>
      <c r="G28" s="65"/>
      <c r="H28" s="65"/>
      <c r="I28" s="66"/>
      <c r="J28" s="67"/>
      <c r="K28" s="68"/>
      <c r="L28" s="68"/>
      <c r="M28" s="68"/>
      <c r="N28" s="68"/>
      <c r="O28" s="68"/>
      <c r="P28" s="69"/>
      <c r="Q28" s="67"/>
      <c r="R28" s="68"/>
      <c r="S28" s="68"/>
      <c r="T28" s="68"/>
      <c r="U28" s="68"/>
      <c r="V28" s="68"/>
      <c r="W28" s="69"/>
      <c r="X28" s="39"/>
      <c r="Y28" s="39"/>
    </row>
    <row r="29" spans="1:25" ht="15" customHeight="1">
      <c r="A29" s="39"/>
      <c r="B29" s="45">
        <f t="shared" si="0"/>
        <v>1948</v>
      </c>
      <c r="C29" s="64"/>
      <c r="D29" s="65"/>
      <c r="E29" s="65"/>
      <c r="F29" s="65"/>
      <c r="G29" s="65"/>
      <c r="H29" s="65"/>
      <c r="I29" s="66"/>
      <c r="J29" s="67"/>
      <c r="K29" s="68"/>
      <c r="L29" s="68"/>
      <c r="M29" s="68"/>
      <c r="N29" s="68"/>
      <c r="O29" s="68"/>
      <c r="P29" s="69"/>
      <c r="Q29" s="67"/>
      <c r="R29" s="68"/>
      <c r="S29" s="68"/>
      <c r="T29" s="68"/>
      <c r="U29" s="68"/>
      <c r="V29" s="68"/>
      <c r="W29" s="69"/>
      <c r="X29" s="39"/>
      <c r="Y29" s="39"/>
    </row>
    <row r="30" spans="1:25" ht="15" customHeight="1">
      <c r="A30" s="39"/>
      <c r="B30" s="45">
        <f t="shared" si="0"/>
        <v>1949</v>
      </c>
      <c r="C30" s="64"/>
      <c r="D30" s="65"/>
      <c r="E30" s="65"/>
      <c r="F30" s="65"/>
      <c r="G30" s="65"/>
      <c r="H30" s="65"/>
      <c r="I30" s="66"/>
      <c r="J30" s="67"/>
      <c r="K30" s="68"/>
      <c r="L30" s="68"/>
      <c r="M30" s="68"/>
      <c r="N30" s="68"/>
      <c r="O30" s="68"/>
      <c r="P30" s="69"/>
      <c r="Q30" s="67"/>
      <c r="R30" s="68"/>
      <c r="S30" s="68"/>
      <c r="T30" s="68"/>
      <c r="U30" s="68"/>
      <c r="V30" s="68"/>
      <c r="W30" s="69"/>
      <c r="X30" s="39"/>
      <c r="Y30" s="39"/>
    </row>
    <row r="31" spans="1:25" ht="15" customHeight="1">
      <c r="A31" s="39"/>
      <c r="B31" s="45">
        <f t="shared" si="0"/>
        <v>1950</v>
      </c>
      <c r="C31" s="64"/>
      <c r="D31" s="65"/>
      <c r="E31" s="65"/>
      <c r="F31" s="65"/>
      <c r="G31" s="65"/>
      <c r="H31" s="65"/>
      <c r="I31" s="66"/>
      <c r="J31" s="67"/>
      <c r="K31" s="68"/>
      <c r="L31" s="68"/>
      <c r="M31" s="68"/>
      <c r="N31" s="68"/>
      <c r="O31" s="68"/>
      <c r="P31" s="69"/>
      <c r="Q31" s="67"/>
      <c r="R31" s="68"/>
      <c r="S31" s="68"/>
      <c r="T31" s="68"/>
      <c r="U31" s="68"/>
      <c r="V31" s="68"/>
      <c r="W31" s="69"/>
      <c r="X31" s="39"/>
      <c r="Y31" s="39"/>
    </row>
    <row r="32" spans="1:25" ht="15" customHeight="1">
      <c r="A32" s="39"/>
      <c r="B32" s="45">
        <f t="shared" si="0"/>
        <v>1951</v>
      </c>
      <c r="C32" s="64"/>
      <c r="D32" s="65"/>
      <c r="E32" s="65"/>
      <c r="F32" s="65"/>
      <c r="G32" s="65"/>
      <c r="H32" s="65"/>
      <c r="I32" s="66"/>
      <c r="J32" s="67"/>
      <c r="K32" s="68"/>
      <c r="L32" s="68"/>
      <c r="M32" s="68"/>
      <c r="N32" s="68"/>
      <c r="O32" s="68"/>
      <c r="P32" s="69"/>
      <c r="Q32" s="67"/>
      <c r="R32" s="68"/>
      <c r="S32" s="68"/>
      <c r="T32" s="68"/>
      <c r="U32" s="68"/>
      <c r="V32" s="68"/>
      <c r="W32" s="69"/>
      <c r="X32" s="39"/>
      <c r="Y32" s="39"/>
    </row>
    <row r="33" spans="1:25" ht="15" customHeight="1">
      <c r="A33" s="39"/>
      <c r="B33" s="45">
        <f t="shared" si="0"/>
        <v>1952</v>
      </c>
      <c r="C33" s="64"/>
      <c r="D33" s="65"/>
      <c r="E33" s="65"/>
      <c r="F33" s="65"/>
      <c r="G33" s="65"/>
      <c r="H33" s="65"/>
      <c r="I33" s="66"/>
      <c r="J33" s="67"/>
      <c r="K33" s="68"/>
      <c r="L33" s="68"/>
      <c r="M33" s="68"/>
      <c r="N33" s="68"/>
      <c r="O33" s="68"/>
      <c r="P33" s="69"/>
      <c r="Q33" s="67"/>
      <c r="R33" s="68"/>
      <c r="S33" s="68"/>
      <c r="T33" s="68"/>
      <c r="U33" s="68"/>
      <c r="V33" s="68"/>
      <c r="W33" s="69"/>
      <c r="X33" s="39"/>
      <c r="Y33" s="39"/>
    </row>
    <row r="34" spans="1:25" ht="15" customHeight="1">
      <c r="A34" s="39"/>
      <c r="B34" s="45">
        <f t="shared" si="0"/>
        <v>1953</v>
      </c>
      <c r="C34" s="64"/>
      <c r="D34" s="65"/>
      <c r="E34" s="65"/>
      <c r="F34" s="65"/>
      <c r="G34" s="65"/>
      <c r="H34" s="65"/>
      <c r="I34" s="66"/>
      <c r="J34" s="67"/>
      <c r="K34" s="68"/>
      <c r="L34" s="68"/>
      <c r="M34" s="68"/>
      <c r="N34" s="68"/>
      <c r="O34" s="68"/>
      <c r="P34" s="69"/>
      <c r="Q34" s="67"/>
      <c r="R34" s="68"/>
      <c r="S34" s="68"/>
      <c r="T34" s="68"/>
      <c r="U34" s="68"/>
      <c r="V34" s="68"/>
      <c r="W34" s="69"/>
      <c r="X34" s="39"/>
      <c r="Y34" s="39"/>
    </row>
    <row r="35" spans="1:25" ht="15" customHeight="1">
      <c r="A35" s="39"/>
      <c r="B35" s="45">
        <f t="shared" si="0"/>
        <v>1954</v>
      </c>
      <c r="C35" s="64"/>
      <c r="D35" s="65"/>
      <c r="E35" s="65"/>
      <c r="F35" s="65"/>
      <c r="G35" s="65"/>
      <c r="H35" s="65"/>
      <c r="I35" s="66"/>
      <c r="J35" s="67"/>
      <c r="K35" s="68"/>
      <c r="L35" s="68"/>
      <c r="M35" s="68"/>
      <c r="N35" s="68"/>
      <c r="O35" s="68"/>
      <c r="P35" s="69"/>
      <c r="Q35" s="67"/>
      <c r="R35" s="68"/>
      <c r="S35" s="68"/>
      <c r="T35" s="68"/>
      <c r="U35" s="68"/>
      <c r="V35" s="68"/>
      <c r="W35" s="69"/>
      <c r="X35" s="39"/>
      <c r="Y35" s="39"/>
    </row>
    <row r="36" spans="1:25" ht="15" customHeight="1">
      <c r="A36" s="39"/>
      <c r="B36" s="45">
        <f t="shared" si="0"/>
        <v>1955</v>
      </c>
      <c r="C36" s="64"/>
      <c r="D36" s="65"/>
      <c r="E36" s="65"/>
      <c r="F36" s="65"/>
      <c r="G36" s="65"/>
      <c r="H36" s="65"/>
      <c r="I36" s="66"/>
      <c r="J36" s="67"/>
      <c r="K36" s="68"/>
      <c r="L36" s="68"/>
      <c r="M36" s="68"/>
      <c r="N36" s="68"/>
      <c r="O36" s="68"/>
      <c r="P36" s="69"/>
      <c r="Q36" s="67"/>
      <c r="R36" s="68"/>
      <c r="S36" s="68"/>
      <c r="T36" s="68"/>
      <c r="U36" s="68"/>
      <c r="V36" s="68"/>
      <c r="W36" s="69"/>
      <c r="X36" s="39"/>
      <c r="Y36" s="39"/>
    </row>
    <row r="37" spans="1:25" ht="15" customHeight="1">
      <c r="A37" s="39"/>
      <c r="B37" s="45">
        <f t="shared" si="0"/>
        <v>1956</v>
      </c>
      <c r="C37" s="64"/>
      <c r="D37" s="65"/>
      <c r="E37" s="65"/>
      <c r="F37" s="65"/>
      <c r="G37" s="65"/>
      <c r="H37" s="65"/>
      <c r="I37" s="66"/>
      <c r="J37" s="67"/>
      <c r="K37" s="68"/>
      <c r="L37" s="68"/>
      <c r="M37" s="68"/>
      <c r="N37" s="68"/>
      <c r="O37" s="68"/>
      <c r="P37" s="69"/>
      <c r="Q37" s="67"/>
      <c r="R37" s="68"/>
      <c r="S37" s="68"/>
      <c r="T37" s="68"/>
      <c r="U37" s="68"/>
      <c r="V37" s="68"/>
      <c r="W37" s="69"/>
      <c r="X37" s="39"/>
      <c r="Y37" s="39"/>
    </row>
    <row r="38" spans="1:25" ht="15" customHeight="1">
      <c r="A38" s="39"/>
      <c r="B38" s="45">
        <f t="shared" si="0"/>
        <v>1957</v>
      </c>
      <c r="C38" s="64"/>
      <c r="D38" s="65"/>
      <c r="E38" s="65"/>
      <c r="F38" s="65"/>
      <c r="G38" s="65"/>
      <c r="H38" s="65"/>
      <c r="I38" s="66"/>
      <c r="J38" s="67"/>
      <c r="K38" s="68"/>
      <c r="L38" s="68"/>
      <c r="M38" s="68"/>
      <c r="N38" s="68"/>
      <c r="O38" s="68"/>
      <c r="P38" s="69"/>
      <c r="Q38" s="67"/>
      <c r="R38" s="68"/>
      <c r="S38" s="68"/>
      <c r="T38" s="68"/>
      <c r="U38" s="68"/>
      <c r="V38" s="68"/>
      <c r="W38" s="69"/>
      <c r="X38" s="39"/>
      <c r="Y38" s="39"/>
    </row>
    <row r="39" spans="1:25" ht="15" customHeight="1">
      <c r="A39" s="39"/>
      <c r="B39" s="45">
        <f t="shared" si="0"/>
        <v>1958</v>
      </c>
      <c r="C39" s="64"/>
      <c r="D39" s="65"/>
      <c r="E39" s="65"/>
      <c r="F39" s="65"/>
      <c r="G39" s="65"/>
      <c r="H39" s="65"/>
      <c r="I39" s="66"/>
      <c r="J39" s="67"/>
      <c r="K39" s="68"/>
      <c r="L39" s="68"/>
      <c r="M39" s="68"/>
      <c r="N39" s="68"/>
      <c r="O39" s="68"/>
      <c r="P39" s="69"/>
      <c r="Q39" s="67"/>
      <c r="R39" s="68"/>
      <c r="S39" s="68"/>
      <c r="T39" s="68"/>
      <c r="U39" s="68"/>
      <c r="V39" s="68"/>
      <c r="W39" s="69"/>
      <c r="X39" s="39"/>
      <c r="Y39" s="39"/>
    </row>
    <row r="40" spans="1:25" ht="15" customHeight="1">
      <c r="A40" s="39"/>
      <c r="B40" s="45">
        <f t="shared" si="0"/>
        <v>1959</v>
      </c>
      <c r="C40" s="64"/>
      <c r="D40" s="65"/>
      <c r="E40" s="65"/>
      <c r="F40" s="65"/>
      <c r="G40" s="65"/>
      <c r="H40" s="65"/>
      <c r="I40" s="66"/>
      <c r="J40" s="67"/>
      <c r="K40" s="68"/>
      <c r="L40" s="68"/>
      <c r="M40" s="68"/>
      <c r="N40" s="68"/>
      <c r="O40" s="68"/>
      <c r="P40" s="69"/>
      <c r="Q40" s="67"/>
      <c r="R40" s="68"/>
      <c r="S40" s="68"/>
      <c r="T40" s="68"/>
      <c r="U40" s="68"/>
      <c r="V40" s="68"/>
      <c r="W40" s="69"/>
      <c r="X40" s="39"/>
      <c r="Y40" s="39"/>
    </row>
    <row r="41" spans="1:25" ht="15" customHeight="1">
      <c r="A41" s="39"/>
      <c r="B41" s="45">
        <f t="shared" si="0"/>
        <v>1960</v>
      </c>
      <c r="C41" s="64"/>
      <c r="D41" s="65"/>
      <c r="E41" s="65"/>
      <c r="F41" s="65"/>
      <c r="G41" s="65"/>
      <c r="H41" s="65"/>
      <c r="I41" s="66"/>
      <c r="J41" s="67"/>
      <c r="K41" s="68"/>
      <c r="L41" s="68"/>
      <c r="M41" s="68"/>
      <c r="N41" s="68"/>
      <c r="O41" s="68"/>
      <c r="P41" s="69"/>
      <c r="Q41" s="67"/>
      <c r="R41" s="68"/>
      <c r="S41" s="68"/>
      <c r="T41" s="68"/>
      <c r="U41" s="68"/>
      <c r="V41" s="68"/>
      <c r="W41" s="69"/>
      <c r="X41" s="39"/>
      <c r="Y41" s="39"/>
    </row>
    <row r="42" spans="1:25" ht="15" customHeight="1">
      <c r="A42" s="39"/>
      <c r="B42" s="45">
        <f t="shared" si="0"/>
        <v>1961</v>
      </c>
      <c r="C42" s="64"/>
      <c r="D42" s="65"/>
      <c r="E42" s="65"/>
      <c r="F42" s="65"/>
      <c r="G42" s="65"/>
      <c r="H42" s="65"/>
      <c r="I42" s="66"/>
      <c r="J42" s="67"/>
      <c r="K42" s="68"/>
      <c r="L42" s="68"/>
      <c r="M42" s="68"/>
      <c r="N42" s="68"/>
      <c r="O42" s="68"/>
      <c r="P42" s="69"/>
      <c r="Q42" s="67"/>
      <c r="R42" s="68"/>
      <c r="S42" s="68"/>
      <c r="T42" s="68"/>
      <c r="U42" s="68"/>
      <c r="V42" s="68"/>
      <c r="W42" s="69"/>
      <c r="X42" s="39"/>
      <c r="Y42" s="39"/>
    </row>
    <row r="43" spans="1:25" ht="15" customHeight="1">
      <c r="A43" s="39"/>
      <c r="B43" s="45">
        <f t="shared" ref="B43:B74" si="1">IF(Start_year+ROW(B43)-ROW($B$11)&gt;End_year,"",Start_year+ROW(B43)-ROW($B$11))</f>
        <v>1962</v>
      </c>
      <c r="C43" s="64"/>
      <c r="D43" s="65"/>
      <c r="E43" s="65"/>
      <c r="F43" s="65"/>
      <c r="G43" s="65"/>
      <c r="H43" s="65"/>
      <c r="I43" s="66"/>
      <c r="J43" s="67"/>
      <c r="K43" s="68"/>
      <c r="L43" s="68"/>
      <c r="M43" s="68"/>
      <c r="N43" s="68"/>
      <c r="O43" s="68"/>
      <c r="P43" s="69"/>
      <c r="Q43" s="67"/>
      <c r="R43" s="68"/>
      <c r="S43" s="68"/>
      <c r="T43" s="68"/>
      <c r="U43" s="68"/>
      <c r="V43" s="68"/>
      <c r="W43" s="69"/>
      <c r="X43" s="39"/>
      <c r="Y43" s="39"/>
    </row>
    <row r="44" spans="1:25" ht="15" customHeight="1">
      <c r="A44" s="39"/>
      <c r="B44" s="45">
        <f t="shared" si="1"/>
        <v>1963</v>
      </c>
      <c r="C44" s="64"/>
      <c r="D44" s="65"/>
      <c r="E44" s="65"/>
      <c r="F44" s="65"/>
      <c r="G44" s="65"/>
      <c r="H44" s="65"/>
      <c r="I44" s="66"/>
      <c r="J44" s="67"/>
      <c r="K44" s="68"/>
      <c r="L44" s="68"/>
      <c r="M44" s="68"/>
      <c r="N44" s="68"/>
      <c r="O44" s="68"/>
      <c r="P44" s="69"/>
      <c r="Q44" s="67"/>
      <c r="R44" s="68"/>
      <c r="S44" s="68"/>
      <c r="T44" s="68"/>
      <c r="U44" s="68"/>
      <c r="V44" s="68"/>
      <c r="W44" s="69"/>
      <c r="X44" s="39"/>
      <c r="Y44" s="39"/>
    </row>
    <row r="45" spans="1:25" ht="15" customHeight="1">
      <c r="A45" s="39"/>
      <c r="B45" s="45">
        <f t="shared" si="1"/>
        <v>1964</v>
      </c>
      <c r="C45" s="64"/>
      <c r="D45" s="65"/>
      <c r="E45" s="65"/>
      <c r="F45" s="65"/>
      <c r="G45" s="65"/>
      <c r="H45" s="65"/>
      <c r="I45" s="66"/>
      <c r="J45" s="67"/>
      <c r="K45" s="68"/>
      <c r="L45" s="68"/>
      <c r="M45" s="68"/>
      <c r="N45" s="68"/>
      <c r="O45" s="68"/>
      <c r="P45" s="69"/>
      <c r="Q45" s="67"/>
      <c r="R45" s="68"/>
      <c r="S45" s="68"/>
      <c r="T45" s="68"/>
      <c r="U45" s="68"/>
      <c r="V45" s="68"/>
      <c r="W45" s="69"/>
      <c r="X45" s="39"/>
      <c r="Y45" s="39"/>
    </row>
    <row r="46" spans="1:25" ht="15" customHeight="1">
      <c r="A46" s="39"/>
      <c r="B46" s="45">
        <f t="shared" si="1"/>
        <v>1965</v>
      </c>
      <c r="C46" s="64"/>
      <c r="D46" s="65"/>
      <c r="E46" s="65"/>
      <c r="F46" s="65"/>
      <c r="G46" s="65"/>
      <c r="H46" s="65"/>
      <c r="I46" s="66"/>
      <c r="J46" s="67"/>
      <c r="K46" s="68"/>
      <c r="L46" s="68"/>
      <c r="M46" s="68"/>
      <c r="N46" s="68"/>
      <c r="O46" s="68"/>
      <c r="P46" s="69"/>
      <c r="Q46" s="67"/>
      <c r="R46" s="68"/>
      <c r="S46" s="68"/>
      <c r="T46" s="68"/>
      <c r="U46" s="68"/>
      <c r="V46" s="68"/>
      <c r="W46" s="69"/>
      <c r="X46" s="39"/>
      <c r="Y46" s="39"/>
    </row>
    <row r="47" spans="1:25" ht="15" customHeight="1">
      <c r="A47" s="39"/>
      <c r="B47" s="45">
        <f t="shared" si="1"/>
        <v>1966</v>
      </c>
      <c r="C47" s="64"/>
      <c r="D47" s="65"/>
      <c r="E47" s="65"/>
      <c r="F47" s="65"/>
      <c r="G47" s="65"/>
      <c r="H47" s="65"/>
      <c r="I47" s="66"/>
      <c r="J47" s="67"/>
      <c r="K47" s="68"/>
      <c r="L47" s="68"/>
      <c r="M47" s="68"/>
      <c r="N47" s="68"/>
      <c r="O47" s="68"/>
      <c r="P47" s="69"/>
      <c r="Q47" s="67"/>
      <c r="R47" s="68"/>
      <c r="S47" s="68"/>
      <c r="T47" s="68"/>
      <c r="U47" s="68"/>
      <c r="V47" s="68"/>
      <c r="W47" s="69"/>
      <c r="X47" s="39"/>
      <c r="Y47" s="39"/>
    </row>
    <row r="48" spans="1:25" ht="15" customHeight="1">
      <c r="A48" s="39"/>
      <c r="B48" s="45">
        <f t="shared" si="1"/>
        <v>1967</v>
      </c>
      <c r="C48" s="64"/>
      <c r="D48" s="65"/>
      <c r="E48" s="65"/>
      <c r="F48" s="65"/>
      <c r="G48" s="65"/>
      <c r="H48" s="65"/>
      <c r="I48" s="66"/>
      <c r="J48" s="67"/>
      <c r="K48" s="68"/>
      <c r="L48" s="68"/>
      <c r="M48" s="68"/>
      <c r="N48" s="68"/>
      <c r="O48" s="68"/>
      <c r="P48" s="69"/>
      <c r="Q48" s="67"/>
      <c r="R48" s="68"/>
      <c r="S48" s="68"/>
      <c r="T48" s="68"/>
      <c r="U48" s="68"/>
      <c r="V48" s="68"/>
      <c r="W48" s="69"/>
      <c r="X48" s="39"/>
      <c r="Y48" s="39"/>
    </row>
    <row r="49" spans="1:25" ht="15" customHeight="1">
      <c r="A49" s="39"/>
      <c r="B49" s="45">
        <f t="shared" si="1"/>
        <v>1968</v>
      </c>
      <c r="C49" s="64"/>
      <c r="D49" s="65"/>
      <c r="E49" s="65"/>
      <c r="F49" s="65"/>
      <c r="G49" s="65"/>
      <c r="H49" s="65"/>
      <c r="I49" s="66"/>
      <c r="J49" s="67"/>
      <c r="K49" s="68"/>
      <c r="L49" s="68"/>
      <c r="M49" s="68"/>
      <c r="N49" s="68"/>
      <c r="O49" s="68"/>
      <c r="P49" s="69"/>
      <c r="Q49" s="67"/>
      <c r="R49" s="68"/>
      <c r="S49" s="68"/>
      <c r="T49" s="68"/>
      <c r="U49" s="68"/>
      <c r="V49" s="68"/>
      <c r="W49" s="69"/>
      <c r="X49" s="39"/>
      <c r="Y49" s="39"/>
    </row>
    <row r="50" spans="1:25" ht="15" customHeight="1">
      <c r="A50" s="39"/>
      <c r="B50" s="45">
        <f t="shared" si="1"/>
        <v>1969</v>
      </c>
      <c r="C50" s="64"/>
      <c r="D50" s="65"/>
      <c r="E50" s="65"/>
      <c r="F50" s="65"/>
      <c r="G50" s="65"/>
      <c r="H50" s="65"/>
      <c r="I50" s="66"/>
      <c r="J50" s="67"/>
      <c r="K50" s="68"/>
      <c r="L50" s="68"/>
      <c r="M50" s="68"/>
      <c r="N50" s="68"/>
      <c r="O50" s="68"/>
      <c r="P50" s="69"/>
      <c r="Q50" s="67"/>
      <c r="R50" s="68"/>
      <c r="S50" s="68"/>
      <c r="T50" s="68"/>
      <c r="U50" s="68"/>
      <c r="V50" s="68"/>
      <c r="W50" s="69"/>
      <c r="X50" s="39"/>
      <c r="Y50" s="39"/>
    </row>
    <row r="51" spans="1:25" ht="15" customHeight="1">
      <c r="A51" s="39"/>
      <c r="B51" s="45">
        <f t="shared" si="1"/>
        <v>1970</v>
      </c>
      <c r="C51" s="64"/>
      <c r="D51" s="65"/>
      <c r="E51" s="65"/>
      <c r="F51" s="65"/>
      <c r="G51" s="65"/>
      <c r="H51" s="65"/>
      <c r="I51" s="66"/>
      <c r="J51" s="67"/>
      <c r="K51" s="68"/>
      <c r="L51" s="68"/>
      <c r="M51" s="68"/>
      <c r="N51" s="68"/>
      <c r="O51" s="68"/>
      <c r="P51" s="69"/>
      <c r="Q51" s="67"/>
      <c r="R51" s="68"/>
      <c r="S51" s="68"/>
      <c r="T51" s="68"/>
      <c r="U51" s="68"/>
      <c r="V51" s="68"/>
      <c r="W51" s="69"/>
      <c r="X51" s="39"/>
      <c r="Y51" s="39"/>
    </row>
    <row r="52" spans="1:25" ht="15" customHeight="1">
      <c r="A52" s="39"/>
      <c r="B52" s="45">
        <f t="shared" si="1"/>
        <v>1971</v>
      </c>
      <c r="C52" s="64"/>
      <c r="D52" s="65"/>
      <c r="E52" s="65"/>
      <c r="F52" s="65"/>
      <c r="G52" s="65"/>
      <c r="H52" s="65"/>
      <c r="I52" s="66"/>
      <c r="J52" s="67"/>
      <c r="K52" s="68"/>
      <c r="L52" s="68"/>
      <c r="M52" s="68"/>
      <c r="N52" s="68"/>
      <c r="O52" s="68"/>
      <c r="P52" s="69"/>
      <c r="Q52" s="67"/>
      <c r="R52" s="68"/>
      <c r="S52" s="68"/>
      <c r="T52" s="68"/>
      <c r="U52" s="68"/>
      <c r="V52" s="68"/>
      <c r="W52" s="69"/>
      <c r="X52" s="39"/>
      <c r="Y52" s="39"/>
    </row>
    <row r="53" spans="1:25" ht="15" customHeight="1">
      <c r="A53" s="39"/>
      <c r="B53" s="45">
        <f t="shared" si="1"/>
        <v>1972</v>
      </c>
      <c r="C53" s="64"/>
      <c r="D53" s="65"/>
      <c r="E53" s="65"/>
      <c r="F53" s="65"/>
      <c r="G53" s="65"/>
      <c r="H53" s="65"/>
      <c r="I53" s="66"/>
      <c r="J53" s="67"/>
      <c r="K53" s="68"/>
      <c r="L53" s="68"/>
      <c r="M53" s="68"/>
      <c r="N53" s="68"/>
      <c r="O53" s="68"/>
      <c r="P53" s="69"/>
      <c r="Q53" s="67"/>
      <c r="R53" s="68"/>
      <c r="S53" s="68"/>
      <c r="T53" s="68"/>
      <c r="U53" s="68"/>
      <c r="V53" s="68"/>
      <c r="W53" s="69"/>
      <c r="X53" s="39"/>
      <c r="Y53" s="39"/>
    </row>
    <row r="54" spans="1:25" ht="15" customHeight="1">
      <c r="A54" s="39"/>
      <c r="B54" s="45">
        <f t="shared" si="1"/>
        <v>1973</v>
      </c>
      <c r="C54" s="64"/>
      <c r="D54" s="65"/>
      <c r="E54" s="65"/>
      <c r="F54" s="65"/>
      <c r="G54" s="65"/>
      <c r="H54" s="65"/>
      <c r="I54" s="66"/>
      <c r="J54" s="67"/>
      <c r="K54" s="68"/>
      <c r="L54" s="68"/>
      <c r="M54" s="68"/>
      <c r="N54" s="68"/>
      <c r="O54" s="68"/>
      <c r="P54" s="69"/>
      <c r="Q54" s="67"/>
      <c r="R54" s="68"/>
      <c r="S54" s="68"/>
      <c r="T54" s="68"/>
      <c r="U54" s="68"/>
      <c r="V54" s="68"/>
      <c r="W54" s="69"/>
      <c r="X54" s="39"/>
      <c r="Y54" s="39"/>
    </row>
    <row r="55" spans="1:25" ht="15" customHeight="1">
      <c r="A55" s="39"/>
      <c r="B55" s="45">
        <f t="shared" si="1"/>
        <v>1974</v>
      </c>
      <c r="C55" s="64"/>
      <c r="D55" s="65"/>
      <c r="E55" s="65"/>
      <c r="F55" s="65"/>
      <c r="G55" s="65"/>
      <c r="H55" s="65"/>
      <c r="I55" s="66"/>
      <c r="J55" s="67"/>
      <c r="K55" s="68"/>
      <c r="L55" s="68"/>
      <c r="M55" s="68"/>
      <c r="N55" s="68"/>
      <c r="O55" s="68"/>
      <c r="P55" s="69"/>
      <c r="Q55" s="67"/>
      <c r="R55" s="68"/>
      <c r="S55" s="68"/>
      <c r="T55" s="68"/>
      <c r="U55" s="68"/>
      <c r="V55" s="68"/>
      <c r="W55" s="69"/>
      <c r="X55" s="39"/>
      <c r="Y55" s="39"/>
    </row>
    <row r="56" spans="1:25" ht="15" customHeight="1">
      <c r="A56" s="39"/>
      <c r="B56" s="45">
        <f t="shared" si="1"/>
        <v>1975</v>
      </c>
      <c r="C56" s="64"/>
      <c r="D56" s="65"/>
      <c r="E56" s="65"/>
      <c r="F56" s="65"/>
      <c r="G56" s="65"/>
      <c r="H56" s="65"/>
      <c r="I56" s="66"/>
      <c r="J56" s="67"/>
      <c r="K56" s="68"/>
      <c r="L56" s="68"/>
      <c r="M56" s="68"/>
      <c r="N56" s="68"/>
      <c r="O56" s="68"/>
      <c r="P56" s="69"/>
      <c r="Q56" s="67"/>
      <c r="R56" s="68"/>
      <c r="S56" s="68"/>
      <c r="T56" s="68"/>
      <c r="U56" s="68"/>
      <c r="V56" s="68"/>
      <c r="W56" s="69"/>
      <c r="X56" s="39"/>
      <c r="Y56" s="39"/>
    </row>
    <row r="57" spans="1:25" ht="15" customHeight="1">
      <c r="A57" s="39"/>
      <c r="B57" s="45">
        <f t="shared" si="1"/>
        <v>1976</v>
      </c>
      <c r="C57" s="64"/>
      <c r="D57" s="65"/>
      <c r="E57" s="65"/>
      <c r="F57" s="65"/>
      <c r="G57" s="65"/>
      <c r="H57" s="65"/>
      <c r="I57" s="66"/>
      <c r="J57" s="67"/>
      <c r="K57" s="68"/>
      <c r="L57" s="68"/>
      <c r="M57" s="68"/>
      <c r="N57" s="68"/>
      <c r="O57" s="68"/>
      <c r="P57" s="69"/>
      <c r="Q57" s="67"/>
      <c r="R57" s="68"/>
      <c r="S57" s="68"/>
      <c r="T57" s="68"/>
      <c r="U57" s="68"/>
      <c r="V57" s="68"/>
      <c r="W57" s="69"/>
      <c r="X57" s="39"/>
      <c r="Y57" s="39"/>
    </row>
    <row r="58" spans="1:25" ht="15" customHeight="1">
      <c r="A58" s="39"/>
      <c r="B58" s="45">
        <f t="shared" si="1"/>
        <v>1977</v>
      </c>
      <c r="C58" s="64"/>
      <c r="D58" s="65"/>
      <c r="E58" s="65"/>
      <c r="F58" s="65"/>
      <c r="G58" s="65"/>
      <c r="H58" s="65"/>
      <c r="I58" s="66"/>
      <c r="J58" s="67"/>
      <c r="K58" s="68"/>
      <c r="L58" s="68"/>
      <c r="M58" s="68"/>
      <c r="N58" s="68"/>
      <c r="O58" s="68"/>
      <c r="P58" s="69"/>
      <c r="Q58" s="67"/>
      <c r="R58" s="68"/>
      <c r="S58" s="68"/>
      <c r="T58" s="68"/>
      <c r="U58" s="68"/>
      <c r="V58" s="68"/>
      <c r="W58" s="69"/>
      <c r="X58" s="39"/>
      <c r="Y58" s="39"/>
    </row>
    <row r="59" spans="1:25" ht="15" customHeight="1">
      <c r="A59" s="39"/>
      <c r="B59" s="45">
        <f t="shared" si="1"/>
        <v>1978</v>
      </c>
      <c r="C59" s="64"/>
      <c r="D59" s="65"/>
      <c r="E59" s="65"/>
      <c r="F59" s="65"/>
      <c r="G59" s="65"/>
      <c r="H59" s="65"/>
      <c r="I59" s="66"/>
      <c r="J59" s="67"/>
      <c r="K59" s="68"/>
      <c r="L59" s="68"/>
      <c r="M59" s="68"/>
      <c r="N59" s="68"/>
      <c r="O59" s="68"/>
      <c r="P59" s="69"/>
      <c r="Q59" s="67"/>
      <c r="R59" s="68"/>
      <c r="S59" s="68"/>
      <c r="T59" s="68"/>
      <c r="U59" s="68"/>
      <c r="V59" s="68"/>
      <c r="W59" s="69"/>
      <c r="X59" s="39"/>
      <c r="Y59" s="39"/>
    </row>
    <row r="60" spans="1:25" ht="15" customHeight="1">
      <c r="A60" s="39"/>
      <c r="B60" s="45">
        <f t="shared" si="1"/>
        <v>1979</v>
      </c>
      <c r="C60" s="64"/>
      <c r="D60" s="65"/>
      <c r="E60" s="65"/>
      <c r="F60" s="65"/>
      <c r="G60" s="65"/>
      <c r="H60" s="65"/>
      <c r="I60" s="66"/>
      <c r="J60" s="67"/>
      <c r="K60" s="68"/>
      <c r="L60" s="68"/>
      <c r="M60" s="68"/>
      <c r="N60" s="68"/>
      <c r="O60" s="68"/>
      <c r="P60" s="69"/>
      <c r="Q60" s="67"/>
      <c r="R60" s="68"/>
      <c r="S60" s="68"/>
      <c r="T60" s="68"/>
      <c r="U60" s="68"/>
      <c r="V60" s="68"/>
      <c r="W60" s="69"/>
      <c r="X60" s="39"/>
      <c r="Y60" s="39"/>
    </row>
    <row r="61" spans="1:25" ht="15" customHeight="1">
      <c r="A61" s="39"/>
      <c r="B61" s="45">
        <f t="shared" si="1"/>
        <v>1980</v>
      </c>
      <c r="C61" s="64"/>
      <c r="D61" s="65"/>
      <c r="E61" s="65"/>
      <c r="F61" s="65"/>
      <c r="G61" s="65"/>
      <c r="H61" s="65"/>
      <c r="I61" s="66"/>
      <c r="J61" s="67"/>
      <c r="K61" s="68"/>
      <c r="L61" s="68"/>
      <c r="M61" s="68"/>
      <c r="N61" s="68"/>
      <c r="O61" s="68"/>
      <c r="P61" s="69"/>
      <c r="Q61" s="67"/>
      <c r="R61" s="68"/>
      <c r="S61" s="68"/>
      <c r="T61" s="68"/>
      <c r="U61" s="68"/>
      <c r="V61" s="68"/>
      <c r="W61" s="69"/>
      <c r="X61" s="39"/>
      <c r="Y61" s="39"/>
    </row>
    <row r="62" spans="1:25" ht="15" customHeight="1">
      <c r="A62" s="39"/>
      <c r="B62" s="45" t="str">
        <f t="shared" si="1"/>
        <v/>
      </c>
      <c r="C62" s="64"/>
      <c r="D62" s="65"/>
      <c r="E62" s="65"/>
      <c r="F62" s="65"/>
      <c r="G62" s="65"/>
      <c r="H62" s="65"/>
      <c r="I62" s="66"/>
      <c r="J62" s="70"/>
      <c r="K62" s="71"/>
      <c r="L62" s="71"/>
      <c r="M62" s="71"/>
      <c r="N62" s="71"/>
      <c r="O62" s="71"/>
      <c r="P62" s="72"/>
      <c r="Q62" s="70"/>
      <c r="R62" s="71"/>
      <c r="S62" s="71"/>
      <c r="T62" s="71"/>
      <c r="U62" s="71"/>
      <c r="V62" s="71"/>
      <c r="W62" s="72"/>
      <c r="X62" s="39"/>
      <c r="Y62" s="39"/>
    </row>
    <row r="63" spans="1:25" ht="15" customHeight="1">
      <c r="A63" s="39"/>
      <c r="B63" s="45" t="str">
        <f t="shared" si="1"/>
        <v/>
      </c>
      <c r="C63" s="64"/>
      <c r="D63" s="65"/>
      <c r="E63" s="65"/>
      <c r="F63" s="65"/>
      <c r="G63" s="65"/>
      <c r="H63" s="65"/>
      <c r="I63" s="66"/>
      <c r="J63" s="70"/>
      <c r="K63" s="71"/>
      <c r="L63" s="71"/>
      <c r="M63" s="71"/>
      <c r="N63" s="71"/>
      <c r="O63" s="71"/>
      <c r="P63" s="72"/>
      <c r="Q63" s="70"/>
      <c r="R63" s="71"/>
      <c r="S63" s="71"/>
      <c r="T63" s="71"/>
      <c r="U63" s="71"/>
      <c r="V63" s="71"/>
      <c r="W63" s="72"/>
      <c r="X63" s="39"/>
      <c r="Y63" s="39"/>
    </row>
    <row r="64" spans="1:25" ht="15" customHeight="1">
      <c r="A64" s="39"/>
      <c r="B64" s="45" t="str">
        <f t="shared" si="1"/>
        <v/>
      </c>
      <c r="C64" s="64"/>
      <c r="D64" s="65"/>
      <c r="E64" s="65"/>
      <c r="F64" s="65"/>
      <c r="G64" s="65"/>
      <c r="H64" s="65"/>
      <c r="I64" s="66"/>
      <c r="J64" s="70"/>
      <c r="K64" s="71"/>
      <c r="L64" s="71"/>
      <c r="M64" s="71"/>
      <c r="N64" s="71"/>
      <c r="O64" s="71"/>
      <c r="P64" s="72"/>
      <c r="Q64" s="70"/>
      <c r="R64" s="71"/>
      <c r="S64" s="71"/>
      <c r="T64" s="71"/>
      <c r="U64" s="71"/>
      <c r="V64" s="71"/>
      <c r="W64" s="72"/>
      <c r="X64" s="39"/>
      <c r="Y64" s="39"/>
    </row>
    <row r="65" spans="1:25" ht="15" customHeight="1">
      <c r="A65" s="39"/>
      <c r="B65" s="45" t="str">
        <f t="shared" si="1"/>
        <v/>
      </c>
      <c r="C65" s="64"/>
      <c r="D65" s="65"/>
      <c r="E65" s="65"/>
      <c r="F65" s="65"/>
      <c r="G65" s="65"/>
      <c r="H65" s="65"/>
      <c r="I65" s="66"/>
      <c r="J65" s="70"/>
      <c r="K65" s="71"/>
      <c r="L65" s="71"/>
      <c r="M65" s="71"/>
      <c r="N65" s="71"/>
      <c r="O65" s="71"/>
      <c r="P65" s="72"/>
      <c r="Q65" s="70"/>
      <c r="R65" s="71"/>
      <c r="S65" s="71"/>
      <c r="T65" s="71"/>
      <c r="U65" s="71"/>
      <c r="V65" s="71"/>
      <c r="W65" s="72"/>
      <c r="X65" s="39"/>
      <c r="Y65" s="39"/>
    </row>
    <row r="66" spans="1:25" ht="15" customHeight="1">
      <c r="A66" s="39"/>
      <c r="B66" s="45" t="str">
        <f t="shared" si="1"/>
        <v/>
      </c>
      <c r="C66" s="64"/>
      <c r="D66" s="65"/>
      <c r="E66" s="65"/>
      <c r="F66" s="65"/>
      <c r="G66" s="65"/>
      <c r="H66" s="65"/>
      <c r="I66" s="66"/>
      <c r="J66" s="70"/>
      <c r="K66" s="71"/>
      <c r="L66" s="71"/>
      <c r="M66" s="71"/>
      <c r="N66" s="71"/>
      <c r="O66" s="71"/>
      <c r="P66" s="72"/>
      <c r="Q66" s="70"/>
      <c r="R66" s="71"/>
      <c r="S66" s="71"/>
      <c r="T66" s="71"/>
      <c r="U66" s="71"/>
      <c r="V66" s="71"/>
      <c r="W66" s="72"/>
      <c r="X66" s="39"/>
      <c r="Y66" s="39"/>
    </row>
    <row r="67" spans="1:25" ht="15" customHeight="1">
      <c r="A67" s="39"/>
      <c r="B67" s="45" t="str">
        <f t="shared" si="1"/>
        <v/>
      </c>
      <c r="C67" s="64"/>
      <c r="D67" s="65"/>
      <c r="E67" s="65"/>
      <c r="F67" s="65"/>
      <c r="G67" s="65"/>
      <c r="H67" s="65"/>
      <c r="I67" s="66"/>
      <c r="J67" s="70"/>
      <c r="K67" s="71"/>
      <c r="L67" s="71"/>
      <c r="M67" s="71"/>
      <c r="N67" s="71"/>
      <c r="O67" s="71"/>
      <c r="P67" s="72"/>
      <c r="Q67" s="70"/>
      <c r="R67" s="71"/>
      <c r="S67" s="71"/>
      <c r="T67" s="71"/>
      <c r="U67" s="71"/>
      <c r="V67" s="71"/>
      <c r="W67" s="72"/>
      <c r="X67" s="39"/>
      <c r="Y67" s="39"/>
    </row>
    <row r="68" spans="1:25" ht="15" customHeight="1">
      <c r="A68" s="39"/>
      <c r="B68" s="45" t="str">
        <f t="shared" si="1"/>
        <v/>
      </c>
      <c r="C68" s="64"/>
      <c r="D68" s="65"/>
      <c r="E68" s="65"/>
      <c r="F68" s="65"/>
      <c r="G68" s="65"/>
      <c r="H68" s="65"/>
      <c r="I68" s="66"/>
      <c r="J68" s="70"/>
      <c r="K68" s="71"/>
      <c r="L68" s="71"/>
      <c r="M68" s="71"/>
      <c r="N68" s="71"/>
      <c r="O68" s="71"/>
      <c r="P68" s="72"/>
      <c r="Q68" s="70"/>
      <c r="R68" s="71"/>
      <c r="S68" s="71"/>
      <c r="T68" s="71"/>
      <c r="U68" s="71"/>
      <c r="V68" s="71"/>
      <c r="W68" s="72"/>
      <c r="X68" s="39"/>
      <c r="Y68" s="39"/>
    </row>
    <row r="69" spans="1:25" ht="15" customHeight="1">
      <c r="A69" s="39"/>
      <c r="B69" s="45" t="str">
        <f t="shared" si="1"/>
        <v/>
      </c>
      <c r="C69" s="64"/>
      <c r="D69" s="65"/>
      <c r="E69" s="65"/>
      <c r="F69" s="65"/>
      <c r="G69" s="65"/>
      <c r="H69" s="65"/>
      <c r="I69" s="66"/>
      <c r="J69" s="70"/>
      <c r="K69" s="71"/>
      <c r="L69" s="71"/>
      <c r="M69" s="71"/>
      <c r="N69" s="71"/>
      <c r="O69" s="71"/>
      <c r="P69" s="72"/>
      <c r="Q69" s="70"/>
      <c r="R69" s="71"/>
      <c r="S69" s="71"/>
      <c r="T69" s="71"/>
      <c r="U69" s="71"/>
      <c r="V69" s="71"/>
      <c r="W69" s="72"/>
      <c r="X69" s="39"/>
      <c r="Y69" s="39"/>
    </row>
    <row r="70" spans="1:25" ht="15" customHeight="1">
      <c r="A70" s="39"/>
      <c r="B70" s="45" t="str">
        <f t="shared" si="1"/>
        <v/>
      </c>
      <c r="C70" s="64"/>
      <c r="D70" s="65"/>
      <c r="E70" s="65"/>
      <c r="F70" s="65"/>
      <c r="G70" s="65"/>
      <c r="H70" s="65"/>
      <c r="I70" s="66"/>
      <c r="J70" s="70"/>
      <c r="K70" s="71"/>
      <c r="L70" s="71"/>
      <c r="M70" s="71"/>
      <c r="N70" s="71"/>
      <c r="O70" s="71"/>
      <c r="P70" s="72"/>
      <c r="Q70" s="70"/>
      <c r="R70" s="71"/>
      <c r="S70" s="71"/>
      <c r="T70" s="71"/>
      <c r="U70" s="71"/>
      <c r="V70" s="71"/>
      <c r="W70" s="72"/>
      <c r="X70" s="39"/>
      <c r="Y70" s="39"/>
    </row>
    <row r="71" spans="1:25" ht="15" customHeight="1">
      <c r="A71" s="39"/>
      <c r="B71" s="45" t="str">
        <f t="shared" si="1"/>
        <v/>
      </c>
      <c r="C71" s="64"/>
      <c r="D71" s="65"/>
      <c r="E71" s="65"/>
      <c r="F71" s="65"/>
      <c r="G71" s="65"/>
      <c r="H71" s="65"/>
      <c r="I71" s="66"/>
      <c r="J71" s="70"/>
      <c r="K71" s="71"/>
      <c r="L71" s="71"/>
      <c r="M71" s="71"/>
      <c r="N71" s="71"/>
      <c r="O71" s="71"/>
      <c r="P71" s="72"/>
      <c r="Q71" s="70"/>
      <c r="R71" s="71"/>
      <c r="S71" s="71"/>
      <c r="T71" s="71"/>
      <c r="U71" s="71"/>
      <c r="V71" s="71"/>
      <c r="W71" s="72"/>
      <c r="X71" s="39"/>
      <c r="Y71" s="39"/>
    </row>
    <row r="72" spans="1:25" ht="15" customHeight="1">
      <c r="A72" s="39"/>
      <c r="B72" s="45" t="str">
        <f t="shared" si="1"/>
        <v/>
      </c>
      <c r="C72" s="64"/>
      <c r="D72" s="65"/>
      <c r="E72" s="65"/>
      <c r="F72" s="65"/>
      <c r="G72" s="65"/>
      <c r="H72" s="65"/>
      <c r="I72" s="66"/>
      <c r="J72" s="70"/>
      <c r="K72" s="71"/>
      <c r="L72" s="71"/>
      <c r="M72" s="71"/>
      <c r="N72" s="71"/>
      <c r="O72" s="71"/>
      <c r="P72" s="72"/>
      <c r="Q72" s="70"/>
      <c r="R72" s="71"/>
      <c r="S72" s="71"/>
      <c r="T72" s="71"/>
      <c r="U72" s="71"/>
      <c r="V72" s="71"/>
      <c r="W72" s="72"/>
      <c r="X72" s="39"/>
      <c r="Y72" s="39"/>
    </row>
    <row r="73" spans="1:25" ht="15" customHeight="1">
      <c r="A73" s="39"/>
      <c r="B73" s="45" t="str">
        <f t="shared" si="1"/>
        <v/>
      </c>
      <c r="C73" s="64"/>
      <c r="D73" s="65"/>
      <c r="E73" s="65"/>
      <c r="F73" s="65"/>
      <c r="G73" s="65"/>
      <c r="H73" s="65"/>
      <c r="I73" s="66"/>
      <c r="J73" s="70"/>
      <c r="K73" s="71"/>
      <c r="L73" s="71"/>
      <c r="M73" s="71"/>
      <c r="N73" s="71"/>
      <c r="O73" s="71"/>
      <c r="P73" s="72"/>
      <c r="Q73" s="70"/>
      <c r="R73" s="71"/>
      <c r="S73" s="71"/>
      <c r="T73" s="71"/>
      <c r="U73" s="71"/>
      <c r="V73" s="71"/>
      <c r="W73" s="72"/>
      <c r="X73" s="39"/>
      <c r="Y73" s="39"/>
    </row>
    <row r="74" spans="1:25" ht="15" customHeight="1">
      <c r="A74" s="39"/>
      <c r="B74" s="45" t="str">
        <f t="shared" si="1"/>
        <v/>
      </c>
      <c r="C74" s="64"/>
      <c r="D74" s="65"/>
      <c r="E74" s="65"/>
      <c r="F74" s="65"/>
      <c r="G74" s="65"/>
      <c r="H74" s="65"/>
      <c r="I74" s="66"/>
      <c r="J74" s="70"/>
      <c r="K74" s="71"/>
      <c r="L74" s="71"/>
      <c r="M74" s="71"/>
      <c r="N74" s="71"/>
      <c r="O74" s="71"/>
      <c r="P74" s="72"/>
      <c r="Q74" s="70"/>
      <c r="R74" s="71"/>
      <c r="S74" s="71"/>
      <c r="T74" s="71"/>
      <c r="U74" s="71"/>
      <c r="V74" s="71"/>
      <c r="W74" s="72"/>
      <c r="X74" s="39"/>
      <c r="Y74" s="39"/>
    </row>
    <row r="75" spans="1:25" ht="15" customHeight="1">
      <c r="A75" s="39"/>
      <c r="B75" s="45" t="str">
        <f t="shared" ref="B75:B106" si="2">IF(Start_year+ROW(B75)-ROW($B$11)&gt;End_year,"",Start_year+ROW(B75)-ROW($B$11))</f>
        <v/>
      </c>
      <c r="C75" s="64"/>
      <c r="D75" s="65"/>
      <c r="E75" s="65"/>
      <c r="F75" s="65"/>
      <c r="G75" s="65"/>
      <c r="H75" s="65"/>
      <c r="I75" s="66"/>
      <c r="J75" s="70"/>
      <c r="K75" s="71"/>
      <c r="L75" s="71"/>
      <c r="M75" s="71"/>
      <c r="N75" s="71"/>
      <c r="O75" s="71"/>
      <c r="P75" s="72"/>
      <c r="Q75" s="70"/>
      <c r="R75" s="71"/>
      <c r="S75" s="71"/>
      <c r="T75" s="71"/>
      <c r="U75" s="71"/>
      <c r="V75" s="71"/>
      <c r="W75" s="72"/>
      <c r="X75" s="39"/>
      <c r="Y75" s="39"/>
    </row>
    <row r="76" spans="1:25" ht="15" customHeight="1">
      <c r="A76" s="39"/>
      <c r="B76" s="45" t="str">
        <f t="shared" si="2"/>
        <v/>
      </c>
      <c r="C76" s="64"/>
      <c r="D76" s="65"/>
      <c r="E76" s="65"/>
      <c r="F76" s="65"/>
      <c r="G76" s="65"/>
      <c r="H76" s="65"/>
      <c r="I76" s="66"/>
      <c r="J76" s="70"/>
      <c r="K76" s="71"/>
      <c r="L76" s="71"/>
      <c r="M76" s="71"/>
      <c r="N76" s="71"/>
      <c r="O76" s="71"/>
      <c r="P76" s="72"/>
      <c r="Q76" s="70"/>
      <c r="R76" s="71"/>
      <c r="S76" s="71"/>
      <c r="T76" s="71"/>
      <c r="U76" s="71"/>
      <c r="V76" s="71"/>
      <c r="W76" s="72"/>
      <c r="X76" s="39"/>
      <c r="Y76" s="39"/>
    </row>
    <row r="77" spans="1:25" ht="15" customHeight="1">
      <c r="A77" s="39"/>
      <c r="B77" s="45" t="str">
        <f t="shared" si="2"/>
        <v/>
      </c>
      <c r="C77" s="64"/>
      <c r="D77" s="65"/>
      <c r="E77" s="65"/>
      <c r="F77" s="65"/>
      <c r="G77" s="65"/>
      <c r="H77" s="65"/>
      <c r="I77" s="66"/>
      <c r="J77" s="70"/>
      <c r="K77" s="71"/>
      <c r="L77" s="71"/>
      <c r="M77" s="71"/>
      <c r="N77" s="71"/>
      <c r="O77" s="71"/>
      <c r="P77" s="72"/>
      <c r="Q77" s="70"/>
      <c r="R77" s="71"/>
      <c r="S77" s="71"/>
      <c r="T77" s="71"/>
      <c r="U77" s="71"/>
      <c r="V77" s="71"/>
      <c r="W77" s="72"/>
      <c r="X77" s="39"/>
      <c r="Y77" s="39"/>
    </row>
    <row r="78" spans="1:25" ht="15" customHeight="1">
      <c r="A78" s="39"/>
      <c r="B78" s="45" t="str">
        <f t="shared" si="2"/>
        <v/>
      </c>
      <c r="C78" s="64"/>
      <c r="D78" s="65"/>
      <c r="E78" s="65"/>
      <c r="F78" s="65"/>
      <c r="G78" s="65"/>
      <c r="H78" s="65"/>
      <c r="I78" s="66"/>
      <c r="J78" s="70"/>
      <c r="K78" s="71"/>
      <c r="L78" s="71"/>
      <c r="M78" s="71"/>
      <c r="N78" s="71"/>
      <c r="O78" s="71"/>
      <c r="P78" s="72"/>
      <c r="Q78" s="70"/>
      <c r="R78" s="71"/>
      <c r="S78" s="71"/>
      <c r="T78" s="71"/>
      <c r="U78" s="71"/>
      <c r="V78" s="71"/>
      <c r="W78" s="72"/>
      <c r="X78" s="39"/>
      <c r="Y78" s="39"/>
    </row>
    <row r="79" spans="1:25" ht="15" customHeight="1">
      <c r="A79" s="39"/>
      <c r="B79" s="45" t="str">
        <f t="shared" si="2"/>
        <v/>
      </c>
      <c r="C79" s="64"/>
      <c r="D79" s="65"/>
      <c r="E79" s="65"/>
      <c r="F79" s="65"/>
      <c r="G79" s="65"/>
      <c r="H79" s="65"/>
      <c r="I79" s="66"/>
      <c r="J79" s="70"/>
      <c r="K79" s="71"/>
      <c r="L79" s="71"/>
      <c r="M79" s="71"/>
      <c r="N79" s="71"/>
      <c r="O79" s="71"/>
      <c r="P79" s="72"/>
      <c r="Q79" s="70"/>
      <c r="R79" s="71"/>
      <c r="S79" s="71"/>
      <c r="T79" s="71"/>
      <c r="U79" s="71"/>
      <c r="V79" s="71"/>
      <c r="W79" s="72"/>
      <c r="X79" s="39"/>
      <c r="Y79" s="39"/>
    </row>
    <row r="80" spans="1:25" ht="15" customHeight="1">
      <c r="A80" s="39"/>
      <c r="B80" s="45" t="str">
        <f t="shared" si="2"/>
        <v/>
      </c>
      <c r="C80" s="64"/>
      <c r="D80" s="65"/>
      <c r="E80" s="65"/>
      <c r="F80" s="65"/>
      <c r="G80" s="65"/>
      <c r="H80" s="65"/>
      <c r="I80" s="66"/>
      <c r="J80" s="70"/>
      <c r="K80" s="71"/>
      <c r="L80" s="71"/>
      <c r="M80" s="71"/>
      <c r="N80" s="71"/>
      <c r="O80" s="71"/>
      <c r="P80" s="72"/>
      <c r="Q80" s="70"/>
      <c r="R80" s="71"/>
      <c r="S80" s="71"/>
      <c r="T80" s="71"/>
      <c r="U80" s="71"/>
      <c r="V80" s="71"/>
      <c r="W80" s="72"/>
      <c r="X80" s="39"/>
      <c r="Y80" s="39"/>
    </row>
    <row r="81" spans="1:25" ht="15" customHeight="1">
      <c r="A81" s="39"/>
      <c r="B81" s="45" t="str">
        <f t="shared" si="2"/>
        <v/>
      </c>
      <c r="C81" s="64"/>
      <c r="D81" s="65"/>
      <c r="E81" s="65"/>
      <c r="F81" s="65"/>
      <c r="G81" s="65"/>
      <c r="H81" s="65"/>
      <c r="I81" s="66"/>
      <c r="J81" s="70"/>
      <c r="K81" s="71"/>
      <c r="L81" s="71"/>
      <c r="M81" s="71"/>
      <c r="N81" s="71"/>
      <c r="O81" s="71"/>
      <c r="P81" s="72"/>
      <c r="Q81" s="70"/>
      <c r="R81" s="71"/>
      <c r="S81" s="71"/>
      <c r="T81" s="71"/>
      <c r="U81" s="71"/>
      <c r="V81" s="71"/>
      <c r="W81" s="72"/>
      <c r="X81" s="39"/>
      <c r="Y81" s="39"/>
    </row>
    <row r="82" spans="1:25" ht="15" customHeight="1">
      <c r="A82" s="39"/>
      <c r="B82" s="45" t="str">
        <f t="shared" si="2"/>
        <v/>
      </c>
      <c r="C82" s="64"/>
      <c r="D82" s="65"/>
      <c r="E82" s="65"/>
      <c r="F82" s="65"/>
      <c r="G82" s="65"/>
      <c r="H82" s="65"/>
      <c r="I82" s="66"/>
      <c r="J82" s="70"/>
      <c r="K82" s="71"/>
      <c r="L82" s="71"/>
      <c r="M82" s="71"/>
      <c r="N82" s="71"/>
      <c r="O82" s="71"/>
      <c r="P82" s="72"/>
      <c r="Q82" s="70"/>
      <c r="R82" s="71"/>
      <c r="S82" s="71"/>
      <c r="T82" s="71"/>
      <c r="U82" s="71"/>
      <c r="V82" s="71"/>
      <c r="W82" s="72"/>
      <c r="X82" s="39"/>
      <c r="Y82" s="39"/>
    </row>
    <row r="83" spans="1:25" ht="15" customHeight="1">
      <c r="A83" s="39"/>
      <c r="B83" s="45" t="str">
        <f t="shared" si="2"/>
        <v/>
      </c>
      <c r="C83" s="64"/>
      <c r="D83" s="65"/>
      <c r="E83" s="65"/>
      <c r="F83" s="65"/>
      <c r="G83" s="65"/>
      <c r="H83" s="65"/>
      <c r="I83" s="66"/>
      <c r="J83" s="70"/>
      <c r="K83" s="71"/>
      <c r="L83" s="71"/>
      <c r="M83" s="71"/>
      <c r="N83" s="71"/>
      <c r="O83" s="71"/>
      <c r="P83" s="72"/>
      <c r="Q83" s="70"/>
      <c r="R83" s="71"/>
      <c r="S83" s="71"/>
      <c r="T83" s="71"/>
      <c r="U83" s="71"/>
      <c r="V83" s="71"/>
      <c r="W83" s="72"/>
      <c r="X83" s="39"/>
      <c r="Y83" s="39"/>
    </row>
    <row r="84" spans="1:25" ht="15" customHeight="1">
      <c r="A84" s="39"/>
      <c r="B84" s="45" t="str">
        <f t="shared" si="2"/>
        <v/>
      </c>
      <c r="C84" s="64"/>
      <c r="D84" s="65"/>
      <c r="E84" s="65"/>
      <c r="F84" s="65"/>
      <c r="G84" s="65"/>
      <c r="H84" s="65"/>
      <c r="I84" s="66"/>
      <c r="J84" s="70"/>
      <c r="K84" s="71"/>
      <c r="L84" s="71"/>
      <c r="M84" s="71"/>
      <c r="N84" s="71"/>
      <c r="O84" s="71"/>
      <c r="P84" s="72"/>
      <c r="Q84" s="70"/>
      <c r="R84" s="71"/>
      <c r="S84" s="71"/>
      <c r="T84" s="71"/>
      <c r="U84" s="71"/>
      <c r="V84" s="71"/>
      <c r="W84" s="72"/>
      <c r="X84" s="39"/>
      <c r="Y84" s="39"/>
    </row>
    <row r="85" spans="1:25" ht="15" customHeight="1">
      <c r="A85" s="39"/>
      <c r="B85" s="45" t="str">
        <f t="shared" si="2"/>
        <v/>
      </c>
      <c r="C85" s="64"/>
      <c r="D85" s="65"/>
      <c r="E85" s="65"/>
      <c r="F85" s="65"/>
      <c r="G85" s="65"/>
      <c r="H85" s="65"/>
      <c r="I85" s="66"/>
      <c r="J85" s="70"/>
      <c r="K85" s="71"/>
      <c r="L85" s="71"/>
      <c r="M85" s="71"/>
      <c r="N85" s="71"/>
      <c r="O85" s="71"/>
      <c r="P85" s="72"/>
      <c r="Q85" s="70"/>
      <c r="R85" s="71"/>
      <c r="S85" s="71"/>
      <c r="T85" s="71"/>
      <c r="U85" s="71"/>
      <c r="V85" s="71"/>
      <c r="W85" s="72"/>
      <c r="X85" s="39"/>
      <c r="Y85" s="39"/>
    </row>
    <row r="86" spans="1:25" ht="15" customHeight="1">
      <c r="A86" s="39"/>
      <c r="B86" s="45" t="str">
        <f t="shared" si="2"/>
        <v/>
      </c>
      <c r="C86" s="64"/>
      <c r="D86" s="65"/>
      <c r="E86" s="65"/>
      <c r="F86" s="65"/>
      <c r="G86" s="65"/>
      <c r="H86" s="65"/>
      <c r="I86" s="66"/>
      <c r="J86" s="70"/>
      <c r="K86" s="71"/>
      <c r="L86" s="71"/>
      <c r="M86" s="71"/>
      <c r="N86" s="71"/>
      <c r="O86" s="71"/>
      <c r="P86" s="72"/>
      <c r="Q86" s="70"/>
      <c r="R86" s="71"/>
      <c r="S86" s="71"/>
      <c r="T86" s="71"/>
      <c r="U86" s="71"/>
      <c r="V86" s="71"/>
      <c r="W86" s="72"/>
      <c r="X86" s="39"/>
      <c r="Y86" s="39"/>
    </row>
    <row r="87" spans="1:25" ht="15" customHeight="1">
      <c r="A87" s="39"/>
      <c r="B87" s="45" t="str">
        <f t="shared" si="2"/>
        <v/>
      </c>
      <c r="C87" s="64"/>
      <c r="D87" s="65"/>
      <c r="E87" s="65"/>
      <c r="F87" s="65"/>
      <c r="G87" s="65"/>
      <c r="H87" s="65"/>
      <c r="I87" s="66"/>
      <c r="J87" s="70"/>
      <c r="K87" s="71"/>
      <c r="L87" s="71"/>
      <c r="M87" s="71"/>
      <c r="N87" s="71"/>
      <c r="O87" s="71"/>
      <c r="P87" s="72"/>
      <c r="Q87" s="70"/>
      <c r="R87" s="71"/>
      <c r="S87" s="71"/>
      <c r="T87" s="71"/>
      <c r="U87" s="71"/>
      <c r="V87" s="71"/>
      <c r="W87" s="72"/>
      <c r="X87" s="39"/>
      <c r="Y87" s="39"/>
    </row>
    <row r="88" spans="1:25" ht="15" customHeight="1">
      <c r="A88" s="39"/>
      <c r="B88" s="45" t="str">
        <f t="shared" si="2"/>
        <v/>
      </c>
      <c r="C88" s="64"/>
      <c r="D88" s="65"/>
      <c r="E88" s="65"/>
      <c r="F88" s="65"/>
      <c r="G88" s="65"/>
      <c r="H88" s="65"/>
      <c r="I88" s="66"/>
      <c r="J88" s="70"/>
      <c r="K88" s="71"/>
      <c r="L88" s="71"/>
      <c r="M88" s="71"/>
      <c r="N88" s="71"/>
      <c r="O88" s="71"/>
      <c r="P88" s="72"/>
      <c r="Q88" s="70"/>
      <c r="R88" s="71"/>
      <c r="S88" s="71"/>
      <c r="T88" s="71"/>
      <c r="U88" s="71"/>
      <c r="V88" s="71"/>
      <c r="W88" s="72"/>
      <c r="X88" s="39"/>
      <c r="Y88" s="39"/>
    </row>
    <row r="89" spans="1:25" ht="15" customHeight="1">
      <c r="A89" s="39"/>
      <c r="B89" s="45" t="str">
        <f t="shared" si="2"/>
        <v/>
      </c>
      <c r="C89" s="64"/>
      <c r="D89" s="65"/>
      <c r="E89" s="65"/>
      <c r="F89" s="65"/>
      <c r="G89" s="65"/>
      <c r="H89" s="65"/>
      <c r="I89" s="66"/>
      <c r="J89" s="70"/>
      <c r="K89" s="71"/>
      <c r="L89" s="71"/>
      <c r="M89" s="71"/>
      <c r="N89" s="71"/>
      <c r="O89" s="71"/>
      <c r="P89" s="72"/>
      <c r="Q89" s="70"/>
      <c r="R89" s="71"/>
      <c r="S89" s="71"/>
      <c r="T89" s="71"/>
      <c r="U89" s="71"/>
      <c r="V89" s="71"/>
      <c r="W89" s="72"/>
      <c r="X89" s="39"/>
      <c r="Y89" s="39"/>
    </row>
    <row r="90" spans="1:25" ht="15" customHeight="1">
      <c r="A90" s="39"/>
      <c r="B90" s="45" t="str">
        <f t="shared" si="2"/>
        <v/>
      </c>
      <c r="C90" s="64"/>
      <c r="D90" s="65"/>
      <c r="E90" s="65"/>
      <c r="F90" s="65"/>
      <c r="G90" s="65"/>
      <c r="H90" s="65"/>
      <c r="I90" s="66"/>
      <c r="J90" s="70"/>
      <c r="K90" s="71"/>
      <c r="L90" s="71"/>
      <c r="M90" s="71"/>
      <c r="N90" s="71"/>
      <c r="O90" s="71"/>
      <c r="P90" s="72"/>
      <c r="Q90" s="70"/>
      <c r="R90" s="71"/>
      <c r="S90" s="71"/>
      <c r="T90" s="71"/>
      <c r="U90" s="71"/>
      <c r="V90" s="71"/>
      <c r="W90" s="72"/>
      <c r="X90" s="39"/>
      <c r="Y90" s="39"/>
    </row>
    <row r="91" spans="1:25" ht="15" customHeight="1">
      <c r="A91" s="39"/>
      <c r="B91" s="45" t="str">
        <f t="shared" si="2"/>
        <v/>
      </c>
      <c r="C91" s="64"/>
      <c r="D91" s="65"/>
      <c r="E91" s="65"/>
      <c r="F91" s="65"/>
      <c r="G91" s="65"/>
      <c r="H91" s="65"/>
      <c r="I91" s="66"/>
      <c r="J91" s="70"/>
      <c r="K91" s="71"/>
      <c r="L91" s="71"/>
      <c r="M91" s="71"/>
      <c r="N91" s="71"/>
      <c r="O91" s="71"/>
      <c r="P91" s="72"/>
      <c r="Q91" s="70"/>
      <c r="R91" s="71"/>
      <c r="S91" s="71"/>
      <c r="T91" s="71"/>
      <c r="U91" s="71"/>
      <c r="V91" s="71"/>
      <c r="W91" s="72"/>
      <c r="X91" s="39"/>
      <c r="Y91" s="39"/>
    </row>
    <row r="92" spans="1:25" ht="15" customHeight="1">
      <c r="A92" s="39"/>
      <c r="B92" s="45" t="str">
        <f t="shared" si="2"/>
        <v/>
      </c>
      <c r="C92" s="64"/>
      <c r="D92" s="65"/>
      <c r="E92" s="65"/>
      <c r="F92" s="65"/>
      <c r="G92" s="65"/>
      <c r="H92" s="65"/>
      <c r="I92" s="66"/>
      <c r="J92" s="70"/>
      <c r="K92" s="71"/>
      <c r="L92" s="71"/>
      <c r="M92" s="71"/>
      <c r="N92" s="71"/>
      <c r="O92" s="71"/>
      <c r="P92" s="72"/>
      <c r="Q92" s="70"/>
      <c r="R92" s="71"/>
      <c r="S92" s="71"/>
      <c r="T92" s="71"/>
      <c r="U92" s="71"/>
      <c r="V92" s="71"/>
      <c r="W92" s="72"/>
      <c r="X92" s="39"/>
      <c r="Y92" s="39"/>
    </row>
    <row r="93" spans="1:25" ht="15" customHeight="1">
      <c r="A93" s="39"/>
      <c r="B93" s="45" t="str">
        <f t="shared" si="2"/>
        <v/>
      </c>
      <c r="C93" s="64"/>
      <c r="D93" s="65"/>
      <c r="E93" s="65"/>
      <c r="F93" s="65"/>
      <c r="G93" s="65"/>
      <c r="H93" s="65"/>
      <c r="I93" s="66"/>
      <c r="J93" s="70"/>
      <c r="K93" s="71"/>
      <c r="L93" s="71"/>
      <c r="M93" s="71"/>
      <c r="N93" s="71"/>
      <c r="O93" s="71"/>
      <c r="P93" s="72"/>
      <c r="Q93" s="70"/>
      <c r="R93" s="71"/>
      <c r="S93" s="71"/>
      <c r="T93" s="71"/>
      <c r="U93" s="71"/>
      <c r="V93" s="71"/>
      <c r="W93" s="72"/>
      <c r="X93" s="39"/>
      <c r="Y93" s="39"/>
    </row>
    <row r="94" spans="1:25" ht="15" customHeight="1">
      <c r="A94" s="39"/>
      <c r="B94" s="45" t="str">
        <f t="shared" si="2"/>
        <v/>
      </c>
      <c r="C94" s="64"/>
      <c r="D94" s="65"/>
      <c r="E94" s="65"/>
      <c r="F94" s="65"/>
      <c r="G94" s="65"/>
      <c r="H94" s="65"/>
      <c r="I94" s="66"/>
      <c r="J94" s="70"/>
      <c r="K94" s="71"/>
      <c r="L94" s="71"/>
      <c r="M94" s="71"/>
      <c r="N94" s="71"/>
      <c r="O94" s="71"/>
      <c r="P94" s="72"/>
      <c r="Q94" s="70"/>
      <c r="R94" s="71"/>
      <c r="S94" s="71"/>
      <c r="T94" s="71"/>
      <c r="U94" s="71"/>
      <c r="V94" s="71"/>
      <c r="W94" s="72"/>
      <c r="X94" s="39"/>
      <c r="Y94" s="39"/>
    </row>
    <row r="95" spans="1:25" ht="15" customHeight="1">
      <c r="A95" s="39"/>
      <c r="B95" s="45" t="str">
        <f t="shared" si="2"/>
        <v/>
      </c>
      <c r="C95" s="64"/>
      <c r="D95" s="65"/>
      <c r="E95" s="65"/>
      <c r="F95" s="65"/>
      <c r="G95" s="65"/>
      <c r="H95" s="65"/>
      <c r="I95" s="66"/>
      <c r="J95" s="70"/>
      <c r="K95" s="71"/>
      <c r="L95" s="71"/>
      <c r="M95" s="71"/>
      <c r="N95" s="71"/>
      <c r="O95" s="71"/>
      <c r="P95" s="72"/>
      <c r="Q95" s="70"/>
      <c r="R95" s="71"/>
      <c r="S95" s="71"/>
      <c r="T95" s="71"/>
      <c r="U95" s="71"/>
      <c r="V95" s="71"/>
      <c r="W95" s="72"/>
      <c r="X95" s="39"/>
      <c r="Y95" s="39"/>
    </row>
    <row r="96" spans="1:25" ht="15" customHeight="1">
      <c r="A96" s="39"/>
      <c r="B96" s="45" t="str">
        <f t="shared" si="2"/>
        <v/>
      </c>
      <c r="C96" s="64"/>
      <c r="D96" s="65"/>
      <c r="E96" s="65"/>
      <c r="F96" s="65"/>
      <c r="G96" s="65"/>
      <c r="H96" s="65"/>
      <c r="I96" s="66"/>
      <c r="J96" s="70"/>
      <c r="K96" s="71"/>
      <c r="L96" s="71"/>
      <c r="M96" s="71"/>
      <c r="N96" s="71"/>
      <c r="O96" s="71"/>
      <c r="P96" s="72"/>
      <c r="Q96" s="70"/>
      <c r="R96" s="71"/>
      <c r="S96" s="71"/>
      <c r="T96" s="71"/>
      <c r="U96" s="71"/>
      <c r="V96" s="71"/>
      <c r="W96" s="72"/>
      <c r="X96" s="39"/>
      <c r="Y96" s="39"/>
    </row>
    <row r="97" spans="1:25" ht="15" customHeight="1">
      <c r="A97" s="39"/>
      <c r="B97" s="45" t="str">
        <f t="shared" si="2"/>
        <v/>
      </c>
      <c r="C97" s="64"/>
      <c r="D97" s="65"/>
      <c r="E97" s="65"/>
      <c r="F97" s="65"/>
      <c r="G97" s="65"/>
      <c r="H97" s="65"/>
      <c r="I97" s="66"/>
      <c r="J97" s="70"/>
      <c r="K97" s="71"/>
      <c r="L97" s="71"/>
      <c r="M97" s="71"/>
      <c r="N97" s="71"/>
      <c r="O97" s="71"/>
      <c r="P97" s="72"/>
      <c r="Q97" s="70"/>
      <c r="R97" s="71"/>
      <c r="S97" s="71"/>
      <c r="T97" s="71"/>
      <c r="U97" s="71"/>
      <c r="V97" s="71"/>
      <c r="W97" s="72"/>
      <c r="X97" s="39"/>
      <c r="Y97" s="39"/>
    </row>
    <row r="98" spans="1:25" ht="15" customHeight="1">
      <c r="A98" s="39"/>
      <c r="B98" s="45" t="str">
        <f t="shared" si="2"/>
        <v/>
      </c>
      <c r="C98" s="64"/>
      <c r="D98" s="65"/>
      <c r="E98" s="65"/>
      <c r="F98" s="65"/>
      <c r="G98" s="65"/>
      <c r="H98" s="65"/>
      <c r="I98" s="66"/>
      <c r="J98" s="70"/>
      <c r="K98" s="71"/>
      <c r="L98" s="71"/>
      <c r="M98" s="71"/>
      <c r="N98" s="71"/>
      <c r="O98" s="71"/>
      <c r="P98" s="72"/>
      <c r="Q98" s="70"/>
      <c r="R98" s="71"/>
      <c r="S98" s="71"/>
      <c r="T98" s="71"/>
      <c r="U98" s="71"/>
      <c r="V98" s="71"/>
      <c r="W98" s="72"/>
      <c r="X98" s="39"/>
      <c r="Y98" s="39"/>
    </row>
    <row r="99" spans="1:25" ht="15" customHeight="1">
      <c r="A99" s="39"/>
      <c r="B99" s="45" t="str">
        <f t="shared" si="2"/>
        <v/>
      </c>
      <c r="C99" s="64"/>
      <c r="D99" s="65"/>
      <c r="E99" s="65"/>
      <c r="F99" s="65"/>
      <c r="G99" s="65"/>
      <c r="H99" s="65"/>
      <c r="I99" s="66"/>
      <c r="J99" s="70"/>
      <c r="K99" s="71"/>
      <c r="L99" s="71"/>
      <c r="M99" s="71"/>
      <c r="N99" s="71"/>
      <c r="O99" s="71"/>
      <c r="P99" s="72"/>
      <c r="Q99" s="70"/>
      <c r="R99" s="71"/>
      <c r="S99" s="71"/>
      <c r="T99" s="71"/>
      <c r="U99" s="71"/>
      <c r="V99" s="71"/>
      <c r="W99" s="72"/>
      <c r="X99" s="39"/>
      <c r="Y99" s="39"/>
    </row>
    <row r="100" spans="1:25" ht="15" customHeight="1">
      <c r="A100" s="39"/>
      <c r="B100" s="45" t="str">
        <f t="shared" si="2"/>
        <v/>
      </c>
      <c r="C100" s="64"/>
      <c r="D100" s="65"/>
      <c r="E100" s="65"/>
      <c r="F100" s="65"/>
      <c r="G100" s="65"/>
      <c r="H100" s="65"/>
      <c r="I100" s="66"/>
      <c r="J100" s="70"/>
      <c r="K100" s="71"/>
      <c r="L100" s="71"/>
      <c r="M100" s="71"/>
      <c r="N100" s="71"/>
      <c r="O100" s="71"/>
      <c r="P100" s="72"/>
      <c r="Q100" s="70"/>
      <c r="R100" s="71"/>
      <c r="S100" s="71"/>
      <c r="T100" s="71"/>
      <c r="U100" s="71"/>
      <c r="V100" s="71"/>
      <c r="W100" s="72"/>
      <c r="X100" s="39"/>
      <c r="Y100" s="39"/>
    </row>
    <row r="101" spans="1:25" ht="15" customHeight="1">
      <c r="A101" s="39"/>
      <c r="B101" s="45" t="str">
        <f t="shared" si="2"/>
        <v/>
      </c>
      <c r="C101" s="64"/>
      <c r="D101" s="65"/>
      <c r="E101" s="65"/>
      <c r="F101" s="65"/>
      <c r="G101" s="65"/>
      <c r="H101" s="65"/>
      <c r="I101" s="66"/>
      <c r="J101" s="70"/>
      <c r="K101" s="71"/>
      <c r="L101" s="71"/>
      <c r="M101" s="71"/>
      <c r="N101" s="71"/>
      <c r="O101" s="71"/>
      <c r="P101" s="72"/>
      <c r="Q101" s="70"/>
      <c r="R101" s="71"/>
      <c r="S101" s="71"/>
      <c r="T101" s="71"/>
      <c r="U101" s="71"/>
      <c r="V101" s="71"/>
      <c r="W101" s="72"/>
      <c r="X101" s="39"/>
      <c r="Y101" s="39"/>
    </row>
    <row r="102" spans="1:25" ht="15" customHeight="1">
      <c r="A102" s="39"/>
      <c r="B102" s="45" t="str">
        <f t="shared" si="2"/>
        <v/>
      </c>
      <c r="C102" s="64"/>
      <c r="D102" s="65"/>
      <c r="E102" s="65"/>
      <c r="F102" s="65"/>
      <c r="G102" s="65"/>
      <c r="H102" s="65"/>
      <c r="I102" s="66"/>
      <c r="J102" s="70"/>
      <c r="K102" s="71"/>
      <c r="L102" s="71"/>
      <c r="M102" s="71"/>
      <c r="N102" s="71"/>
      <c r="O102" s="71"/>
      <c r="P102" s="72"/>
      <c r="Q102" s="70"/>
      <c r="R102" s="71"/>
      <c r="S102" s="71"/>
      <c r="T102" s="71"/>
      <c r="U102" s="71"/>
      <c r="V102" s="71"/>
      <c r="W102" s="72"/>
      <c r="X102" s="39"/>
      <c r="Y102" s="39"/>
    </row>
    <row r="103" spans="1:25" ht="15" customHeight="1">
      <c r="A103" s="39"/>
      <c r="B103" s="45" t="str">
        <f t="shared" si="2"/>
        <v/>
      </c>
      <c r="C103" s="64"/>
      <c r="D103" s="65"/>
      <c r="E103" s="65"/>
      <c r="F103" s="65"/>
      <c r="G103" s="65"/>
      <c r="H103" s="65"/>
      <c r="I103" s="66"/>
      <c r="J103" s="70"/>
      <c r="K103" s="71"/>
      <c r="L103" s="71"/>
      <c r="M103" s="71"/>
      <c r="N103" s="71"/>
      <c r="O103" s="71"/>
      <c r="P103" s="72"/>
      <c r="Q103" s="70"/>
      <c r="R103" s="71"/>
      <c r="S103" s="71"/>
      <c r="T103" s="71"/>
      <c r="U103" s="71"/>
      <c r="V103" s="71"/>
      <c r="W103" s="72"/>
      <c r="X103" s="39"/>
      <c r="Y103" s="39"/>
    </row>
    <row r="104" spans="1:25" ht="15" customHeight="1">
      <c r="A104" s="39"/>
      <c r="B104" s="45" t="str">
        <f t="shared" si="2"/>
        <v/>
      </c>
      <c r="C104" s="64"/>
      <c r="D104" s="65"/>
      <c r="E104" s="65"/>
      <c r="F104" s="65"/>
      <c r="G104" s="65"/>
      <c r="H104" s="65"/>
      <c r="I104" s="66"/>
      <c r="J104" s="70"/>
      <c r="K104" s="71"/>
      <c r="L104" s="71"/>
      <c r="M104" s="71"/>
      <c r="N104" s="71"/>
      <c r="O104" s="71"/>
      <c r="P104" s="72"/>
      <c r="Q104" s="70"/>
      <c r="R104" s="71"/>
      <c r="S104" s="71"/>
      <c r="T104" s="71"/>
      <c r="U104" s="71"/>
      <c r="V104" s="71"/>
      <c r="W104" s="72"/>
      <c r="X104" s="39"/>
      <c r="Y104" s="39"/>
    </row>
    <row r="105" spans="1:25" ht="15" customHeight="1">
      <c r="A105" s="39"/>
      <c r="B105" s="45" t="str">
        <f t="shared" si="2"/>
        <v/>
      </c>
      <c r="C105" s="64"/>
      <c r="D105" s="65"/>
      <c r="E105" s="65"/>
      <c r="F105" s="65"/>
      <c r="G105" s="65"/>
      <c r="H105" s="65"/>
      <c r="I105" s="66"/>
      <c r="J105" s="70"/>
      <c r="K105" s="71"/>
      <c r="L105" s="71"/>
      <c r="M105" s="71"/>
      <c r="N105" s="71"/>
      <c r="O105" s="71"/>
      <c r="P105" s="72"/>
      <c r="Q105" s="70"/>
      <c r="R105" s="71"/>
      <c r="S105" s="71"/>
      <c r="T105" s="71"/>
      <c r="U105" s="71"/>
      <c r="V105" s="71"/>
      <c r="W105" s="72"/>
      <c r="X105" s="39"/>
      <c r="Y105" s="39"/>
    </row>
    <row r="106" spans="1:25" ht="15" customHeight="1">
      <c r="A106" s="39"/>
      <c r="B106" s="45" t="str">
        <f t="shared" si="2"/>
        <v/>
      </c>
      <c r="C106" s="64"/>
      <c r="D106" s="65"/>
      <c r="E106" s="65"/>
      <c r="F106" s="65"/>
      <c r="G106" s="65"/>
      <c r="H106" s="65"/>
      <c r="I106" s="66"/>
      <c r="J106" s="70"/>
      <c r="K106" s="71"/>
      <c r="L106" s="71"/>
      <c r="M106" s="71"/>
      <c r="N106" s="71"/>
      <c r="O106" s="71"/>
      <c r="P106" s="72"/>
      <c r="Q106" s="70"/>
      <c r="R106" s="71"/>
      <c r="S106" s="71"/>
      <c r="T106" s="71"/>
      <c r="U106" s="71"/>
      <c r="V106" s="71"/>
      <c r="W106" s="72"/>
      <c r="X106" s="39"/>
      <c r="Y106" s="39"/>
    </row>
    <row r="107" spans="1:25" ht="15" customHeight="1">
      <c r="A107" s="39"/>
      <c r="B107" s="45" t="str">
        <f t="shared" ref="B107:B138" si="3">IF(Start_year+ROW(B107)-ROW($B$11)&gt;End_year,"",Start_year+ROW(B107)-ROW($B$11))</f>
        <v/>
      </c>
      <c r="C107" s="64"/>
      <c r="D107" s="65"/>
      <c r="E107" s="65"/>
      <c r="F107" s="65"/>
      <c r="G107" s="65"/>
      <c r="H107" s="65"/>
      <c r="I107" s="66"/>
      <c r="J107" s="70"/>
      <c r="K107" s="71"/>
      <c r="L107" s="71"/>
      <c r="M107" s="71"/>
      <c r="N107" s="71"/>
      <c r="O107" s="71"/>
      <c r="P107" s="72"/>
      <c r="Q107" s="70"/>
      <c r="R107" s="71"/>
      <c r="S107" s="71"/>
      <c r="T107" s="71"/>
      <c r="U107" s="71"/>
      <c r="V107" s="71"/>
      <c r="W107" s="72"/>
      <c r="X107" s="39"/>
      <c r="Y107" s="39"/>
    </row>
    <row r="108" spans="1:25" ht="15" customHeight="1">
      <c r="A108" s="39"/>
      <c r="B108" s="45" t="str">
        <f t="shared" si="3"/>
        <v/>
      </c>
      <c r="C108" s="64"/>
      <c r="D108" s="65"/>
      <c r="E108" s="65"/>
      <c r="F108" s="65"/>
      <c r="G108" s="65"/>
      <c r="H108" s="65"/>
      <c r="I108" s="66"/>
      <c r="J108" s="70"/>
      <c r="K108" s="71"/>
      <c r="L108" s="71"/>
      <c r="M108" s="71"/>
      <c r="N108" s="71"/>
      <c r="O108" s="71"/>
      <c r="P108" s="72"/>
      <c r="Q108" s="70"/>
      <c r="R108" s="71"/>
      <c r="S108" s="71"/>
      <c r="T108" s="71"/>
      <c r="U108" s="71"/>
      <c r="V108" s="71"/>
      <c r="W108" s="72"/>
      <c r="X108" s="39"/>
      <c r="Y108" s="39"/>
    </row>
    <row r="109" spans="1:25" ht="15" customHeight="1">
      <c r="A109" s="39"/>
      <c r="B109" s="45" t="str">
        <f t="shared" si="3"/>
        <v/>
      </c>
      <c r="C109" s="64"/>
      <c r="D109" s="65"/>
      <c r="E109" s="65"/>
      <c r="F109" s="65"/>
      <c r="G109" s="65"/>
      <c r="H109" s="65"/>
      <c r="I109" s="66"/>
      <c r="J109" s="70"/>
      <c r="K109" s="71"/>
      <c r="L109" s="71"/>
      <c r="M109" s="71"/>
      <c r="N109" s="71"/>
      <c r="O109" s="71"/>
      <c r="P109" s="72"/>
      <c r="Q109" s="70"/>
      <c r="R109" s="71"/>
      <c r="S109" s="71"/>
      <c r="T109" s="71"/>
      <c r="U109" s="71"/>
      <c r="V109" s="71"/>
      <c r="W109" s="72"/>
      <c r="X109" s="39"/>
      <c r="Y109" s="39"/>
    </row>
    <row r="110" spans="1:25" ht="15" customHeight="1">
      <c r="A110" s="39"/>
      <c r="B110" s="45" t="str">
        <f t="shared" si="3"/>
        <v/>
      </c>
      <c r="C110" s="64"/>
      <c r="D110" s="65"/>
      <c r="E110" s="65"/>
      <c r="F110" s="65"/>
      <c r="G110" s="65"/>
      <c r="H110" s="65"/>
      <c r="I110" s="66"/>
      <c r="J110" s="70"/>
      <c r="K110" s="71"/>
      <c r="L110" s="71"/>
      <c r="M110" s="71"/>
      <c r="N110" s="71"/>
      <c r="O110" s="71"/>
      <c r="P110" s="72"/>
      <c r="Q110" s="70"/>
      <c r="R110" s="71"/>
      <c r="S110" s="71"/>
      <c r="T110" s="71"/>
      <c r="U110" s="71"/>
      <c r="V110" s="71"/>
      <c r="W110" s="72"/>
      <c r="X110" s="39"/>
      <c r="Y110" s="39"/>
    </row>
    <row r="111" spans="1:25" ht="15" customHeight="1">
      <c r="A111" s="39"/>
      <c r="B111" s="45" t="str">
        <f t="shared" si="3"/>
        <v/>
      </c>
      <c r="C111" s="64"/>
      <c r="D111" s="65"/>
      <c r="E111" s="65"/>
      <c r="F111" s="65"/>
      <c r="G111" s="65"/>
      <c r="H111" s="65"/>
      <c r="I111" s="66"/>
      <c r="J111" s="70"/>
      <c r="K111" s="71"/>
      <c r="L111" s="71"/>
      <c r="M111" s="71"/>
      <c r="N111" s="71"/>
      <c r="O111" s="71"/>
      <c r="P111" s="72"/>
      <c r="Q111" s="70"/>
      <c r="R111" s="71"/>
      <c r="S111" s="71"/>
      <c r="T111" s="71"/>
      <c r="U111" s="71"/>
      <c r="V111" s="71"/>
      <c r="W111" s="72"/>
      <c r="X111" s="39"/>
      <c r="Y111" s="39"/>
    </row>
    <row r="112" spans="1:25" ht="15" customHeight="1">
      <c r="A112" s="39"/>
      <c r="B112" s="45" t="str">
        <f t="shared" si="3"/>
        <v/>
      </c>
      <c r="C112" s="64"/>
      <c r="D112" s="65"/>
      <c r="E112" s="65"/>
      <c r="F112" s="65"/>
      <c r="G112" s="65"/>
      <c r="H112" s="65"/>
      <c r="I112" s="66"/>
      <c r="J112" s="70"/>
      <c r="K112" s="71"/>
      <c r="L112" s="71"/>
      <c r="M112" s="71"/>
      <c r="N112" s="71"/>
      <c r="O112" s="71"/>
      <c r="P112" s="72"/>
      <c r="Q112" s="70"/>
      <c r="R112" s="71"/>
      <c r="S112" s="71"/>
      <c r="T112" s="71"/>
      <c r="U112" s="71"/>
      <c r="V112" s="71"/>
      <c r="W112" s="72"/>
      <c r="X112" s="39"/>
      <c r="Y112" s="39"/>
    </row>
    <row r="113" spans="1:25" ht="15" customHeight="1">
      <c r="A113" s="39"/>
      <c r="B113" s="45" t="str">
        <f t="shared" si="3"/>
        <v/>
      </c>
      <c r="C113" s="64"/>
      <c r="D113" s="65"/>
      <c r="E113" s="65"/>
      <c r="F113" s="65"/>
      <c r="G113" s="65"/>
      <c r="H113" s="65"/>
      <c r="I113" s="66"/>
      <c r="J113" s="70"/>
      <c r="K113" s="71"/>
      <c r="L113" s="71"/>
      <c r="M113" s="71"/>
      <c r="N113" s="71"/>
      <c r="O113" s="71"/>
      <c r="P113" s="72"/>
      <c r="Q113" s="70"/>
      <c r="R113" s="71"/>
      <c r="S113" s="71"/>
      <c r="T113" s="71"/>
      <c r="U113" s="71"/>
      <c r="V113" s="71"/>
      <c r="W113" s="72"/>
      <c r="X113" s="39"/>
      <c r="Y113" s="39"/>
    </row>
    <row r="114" spans="1:25" ht="15" customHeight="1">
      <c r="A114" s="39"/>
      <c r="B114" s="45" t="str">
        <f t="shared" si="3"/>
        <v/>
      </c>
      <c r="C114" s="64"/>
      <c r="D114" s="65"/>
      <c r="E114" s="65"/>
      <c r="F114" s="65"/>
      <c r="G114" s="65"/>
      <c r="H114" s="65"/>
      <c r="I114" s="66"/>
      <c r="J114" s="70"/>
      <c r="K114" s="71"/>
      <c r="L114" s="71"/>
      <c r="M114" s="71"/>
      <c r="N114" s="71"/>
      <c r="O114" s="71"/>
      <c r="P114" s="72"/>
      <c r="Q114" s="70"/>
      <c r="R114" s="71"/>
      <c r="S114" s="71"/>
      <c r="T114" s="71"/>
      <c r="U114" s="71"/>
      <c r="V114" s="71"/>
      <c r="W114" s="72"/>
      <c r="X114" s="39"/>
      <c r="Y114" s="39"/>
    </row>
    <row r="115" spans="1:25" ht="15" customHeight="1">
      <c r="A115" s="39"/>
      <c r="B115" s="45" t="str">
        <f t="shared" si="3"/>
        <v/>
      </c>
      <c r="C115" s="64"/>
      <c r="D115" s="65"/>
      <c r="E115" s="65"/>
      <c r="F115" s="65"/>
      <c r="G115" s="65"/>
      <c r="H115" s="65"/>
      <c r="I115" s="66"/>
      <c r="J115" s="70"/>
      <c r="K115" s="71"/>
      <c r="L115" s="71"/>
      <c r="M115" s="71"/>
      <c r="N115" s="71"/>
      <c r="O115" s="71"/>
      <c r="P115" s="72"/>
      <c r="Q115" s="70"/>
      <c r="R115" s="71"/>
      <c r="S115" s="71"/>
      <c r="T115" s="71"/>
      <c r="U115" s="71"/>
      <c r="V115" s="71"/>
      <c r="W115" s="72"/>
      <c r="X115" s="39"/>
      <c r="Y115" s="39"/>
    </row>
    <row r="116" spans="1:25" ht="15" customHeight="1">
      <c r="A116" s="39"/>
      <c r="B116" s="45" t="str">
        <f t="shared" si="3"/>
        <v/>
      </c>
      <c r="C116" s="64"/>
      <c r="D116" s="65"/>
      <c r="E116" s="65"/>
      <c r="F116" s="65"/>
      <c r="G116" s="65"/>
      <c r="H116" s="65"/>
      <c r="I116" s="66"/>
      <c r="J116" s="70"/>
      <c r="K116" s="71"/>
      <c r="L116" s="71"/>
      <c r="M116" s="71"/>
      <c r="N116" s="71"/>
      <c r="O116" s="71"/>
      <c r="P116" s="72"/>
      <c r="Q116" s="70"/>
      <c r="R116" s="71"/>
      <c r="S116" s="71"/>
      <c r="T116" s="71"/>
      <c r="U116" s="71"/>
      <c r="V116" s="71"/>
      <c r="W116" s="72"/>
      <c r="X116" s="39"/>
      <c r="Y116" s="39"/>
    </row>
    <row r="117" spans="1:25" ht="15" customHeight="1">
      <c r="A117" s="39"/>
      <c r="B117" s="45" t="str">
        <f t="shared" si="3"/>
        <v/>
      </c>
      <c r="C117" s="64"/>
      <c r="D117" s="65"/>
      <c r="E117" s="65"/>
      <c r="F117" s="65"/>
      <c r="G117" s="65"/>
      <c r="H117" s="65"/>
      <c r="I117" s="66"/>
      <c r="J117" s="70"/>
      <c r="K117" s="71"/>
      <c r="L117" s="71"/>
      <c r="M117" s="71"/>
      <c r="N117" s="71"/>
      <c r="O117" s="71"/>
      <c r="P117" s="72"/>
      <c r="Q117" s="70"/>
      <c r="R117" s="71"/>
      <c r="S117" s="71"/>
      <c r="T117" s="71"/>
      <c r="U117" s="71"/>
      <c r="V117" s="71"/>
      <c r="W117" s="72"/>
      <c r="X117" s="39"/>
      <c r="Y117" s="39"/>
    </row>
    <row r="118" spans="1:25" ht="15" customHeight="1">
      <c r="A118" s="39"/>
      <c r="B118" s="45" t="str">
        <f t="shared" si="3"/>
        <v/>
      </c>
      <c r="C118" s="64"/>
      <c r="D118" s="65"/>
      <c r="E118" s="65"/>
      <c r="F118" s="65"/>
      <c r="G118" s="65"/>
      <c r="H118" s="65"/>
      <c r="I118" s="66"/>
      <c r="J118" s="70"/>
      <c r="K118" s="71"/>
      <c r="L118" s="71"/>
      <c r="M118" s="71"/>
      <c r="N118" s="71"/>
      <c r="O118" s="71"/>
      <c r="P118" s="72"/>
      <c r="Q118" s="70"/>
      <c r="R118" s="71"/>
      <c r="S118" s="71"/>
      <c r="T118" s="71"/>
      <c r="U118" s="71"/>
      <c r="V118" s="71"/>
      <c r="W118" s="72"/>
      <c r="X118" s="39"/>
      <c r="Y118" s="39"/>
    </row>
    <row r="119" spans="1:25" ht="15" customHeight="1">
      <c r="A119" s="39"/>
      <c r="B119" s="45" t="str">
        <f t="shared" si="3"/>
        <v/>
      </c>
      <c r="C119" s="64"/>
      <c r="D119" s="65"/>
      <c r="E119" s="65"/>
      <c r="F119" s="65"/>
      <c r="G119" s="65"/>
      <c r="H119" s="65"/>
      <c r="I119" s="66"/>
      <c r="J119" s="70"/>
      <c r="K119" s="71"/>
      <c r="L119" s="71"/>
      <c r="M119" s="71"/>
      <c r="N119" s="71"/>
      <c r="O119" s="71"/>
      <c r="P119" s="72"/>
      <c r="Q119" s="70"/>
      <c r="R119" s="71"/>
      <c r="S119" s="71"/>
      <c r="T119" s="71"/>
      <c r="U119" s="71"/>
      <c r="V119" s="71"/>
      <c r="W119" s="72"/>
      <c r="X119" s="39"/>
      <c r="Y119" s="39"/>
    </row>
    <row r="120" spans="1:25" ht="15" customHeight="1">
      <c r="A120" s="39"/>
      <c r="B120" s="45" t="str">
        <f t="shared" si="3"/>
        <v/>
      </c>
      <c r="C120" s="64"/>
      <c r="D120" s="65"/>
      <c r="E120" s="65"/>
      <c r="F120" s="65"/>
      <c r="G120" s="65"/>
      <c r="H120" s="65"/>
      <c r="I120" s="66"/>
      <c r="J120" s="70"/>
      <c r="K120" s="71"/>
      <c r="L120" s="71"/>
      <c r="M120" s="71"/>
      <c r="N120" s="71"/>
      <c r="O120" s="71"/>
      <c r="P120" s="72"/>
      <c r="Q120" s="70"/>
      <c r="R120" s="71"/>
      <c r="S120" s="71"/>
      <c r="T120" s="71"/>
      <c r="U120" s="71"/>
      <c r="V120" s="71"/>
      <c r="W120" s="72"/>
      <c r="X120" s="39"/>
      <c r="Y120" s="39"/>
    </row>
    <row r="121" spans="1:25" ht="15" customHeight="1">
      <c r="A121" s="39"/>
      <c r="B121" s="45" t="str">
        <f t="shared" si="3"/>
        <v/>
      </c>
      <c r="C121" s="64"/>
      <c r="D121" s="65"/>
      <c r="E121" s="65"/>
      <c r="F121" s="65"/>
      <c r="G121" s="65"/>
      <c r="H121" s="65"/>
      <c r="I121" s="66"/>
      <c r="J121" s="70"/>
      <c r="K121" s="71"/>
      <c r="L121" s="71"/>
      <c r="M121" s="71"/>
      <c r="N121" s="71"/>
      <c r="O121" s="71"/>
      <c r="P121" s="72"/>
      <c r="Q121" s="70"/>
      <c r="R121" s="71"/>
      <c r="S121" s="71"/>
      <c r="T121" s="71"/>
      <c r="U121" s="71"/>
      <c r="V121" s="71"/>
      <c r="W121" s="72"/>
      <c r="X121" s="39"/>
      <c r="Y121" s="39"/>
    </row>
    <row r="122" spans="1:25" ht="15" customHeight="1">
      <c r="A122" s="39"/>
      <c r="B122" s="45" t="str">
        <f t="shared" si="3"/>
        <v/>
      </c>
      <c r="C122" s="64"/>
      <c r="D122" s="65"/>
      <c r="E122" s="65"/>
      <c r="F122" s="65"/>
      <c r="G122" s="65"/>
      <c r="H122" s="65"/>
      <c r="I122" s="66"/>
      <c r="J122" s="70"/>
      <c r="K122" s="71"/>
      <c r="L122" s="71"/>
      <c r="M122" s="71"/>
      <c r="N122" s="71"/>
      <c r="O122" s="71"/>
      <c r="P122" s="72"/>
      <c r="Q122" s="70"/>
      <c r="R122" s="71"/>
      <c r="S122" s="71"/>
      <c r="T122" s="71"/>
      <c r="U122" s="71"/>
      <c r="V122" s="71"/>
      <c r="W122" s="72"/>
      <c r="X122" s="39"/>
      <c r="Y122" s="39"/>
    </row>
    <row r="123" spans="1:25" ht="15" customHeight="1">
      <c r="A123" s="39"/>
      <c r="B123" s="45" t="str">
        <f t="shared" si="3"/>
        <v/>
      </c>
      <c r="C123" s="64"/>
      <c r="D123" s="65"/>
      <c r="E123" s="65"/>
      <c r="F123" s="65"/>
      <c r="G123" s="65"/>
      <c r="H123" s="65"/>
      <c r="I123" s="66"/>
      <c r="J123" s="70"/>
      <c r="K123" s="71"/>
      <c r="L123" s="71"/>
      <c r="M123" s="71"/>
      <c r="N123" s="71"/>
      <c r="O123" s="71"/>
      <c r="P123" s="72"/>
      <c r="Q123" s="70"/>
      <c r="R123" s="71"/>
      <c r="S123" s="71"/>
      <c r="T123" s="71"/>
      <c r="U123" s="71"/>
      <c r="V123" s="71"/>
      <c r="W123" s="72"/>
      <c r="X123" s="39"/>
      <c r="Y123" s="39"/>
    </row>
    <row r="124" spans="1:25" ht="15" customHeight="1">
      <c r="A124" s="39"/>
      <c r="B124" s="45" t="str">
        <f t="shared" si="3"/>
        <v/>
      </c>
      <c r="C124" s="64"/>
      <c r="D124" s="65"/>
      <c r="E124" s="65"/>
      <c r="F124" s="65"/>
      <c r="G124" s="65"/>
      <c r="H124" s="65"/>
      <c r="I124" s="66"/>
      <c r="J124" s="70"/>
      <c r="K124" s="71"/>
      <c r="L124" s="71"/>
      <c r="M124" s="71"/>
      <c r="N124" s="71"/>
      <c r="O124" s="71"/>
      <c r="P124" s="72"/>
      <c r="Q124" s="70"/>
      <c r="R124" s="71"/>
      <c r="S124" s="71"/>
      <c r="T124" s="71"/>
      <c r="U124" s="71"/>
      <c r="V124" s="71"/>
      <c r="W124" s="72"/>
      <c r="X124" s="39"/>
      <c r="Y124" s="39"/>
    </row>
    <row r="125" spans="1:25" ht="15" customHeight="1">
      <c r="A125" s="39"/>
      <c r="B125" s="45" t="str">
        <f t="shared" si="3"/>
        <v/>
      </c>
      <c r="C125" s="64"/>
      <c r="D125" s="65"/>
      <c r="E125" s="65"/>
      <c r="F125" s="65"/>
      <c r="G125" s="65"/>
      <c r="H125" s="65"/>
      <c r="I125" s="66"/>
      <c r="J125" s="70"/>
      <c r="K125" s="71"/>
      <c r="L125" s="71"/>
      <c r="M125" s="71"/>
      <c r="N125" s="71"/>
      <c r="O125" s="71"/>
      <c r="P125" s="72"/>
      <c r="Q125" s="70"/>
      <c r="R125" s="71"/>
      <c r="S125" s="71"/>
      <c r="T125" s="71"/>
      <c r="U125" s="71"/>
      <c r="V125" s="71"/>
      <c r="W125" s="72"/>
      <c r="X125" s="39"/>
      <c r="Y125" s="39"/>
    </row>
    <row r="126" spans="1:25" ht="15" customHeight="1">
      <c r="A126" s="39"/>
      <c r="B126" s="45" t="str">
        <f t="shared" si="3"/>
        <v/>
      </c>
      <c r="C126" s="64"/>
      <c r="D126" s="65"/>
      <c r="E126" s="65"/>
      <c r="F126" s="65"/>
      <c r="G126" s="65"/>
      <c r="H126" s="65"/>
      <c r="I126" s="66"/>
      <c r="J126" s="70"/>
      <c r="K126" s="71"/>
      <c r="L126" s="71"/>
      <c r="M126" s="71"/>
      <c r="N126" s="71"/>
      <c r="O126" s="71"/>
      <c r="P126" s="72"/>
      <c r="Q126" s="70"/>
      <c r="R126" s="71"/>
      <c r="S126" s="71"/>
      <c r="T126" s="71"/>
      <c r="U126" s="71"/>
      <c r="V126" s="71"/>
      <c r="W126" s="72"/>
      <c r="X126" s="39"/>
      <c r="Y126" s="39"/>
    </row>
    <row r="127" spans="1:25" ht="15" customHeight="1">
      <c r="A127" s="39"/>
      <c r="B127" s="45" t="str">
        <f t="shared" si="3"/>
        <v/>
      </c>
      <c r="C127" s="64"/>
      <c r="D127" s="65"/>
      <c r="E127" s="65"/>
      <c r="F127" s="65"/>
      <c r="G127" s="65"/>
      <c r="H127" s="65"/>
      <c r="I127" s="66"/>
      <c r="J127" s="70"/>
      <c r="K127" s="71"/>
      <c r="L127" s="71"/>
      <c r="M127" s="71"/>
      <c r="N127" s="71"/>
      <c r="O127" s="71"/>
      <c r="P127" s="72"/>
      <c r="Q127" s="70"/>
      <c r="R127" s="71"/>
      <c r="S127" s="71"/>
      <c r="T127" s="71"/>
      <c r="U127" s="71"/>
      <c r="V127" s="71"/>
      <c r="W127" s="72"/>
      <c r="X127" s="39"/>
      <c r="Y127" s="39"/>
    </row>
    <row r="128" spans="1:25" ht="15" customHeight="1">
      <c r="A128" s="39"/>
      <c r="B128" s="45" t="str">
        <f t="shared" si="3"/>
        <v/>
      </c>
      <c r="C128" s="64"/>
      <c r="D128" s="65"/>
      <c r="E128" s="65"/>
      <c r="F128" s="65"/>
      <c r="G128" s="65"/>
      <c r="H128" s="65"/>
      <c r="I128" s="66"/>
      <c r="J128" s="70"/>
      <c r="K128" s="71"/>
      <c r="L128" s="71"/>
      <c r="M128" s="71"/>
      <c r="N128" s="71"/>
      <c r="O128" s="71"/>
      <c r="P128" s="72"/>
      <c r="Q128" s="70"/>
      <c r="R128" s="71"/>
      <c r="S128" s="71"/>
      <c r="T128" s="71"/>
      <c r="U128" s="71"/>
      <c r="V128" s="71"/>
      <c r="W128" s="72"/>
      <c r="X128" s="39"/>
      <c r="Y128" s="39"/>
    </row>
    <row r="129" spans="1:25" ht="15" customHeight="1">
      <c r="A129" s="39"/>
      <c r="B129" s="45" t="str">
        <f t="shared" si="3"/>
        <v/>
      </c>
      <c r="C129" s="64"/>
      <c r="D129" s="65"/>
      <c r="E129" s="65"/>
      <c r="F129" s="65"/>
      <c r="G129" s="65"/>
      <c r="H129" s="65"/>
      <c r="I129" s="66"/>
      <c r="J129" s="70"/>
      <c r="K129" s="71"/>
      <c r="L129" s="71"/>
      <c r="M129" s="71"/>
      <c r="N129" s="71"/>
      <c r="O129" s="71"/>
      <c r="P129" s="72"/>
      <c r="Q129" s="70"/>
      <c r="R129" s="71"/>
      <c r="S129" s="71"/>
      <c r="T129" s="71"/>
      <c r="U129" s="71"/>
      <c r="V129" s="71"/>
      <c r="W129" s="72"/>
      <c r="X129" s="39"/>
      <c r="Y129" s="39"/>
    </row>
    <row r="130" spans="1:25" ht="15" customHeight="1">
      <c r="A130" s="39"/>
      <c r="B130" s="45" t="str">
        <f t="shared" si="3"/>
        <v/>
      </c>
      <c r="C130" s="64"/>
      <c r="D130" s="65"/>
      <c r="E130" s="65"/>
      <c r="F130" s="65"/>
      <c r="G130" s="65"/>
      <c r="H130" s="65"/>
      <c r="I130" s="66"/>
      <c r="J130" s="70"/>
      <c r="K130" s="71"/>
      <c r="L130" s="71"/>
      <c r="M130" s="71"/>
      <c r="N130" s="71"/>
      <c r="O130" s="71"/>
      <c r="P130" s="72"/>
      <c r="Q130" s="70"/>
      <c r="R130" s="71"/>
      <c r="S130" s="71"/>
      <c r="T130" s="71"/>
      <c r="U130" s="71"/>
      <c r="V130" s="71"/>
      <c r="W130" s="72"/>
      <c r="X130" s="39"/>
      <c r="Y130" s="39"/>
    </row>
    <row r="131" spans="1:25" ht="15" customHeight="1">
      <c r="A131" s="39"/>
      <c r="B131" s="45" t="str">
        <f t="shared" si="3"/>
        <v/>
      </c>
      <c r="C131" s="64"/>
      <c r="D131" s="65"/>
      <c r="E131" s="65"/>
      <c r="F131" s="65"/>
      <c r="G131" s="65"/>
      <c r="H131" s="65"/>
      <c r="I131" s="66"/>
      <c r="J131" s="70"/>
      <c r="K131" s="71"/>
      <c r="L131" s="71"/>
      <c r="M131" s="71"/>
      <c r="N131" s="71"/>
      <c r="O131" s="71"/>
      <c r="P131" s="72"/>
      <c r="Q131" s="70"/>
      <c r="R131" s="71"/>
      <c r="S131" s="71"/>
      <c r="T131" s="71"/>
      <c r="U131" s="71"/>
      <c r="V131" s="71"/>
      <c r="W131" s="72"/>
      <c r="X131" s="39"/>
      <c r="Y131" s="39"/>
    </row>
    <row r="132" spans="1:25" ht="15" customHeight="1">
      <c r="A132" s="39"/>
      <c r="B132" s="45" t="str">
        <f t="shared" si="3"/>
        <v/>
      </c>
      <c r="C132" s="64"/>
      <c r="D132" s="65"/>
      <c r="E132" s="65"/>
      <c r="F132" s="65"/>
      <c r="G132" s="65"/>
      <c r="H132" s="65"/>
      <c r="I132" s="66"/>
      <c r="J132" s="70"/>
      <c r="K132" s="71"/>
      <c r="L132" s="71"/>
      <c r="M132" s="71"/>
      <c r="N132" s="71"/>
      <c r="O132" s="71"/>
      <c r="P132" s="72"/>
      <c r="Q132" s="70"/>
      <c r="R132" s="71"/>
      <c r="S132" s="71"/>
      <c r="T132" s="71"/>
      <c r="U132" s="71"/>
      <c r="V132" s="71"/>
      <c r="W132" s="72"/>
      <c r="X132" s="39"/>
      <c r="Y132" s="39"/>
    </row>
    <row r="133" spans="1:25" ht="15" customHeight="1">
      <c r="A133" s="39"/>
      <c r="B133" s="45" t="str">
        <f t="shared" si="3"/>
        <v/>
      </c>
      <c r="C133" s="64"/>
      <c r="D133" s="65"/>
      <c r="E133" s="65"/>
      <c r="F133" s="65"/>
      <c r="G133" s="65"/>
      <c r="H133" s="65"/>
      <c r="I133" s="66"/>
      <c r="J133" s="70"/>
      <c r="K133" s="71"/>
      <c r="L133" s="71"/>
      <c r="M133" s="71"/>
      <c r="N133" s="71"/>
      <c r="O133" s="71"/>
      <c r="P133" s="72"/>
      <c r="Q133" s="70"/>
      <c r="R133" s="71"/>
      <c r="S133" s="71"/>
      <c r="T133" s="71"/>
      <c r="U133" s="71"/>
      <c r="V133" s="71"/>
      <c r="W133" s="72"/>
      <c r="X133" s="39"/>
      <c r="Y133" s="39"/>
    </row>
    <row r="134" spans="1:25" ht="15" customHeight="1">
      <c r="A134" s="39"/>
      <c r="B134" s="45" t="str">
        <f t="shared" si="3"/>
        <v/>
      </c>
      <c r="C134" s="64"/>
      <c r="D134" s="65"/>
      <c r="E134" s="65"/>
      <c r="F134" s="65"/>
      <c r="G134" s="65"/>
      <c r="H134" s="65"/>
      <c r="I134" s="66"/>
      <c r="J134" s="70"/>
      <c r="K134" s="71"/>
      <c r="L134" s="71"/>
      <c r="M134" s="71"/>
      <c r="N134" s="71"/>
      <c r="O134" s="71"/>
      <c r="P134" s="72"/>
      <c r="Q134" s="70"/>
      <c r="R134" s="71"/>
      <c r="S134" s="71"/>
      <c r="T134" s="71"/>
      <c r="U134" s="71"/>
      <c r="V134" s="71"/>
      <c r="W134" s="72"/>
      <c r="X134" s="39"/>
      <c r="Y134" s="39"/>
    </row>
    <row r="135" spans="1:25" ht="15" customHeight="1">
      <c r="A135" s="39"/>
      <c r="B135" s="45" t="str">
        <f t="shared" si="3"/>
        <v/>
      </c>
      <c r="C135" s="64"/>
      <c r="D135" s="65"/>
      <c r="E135" s="65"/>
      <c r="F135" s="65"/>
      <c r="G135" s="65"/>
      <c r="H135" s="65"/>
      <c r="I135" s="66"/>
      <c r="J135" s="70"/>
      <c r="K135" s="71"/>
      <c r="L135" s="71"/>
      <c r="M135" s="71"/>
      <c r="N135" s="71"/>
      <c r="O135" s="71"/>
      <c r="P135" s="72"/>
      <c r="Q135" s="70"/>
      <c r="R135" s="71"/>
      <c r="S135" s="71"/>
      <c r="T135" s="71"/>
      <c r="U135" s="71"/>
      <c r="V135" s="71"/>
      <c r="W135" s="72"/>
      <c r="X135" s="39"/>
      <c r="Y135" s="39"/>
    </row>
    <row r="136" spans="1:25" ht="15" customHeight="1">
      <c r="A136" s="39"/>
      <c r="B136" s="45" t="str">
        <f t="shared" si="3"/>
        <v/>
      </c>
      <c r="C136" s="64"/>
      <c r="D136" s="65"/>
      <c r="E136" s="65"/>
      <c r="F136" s="65"/>
      <c r="G136" s="65"/>
      <c r="H136" s="65"/>
      <c r="I136" s="66"/>
      <c r="J136" s="70"/>
      <c r="K136" s="71"/>
      <c r="L136" s="71"/>
      <c r="M136" s="71"/>
      <c r="N136" s="71"/>
      <c r="O136" s="71"/>
      <c r="P136" s="72"/>
      <c r="Q136" s="70"/>
      <c r="R136" s="71"/>
      <c r="S136" s="71"/>
      <c r="T136" s="71"/>
      <c r="U136" s="71"/>
      <c r="V136" s="71"/>
      <c r="W136" s="72"/>
      <c r="X136" s="39"/>
      <c r="Y136" s="39"/>
    </row>
    <row r="137" spans="1:25" ht="15" customHeight="1">
      <c r="A137" s="39"/>
      <c r="B137" s="45" t="str">
        <f t="shared" si="3"/>
        <v/>
      </c>
      <c r="C137" s="64"/>
      <c r="D137" s="65"/>
      <c r="E137" s="65"/>
      <c r="F137" s="65"/>
      <c r="G137" s="65"/>
      <c r="H137" s="65"/>
      <c r="I137" s="66"/>
      <c r="J137" s="70"/>
      <c r="K137" s="71"/>
      <c r="L137" s="71"/>
      <c r="M137" s="71"/>
      <c r="N137" s="71"/>
      <c r="O137" s="71"/>
      <c r="P137" s="72"/>
      <c r="Q137" s="70"/>
      <c r="R137" s="71"/>
      <c r="S137" s="71"/>
      <c r="T137" s="71"/>
      <c r="U137" s="71"/>
      <c r="V137" s="71"/>
      <c r="W137" s="72"/>
      <c r="X137" s="39"/>
      <c r="Y137" s="39"/>
    </row>
    <row r="138" spans="1:25" ht="15" customHeight="1">
      <c r="A138" s="39"/>
      <c r="B138" s="45" t="str">
        <f t="shared" si="3"/>
        <v/>
      </c>
      <c r="C138" s="64"/>
      <c r="D138" s="65"/>
      <c r="E138" s="65"/>
      <c r="F138" s="65"/>
      <c r="G138" s="65"/>
      <c r="H138" s="65"/>
      <c r="I138" s="66"/>
      <c r="J138" s="70"/>
      <c r="K138" s="71"/>
      <c r="L138" s="71"/>
      <c r="M138" s="71"/>
      <c r="N138" s="71"/>
      <c r="O138" s="71"/>
      <c r="P138" s="72"/>
      <c r="Q138" s="70"/>
      <c r="R138" s="71"/>
      <c r="S138" s="71"/>
      <c r="T138" s="71"/>
      <c r="U138" s="71"/>
      <c r="V138" s="71"/>
      <c r="W138" s="72"/>
      <c r="X138" s="39"/>
      <c r="Y138" s="39"/>
    </row>
    <row r="139" spans="1:25" ht="15" customHeight="1">
      <c r="A139" s="39"/>
      <c r="B139" s="45" t="str">
        <f t="shared" ref="B139:B170" si="4">IF(Start_year+ROW(B139)-ROW($B$11)&gt;End_year,"",Start_year+ROW(B139)-ROW($B$11))</f>
        <v/>
      </c>
      <c r="C139" s="64"/>
      <c r="D139" s="65"/>
      <c r="E139" s="65"/>
      <c r="F139" s="65"/>
      <c r="G139" s="65"/>
      <c r="H139" s="65"/>
      <c r="I139" s="66"/>
      <c r="J139" s="70"/>
      <c r="K139" s="71"/>
      <c r="L139" s="71"/>
      <c r="M139" s="71"/>
      <c r="N139" s="71"/>
      <c r="O139" s="71"/>
      <c r="P139" s="72"/>
      <c r="Q139" s="70"/>
      <c r="R139" s="71"/>
      <c r="S139" s="71"/>
      <c r="T139" s="71"/>
      <c r="U139" s="71"/>
      <c r="V139" s="71"/>
      <c r="W139" s="72"/>
      <c r="X139" s="39"/>
      <c r="Y139" s="39"/>
    </row>
    <row r="140" spans="1:25" ht="15" customHeight="1">
      <c r="A140" s="39"/>
      <c r="B140" s="45" t="str">
        <f t="shared" si="4"/>
        <v/>
      </c>
      <c r="C140" s="64"/>
      <c r="D140" s="65"/>
      <c r="E140" s="65"/>
      <c r="F140" s="65"/>
      <c r="G140" s="65"/>
      <c r="H140" s="65"/>
      <c r="I140" s="66"/>
      <c r="J140" s="70"/>
      <c r="K140" s="71"/>
      <c r="L140" s="71"/>
      <c r="M140" s="71"/>
      <c r="N140" s="71"/>
      <c r="O140" s="71"/>
      <c r="P140" s="72"/>
      <c r="Q140" s="70"/>
      <c r="R140" s="71"/>
      <c r="S140" s="71"/>
      <c r="T140" s="71"/>
      <c r="U140" s="71"/>
      <c r="V140" s="71"/>
      <c r="W140" s="72"/>
      <c r="X140" s="39"/>
      <c r="Y140" s="39"/>
    </row>
    <row r="141" spans="1:25" ht="15" customHeight="1">
      <c r="A141" s="39"/>
      <c r="B141" s="45" t="str">
        <f t="shared" si="4"/>
        <v/>
      </c>
      <c r="C141" s="64"/>
      <c r="D141" s="65"/>
      <c r="E141" s="65"/>
      <c r="F141" s="65"/>
      <c r="G141" s="65"/>
      <c r="H141" s="65"/>
      <c r="I141" s="66"/>
      <c r="J141" s="70"/>
      <c r="K141" s="71"/>
      <c r="L141" s="71"/>
      <c r="M141" s="71"/>
      <c r="N141" s="71"/>
      <c r="O141" s="71"/>
      <c r="P141" s="72"/>
      <c r="Q141" s="70"/>
      <c r="R141" s="71"/>
      <c r="S141" s="71"/>
      <c r="T141" s="71"/>
      <c r="U141" s="71"/>
      <c r="V141" s="71"/>
      <c r="W141" s="72"/>
      <c r="X141" s="39"/>
      <c r="Y141" s="39"/>
    </row>
    <row r="142" spans="1:25" ht="15" customHeight="1">
      <c r="A142" s="39"/>
      <c r="B142" s="45" t="str">
        <f t="shared" si="4"/>
        <v/>
      </c>
      <c r="C142" s="64"/>
      <c r="D142" s="65"/>
      <c r="E142" s="65"/>
      <c r="F142" s="65"/>
      <c r="G142" s="65"/>
      <c r="H142" s="65"/>
      <c r="I142" s="66"/>
      <c r="J142" s="70"/>
      <c r="K142" s="71"/>
      <c r="L142" s="71"/>
      <c r="M142" s="71"/>
      <c r="N142" s="71"/>
      <c r="O142" s="71"/>
      <c r="P142" s="72"/>
      <c r="Q142" s="70"/>
      <c r="R142" s="71"/>
      <c r="S142" s="71"/>
      <c r="T142" s="71"/>
      <c r="U142" s="71"/>
      <c r="V142" s="71"/>
      <c r="W142" s="72"/>
      <c r="X142" s="39"/>
      <c r="Y142" s="39"/>
    </row>
    <row r="143" spans="1:25" ht="15" customHeight="1">
      <c r="A143" s="39"/>
      <c r="B143" s="45" t="str">
        <f t="shared" si="4"/>
        <v/>
      </c>
      <c r="C143" s="64"/>
      <c r="D143" s="65"/>
      <c r="E143" s="65"/>
      <c r="F143" s="65"/>
      <c r="G143" s="65"/>
      <c r="H143" s="65"/>
      <c r="I143" s="66"/>
      <c r="J143" s="70"/>
      <c r="K143" s="71"/>
      <c r="L143" s="71"/>
      <c r="M143" s="71"/>
      <c r="N143" s="71"/>
      <c r="O143" s="71"/>
      <c r="P143" s="72"/>
      <c r="Q143" s="70"/>
      <c r="R143" s="71"/>
      <c r="S143" s="71"/>
      <c r="T143" s="71"/>
      <c r="U143" s="71"/>
      <c r="V143" s="71"/>
      <c r="W143" s="72"/>
      <c r="X143" s="39"/>
      <c r="Y143" s="39"/>
    </row>
    <row r="144" spans="1:25" ht="15" customHeight="1">
      <c r="A144" s="39"/>
      <c r="B144" s="45" t="str">
        <f t="shared" si="4"/>
        <v/>
      </c>
      <c r="C144" s="64"/>
      <c r="D144" s="65"/>
      <c r="E144" s="65"/>
      <c r="F144" s="65"/>
      <c r="G144" s="65"/>
      <c r="H144" s="65"/>
      <c r="I144" s="66"/>
      <c r="J144" s="70"/>
      <c r="K144" s="71"/>
      <c r="L144" s="71"/>
      <c r="M144" s="71"/>
      <c r="N144" s="71"/>
      <c r="O144" s="71"/>
      <c r="P144" s="72"/>
      <c r="Q144" s="70"/>
      <c r="R144" s="71"/>
      <c r="S144" s="71"/>
      <c r="T144" s="71"/>
      <c r="U144" s="71"/>
      <c r="V144" s="71"/>
      <c r="W144" s="72"/>
      <c r="X144" s="39"/>
      <c r="Y144" s="39"/>
    </row>
    <row r="145" spans="1:25" ht="15" customHeight="1">
      <c r="A145" s="39"/>
      <c r="B145" s="45" t="str">
        <f t="shared" si="4"/>
        <v/>
      </c>
      <c r="C145" s="64"/>
      <c r="D145" s="65"/>
      <c r="E145" s="65"/>
      <c r="F145" s="65"/>
      <c r="G145" s="65"/>
      <c r="H145" s="65"/>
      <c r="I145" s="66"/>
      <c r="J145" s="70"/>
      <c r="K145" s="71"/>
      <c r="L145" s="71"/>
      <c r="M145" s="71"/>
      <c r="N145" s="71"/>
      <c r="O145" s="71"/>
      <c r="P145" s="72"/>
      <c r="Q145" s="70"/>
      <c r="R145" s="71"/>
      <c r="S145" s="71"/>
      <c r="T145" s="71"/>
      <c r="U145" s="71"/>
      <c r="V145" s="71"/>
      <c r="W145" s="72"/>
      <c r="X145" s="39"/>
      <c r="Y145" s="39"/>
    </row>
    <row r="146" spans="1:25" ht="15" customHeight="1">
      <c r="A146" s="39"/>
      <c r="B146" s="45" t="str">
        <f t="shared" si="4"/>
        <v/>
      </c>
      <c r="C146" s="64"/>
      <c r="D146" s="65"/>
      <c r="E146" s="65"/>
      <c r="F146" s="65"/>
      <c r="G146" s="65"/>
      <c r="H146" s="65"/>
      <c r="I146" s="66"/>
      <c r="J146" s="70"/>
      <c r="K146" s="71"/>
      <c r="L146" s="71"/>
      <c r="M146" s="71"/>
      <c r="N146" s="71"/>
      <c r="O146" s="71"/>
      <c r="P146" s="72"/>
      <c r="Q146" s="70"/>
      <c r="R146" s="71"/>
      <c r="S146" s="71"/>
      <c r="T146" s="71"/>
      <c r="U146" s="71"/>
      <c r="V146" s="71"/>
      <c r="W146" s="72"/>
      <c r="X146" s="39"/>
      <c r="Y146" s="39"/>
    </row>
    <row r="147" spans="1:25" ht="15" customHeight="1">
      <c r="A147" s="39"/>
      <c r="B147" s="45" t="str">
        <f t="shared" si="4"/>
        <v/>
      </c>
      <c r="C147" s="64"/>
      <c r="D147" s="65"/>
      <c r="E147" s="65"/>
      <c r="F147" s="65"/>
      <c r="G147" s="65"/>
      <c r="H147" s="65"/>
      <c r="I147" s="66"/>
      <c r="J147" s="70"/>
      <c r="K147" s="71"/>
      <c r="L147" s="71"/>
      <c r="M147" s="71"/>
      <c r="N147" s="71"/>
      <c r="O147" s="71"/>
      <c r="P147" s="72"/>
      <c r="Q147" s="70"/>
      <c r="R147" s="71"/>
      <c r="S147" s="71"/>
      <c r="T147" s="71"/>
      <c r="U147" s="71"/>
      <c r="V147" s="71"/>
      <c r="W147" s="72"/>
      <c r="X147" s="39"/>
      <c r="Y147" s="39"/>
    </row>
    <row r="148" spans="1:25" ht="15" customHeight="1">
      <c r="A148" s="39"/>
      <c r="B148" s="45" t="str">
        <f t="shared" si="4"/>
        <v/>
      </c>
      <c r="C148" s="64"/>
      <c r="D148" s="65"/>
      <c r="E148" s="65"/>
      <c r="F148" s="65"/>
      <c r="G148" s="65"/>
      <c r="H148" s="65"/>
      <c r="I148" s="66"/>
      <c r="J148" s="70"/>
      <c r="K148" s="71"/>
      <c r="L148" s="71"/>
      <c r="M148" s="71"/>
      <c r="N148" s="71"/>
      <c r="O148" s="71"/>
      <c r="P148" s="72"/>
      <c r="Q148" s="70"/>
      <c r="R148" s="71"/>
      <c r="S148" s="71"/>
      <c r="T148" s="71"/>
      <c r="U148" s="71"/>
      <c r="V148" s="71"/>
      <c r="W148" s="72"/>
      <c r="X148" s="39"/>
      <c r="Y148" s="39"/>
    </row>
    <row r="149" spans="1:25" ht="15" customHeight="1">
      <c r="A149" s="39"/>
      <c r="B149" s="45" t="str">
        <f t="shared" si="4"/>
        <v/>
      </c>
      <c r="C149" s="64"/>
      <c r="D149" s="65"/>
      <c r="E149" s="65"/>
      <c r="F149" s="65"/>
      <c r="G149" s="65"/>
      <c r="H149" s="65"/>
      <c r="I149" s="66"/>
      <c r="J149" s="70"/>
      <c r="K149" s="71"/>
      <c r="L149" s="71"/>
      <c r="M149" s="71"/>
      <c r="N149" s="71"/>
      <c r="O149" s="71"/>
      <c r="P149" s="72"/>
      <c r="Q149" s="70"/>
      <c r="R149" s="71"/>
      <c r="S149" s="71"/>
      <c r="T149" s="71"/>
      <c r="U149" s="71"/>
      <c r="V149" s="71"/>
      <c r="W149" s="72"/>
      <c r="X149" s="39"/>
      <c r="Y149" s="39"/>
    </row>
    <row r="150" spans="1:25" ht="15" customHeight="1">
      <c r="A150" s="39"/>
      <c r="B150" s="45" t="str">
        <f t="shared" si="4"/>
        <v/>
      </c>
      <c r="C150" s="64"/>
      <c r="D150" s="65"/>
      <c r="E150" s="65"/>
      <c r="F150" s="65"/>
      <c r="G150" s="65"/>
      <c r="H150" s="65"/>
      <c r="I150" s="66"/>
      <c r="J150" s="70"/>
      <c r="K150" s="71"/>
      <c r="L150" s="71"/>
      <c r="M150" s="71"/>
      <c r="N150" s="71"/>
      <c r="O150" s="71"/>
      <c r="P150" s="72"/>
      <c r="Q150" s="70"/>
      <c r="R150" s="71"/>
      <c r="S150" s="71"/>
      <c r="T150" s="71"/>
      <c r="U150" s="71"/>
      <c r="V150" s="71"/>
      <c r="W150" s="72"/>
      <c r="X150" s="39"/>
      <c r="Y150" s="39"/>
    </row>
    <row r="151" spans="1:25" ht="15" customHeight="1">
      <c r="A151" s="39"/>
      <c r="B151" s="45" t="str">
        <f t="shared" si="4"/>
        <v/>
      </c>
      <c r="C151" s="64"/>
      <c r="D151" s="65"/>
      <c r="E151" s="65"/>
      <c r="F151" s="65"/>
      <c r="G151" s="65"/>
      <c r="H151" s="65"/>
      <c r="I151" s="66"/>
      <c r="J151" s="70"/>
      <c r="K151" s="71"/>
      <c r="L151" s="71"/>
      <c r="M151" s="71"/>
      <c r="N151" s="71"/>
      <c r="O151" s="71"/>
      <c r="P151" s="72"/>
      <c r="Q151" s="70"/>
      <c r="R151" s="71"/>
      <c r="S151" s="71"/>
      <c r="T151" s="71"/>
      <c r="U151" s="71"/>
      <c r="V151" s="71"/>
      <c r="W151" s="72"/>
      <c r="X151" s="39"/>
      <c r="Y151" s="39"/>
    </row>
    <row r="152" spans="1:25" ht="15" customHeight="1">
      <c r="A152" s="39"/>
      <c r="B152" s="45" t="str">
        <f t="shared" si="4"/>
        <v/>
      </c>
      <c r="C152" s="64"/>
      <c r="D152" s="65"/>
      <c r="E152" s="65"/>
      <c r="F152" s="65"/>
      <c r="G152" s="65"/>
      <c r="H152" s="65"/>
      <c r="I152" s="66"/>
      <c r="J152" s="70"/>
      <c r="K152" s="71"/>
      <c r="L152" s="71"/>
      <c r="M152" s="71"/>
      <c r="N152" s="71"/>
      <c r="O152" s="71"/>
      <c r="P152" s="72"/>
      <c r="Q152" s="70"/>
      <c r="R152" s="71"/>
      <c r="S152" s="71"/>
      <c r="T152" s="71"/>
      <c r="U152" s="71"/>
      <c r="V152" s="71"/>
      <c r="W152" s="72"/>
      <c r="X152" s="39"/>
      <c r="Y152" s="39"/>
    </row>
    <row r="153" spans="1:25" ht="15" customHeight="1">
      <c r="A153" s="39"/>
      <c r="B153" s="45" t="str">
        <f t="shared" si="4"/>
        <v/>
      </c>
      <c r="C153" s="64"/>
      <c r="D153" s="65"/>
      <c r="E153" s="65"/>
      <c r="F153" s="65"/>
      <c r="G153" s="65"/>
      <c r="H153" s="65"/>
      <c r="I153" s="66"/>
      <c r="J153" s="70"/>
      <c r="K153" s="71"/>
      <c r="L153" s="71"/>
      <c r="M153" s="71"/>
      <c r="N153" s="71"/>
      <c r="O153" s="71"/>
      <c r="P153" s="72"/>
      <c r="Q153" s="70"/>
      <c r="R153" s="71"/>
      <c r="S153" s="71"/>
      <c r="T153" s="71"/>
      <c r="U153" s="71"/>
      <c r="V153" s="71"/>
      <c r="W153" s="72"/>
      <c r="X153" s="39"/>
      <c r="Y153" s="39"/>
    </row>
    <row r="154" spans="1:25" ht="15" customHeight="1">
      <c r="A154" s="39"/>
      <c r="B154" s="45" t="str">
        <f t="shared" si="4"/>
        <v/>
      </c>
      <c r="C154" s="64"/>
      <c r="D154" s="65"/>
      <c r="E154" s="65"/>
      <c r="F154" s="65"/>
      <c r="G154" s="65"/>
      <c r="H154" s="65"/>
      <c r="I154" s="66"/>
      <c r="J154" s="70"/>
      <c r="K154" s="71"/>
      <c r="L154" s="71"/>
      <c r="M154" s="71"/>
      <c r="N154" s="71"/>
      <c r="O154" s="71"/>
      <c r="P154" s="72"/>
      <c r="Q154" s="70"/>
      <c r="R154" s="71"/>
      <c r="S154" s="71"/>
      <c r="T154" s="71"/>
      <c r="U154" s="71"/>
      <c r="V154" s="71"/>
      <c r="W154" s="72"/>
      <c r="X154" s="39"/>
      <c r="Y154" s="39"/>
    </row>
    <row r="155" spans="1:25" ht="15" customHeight="1">
      <c r="A155" s="39"/>
      <c r="B155" s="45" t="str">
        <f t="shared" si="4"/>
        <v/>
      </c>
      <c r="C155" s="64"/>
      <c r="D155" s="65"/>
      <c r="E155" s="65"/>
      <c r="F155" s="65"/>
      <c r="G155" s="65"/>
      <c r="H155" s="65"/>
      <c r="I155" s="66"/>
      <c r="J155" s="70"/>
      <c r="K155" s="71"/>
      <c r="L155" s="71"/>
      <c r="M155" s="71"/>
      <c r="N155" s="71"/>
      <c r="O155" s="71"/>
      <c r="P155" s="72"/>
      <c r="Q155" s="70"/>
      <c r="R155" s="71"/>
      <c r="S155" s="71"/>
      <c r="T155" s="71"/>
      <c r="U155" s="71"/>
      <c r="V155" s="71"/>
      <c r="W155" s="72"/>
      <c r="X155" s="39"/>
      <c r="Y155" s="39"/>
    </row>
    <row r="156" spans="1:25" ht="15" customHeight="1">
      <c r="A156" s="39"/>
      <c r="B156" s="45" t="str">
        <f t="shared" si="4"/>
        <v/>
      </c>
      <c r="C156" s="64"/>
      <c r="D156" s="65"/>
      <c r="E156" s="65"/>
      <c r="F156" s="65"/>
      <c r="G156" s="65"/>
      <c r="H156" s="65"/>
      <c r="I156" s="66"/>
      <c r="J156" s="70"/>
      <c r="K156" s="71"/>
      <c r="L156" s="71"/>
      <c r="M156" s="71"/>
      <c r="N156" s="71"/>
      <c r="O156" s="71"/>
      <c r="P156" s="72"/>
      <c r="Q156" s="70"/>
      <c r="R156" s="71"/>
      <c r="S156" s="71"/>
      <c r="T156" s="71"/>
      <c r="U156" s="71"/>
      <c r="V156" s="71"/>
      <c r="W156" s="72"/>
      <c r="X156" s="39"/>
      <c r="Y156" s="39"/>
    </row>
    <row r="157" spans="1:25" ht="15" customHeight="1">
      <c r="A157" s="39"/>
      <c r="B157" s="45" t="str">
        <f t="shared" si="4"/>
        <v/>
      </c>
      <c r="C157" s="64"/>
      <c r="D157" s="65"/>
      <c r="E157" s="65"/>
      <c r="F157" s="65"/>
      <c r="G157" s="65"/>
      <c r="H157" s="65"/>
      <c r="I157" s="66"/>
      <c r="J157" s="70"/>
      <c r="K157" s="71"/>
      <c r="L157" s="71"/>
      <c r="M157" s="71"/>
      <c r="N157" s="71"/>
      <c r="O157" s="71"/>
      <c r="P157" s="72"/>
      <c r="Q157" s="70"/>
      <c r="R157" s="71"/>
      <c r="S157" s="71"/>
      <c r="T157" s="71"/>
      <c r="U157" s="71"/>
      <c r="V157" s="71"/>
      <c r="W157" s="72"/>
      <c r="X157" s="39"/>
      <c r="Y157" s="39"/>
    </row>
    <row r="158" spans="1:25" ht="15" customHeight="1">
      <c r="A158" s="39"/>
      <c r="B158" s="45" t="str">
        <f t="shared" si="4"/>
        <v/>
      </c>
      <c r="C158" s="64"/>
      <c r="D158" s="65"/>
      <c r="E158" s="65"/>
      <c r="F158" s="65"/>
      <c r="G158" s="65"/>
      <c r="H158" s="65"/>
      <c r="I158" s="66"/>
      <c r="J158" s="70"/>
      <c r="K158" s="71"/>
      <c r="L158" s="71"/>
      <c r="M158" s="71"/>
      <c r="N158" s="71"/>
      <c r="O158" s="71"/>
      <c r="P158" s="72"/>
      <c r="Q158" s="70"/>
      <c r="R158" s="71"/>
      <c r="S158" s="71"/>
      <c r="T158" s="71"/>
      <c r="U158" s="71"/>
      <c r="V158" s="71"/>
      <c r="W158" s="72"/>
      <c r="X158" s="39"/>
      <c r="Y158" s="39"/>
    </row>
    <row r="159" spans="1:25" ht="15" customHeight="1">
      <c r="A159" s="39"/>
      <c r="B159" s="45" t="str">
        <f t="shared" si="4"/>
        <v/>
      </c>
      <c r="C159" s="64"/>
      <c r="D159" s="65"/>
      <c r="E159" s="65"/>
      <c r="F159" s="65"/>
      <c r="G159" s="65"/>
      <c r="H159" s="65"/>
      <c r="I159" s="66"/>
      <c r="J159" s="70"/>
      <c r="K159" s="71"/>
      <c r="L159" s="71"/>
      <c r="M159" s="71"/>
      <c r="N159" s="71"/>
      <c r="O159" s="71"/>
      <c r="P159" s="72"/>
      <c r="Q159" s="70"/>
      <c r="R159" s="71"/>
      <c r="S159" s="71"/>
      <c r="T159" s="71"/>
      <c r="U159" s="71"/>
      <c r="V159" s="71"/>
      <c r="W159" s="72"/>
      <c r="X159" s="39"/>
      <c r="Y159" s="39"/>
    </row>
    <row r="160" spans="1:25" ht="15" customHeight="1">
      <c r="A160" s="39"/>
      <c r="B160" s="45" t="str">
        <f t="shared" si="4"/>
        <v/>
      </c>
      <c r="C160" s="64"/>
      <c r="D160" s="65"/>
      <c r="E160" s="65"/>
      <c r="F160" s="65"/>
      <c r="G160" s="65"/>
      <c r="H160" s="65"/>
      <c r="I160" s="66"/>
      <c r="J160" s="70"/>
      <c r="K160" s="71"/>
      <c r="L160" s="71"/>
      <c r="M160" s="71"/>
      <c r="N160" s="71"/>
      <c r="O160" s="71"/>
      <c r="P160" s="72"/>
      <c r="Q160" s="70"/>
      <c r="R160" s="71"/>
      <c r="S160" s="71"/>
      <c r="T160" s="71"/>
      <c r="U160" s="71"/>
      <c r="V160" s="71"/>
      <c r="W160" s="72"/>
      <c r="X160" s="39"/>
      <c r="Y160" s="39"/>
    </row>
    <row r="161" spans="1:25" ht="15" customHeight="1">
      <c r="A161" s="39"/>
      <c r="B161" s="45" t="str">
        <f t="shared" si="4"/>
        <v/>
      </c>
      <c r="C161" s="64"/>
      <c r="D161" s="65"/>
      <c r="E161" s="65"/>
      <c r="F161" s="65"/>
      <c r="G161" s="65"/>
      <c r="H161" s="65"/>
      <c r="I161" s="66"/>
      <c r="J161" s="70"/>
      <c r="K161" s="71"/>
      <c r="L161" s="71"/>
      <c r="M161" s="71"/>
      <c r="N161" s="71"/>
      <c r="O161" s="71"/>
      <c r="P161" s="72"/>
      <c r="Q161" s="70"/>
      <c r="R161" s="71"/>
      <c r="S161" s="71"/>
      <c r="T161" s="71"/>
      <c r="U161" s="71"/>
      <c r="V161" s="71"/>
      <c r="W161" s="72"/>
      <c r="X161" s="39"/>
      <c r="Y161" s="39"/>
    </row>
    <row r="162" spans="1:25" ht="15" customHeight="1">
      <c r="A162" s="39"/>
      <c r="B162" s="45" t="str">
        <f t="shared" si="4"/>
        <v/>
      </c>
      <c r="C162" s="64"/>
      <c r="D162" s="65"/>
      <c r="E162" s="65"/>
      <c r="F162" s="65"/>
      <c r="G162" s="65"/>
      <c r="H162" s="65"/>
      <c r="I162" s="66"/>
      <c r="J162" s="70"/>
      <c r="K162" s="71"/>
      <c r="L162" s="71"/>
      <c r="M162" s="71"/>
      <c r="N162" s="71"/>
      <c r="O162" s="71"/>
      <c r="P162" s="72"/>
      <c r="Q162" s="70"/>
      <c r="R162" s="71"/>
      <c r="S162" s="71"/>
      <c r="T162" s="71"/>
      <c r="U162" s="71"/>
      <c r="V162" s="71"/>
      <c r="W162" s="72"/>
      <c r="X162" s="39"/>
      <c r="Y162" s="39"/>
    </row>
    <row r="163" spans="1:25" ht="15" customHeight="1">
      <c r="A163" s="39"/>
      <c r="B163" s="45" t="str">
        <f t="shared" si="4"/>
        <v/>
      </c>
      <c r="C163" s="64"/>
      <c r="D163" s="65"/>
      <c r="E163" s="65"/>
      <c r="F163" s="65"/>
      <c r="G163" s="65"/>
      <c r="H163" s="65"/>
      <c r="I163" s="66"/>
      <c r="J163" s="70"/>
      <c r="K163" s="71"/>
      <c r="L163" s="71"/>
      <c r="M163" s="71"/>
      <c r="N163" s="71"/>
      <c r="O163" s="71"/>
      <c r="P163" s="72"/>
      <c r="Q163" s="70"/>
      <c r="R163" s="71"/>
      <c r="S163" s="71"/>
      <c r="T163" s="71"/>
      <c r="U163" s="71"/>
      <c r="V163" s="71"/>
      <c r="W163" s="72"/>
      <c r="X163" s="39"/>
      <c r="Y163" s="39"/>
    </row>
    <row r="164" spans="1:25" ht="15" customHeight="1">
      <c r="A164" s="39"/>
      <c r="B164" s="45" t="str">
        <f t="shared" si="4"/>
        <v/>
      </c>
      <c r="C164" s="64"/>
      <c r="D164" s="65"/>
      <c r="E164" s="65"/>
      <c r="F164" s="65"/>
      <c r="G164" s="65"/>
      <c r="H164" s="65"/>
      <c r="I164" s="66"/>
      <c r="J164" s="70"/>
      <c r="K164" s="71"/>
      <c r="L164" s="71"/>
      <c r="M164" s="71"/>
      <c r="N164" s="71"/>
      <c r="O164" s="71"/>
      <c r="P164" s="72"/>
      <c r="Q164" s="70"/>
      <c r="R164" s="71"/>
      <c r="S164" s="71"/>
      <c r="T164" s="71"/>
      <c r="U164" s="71"/>
      <c r="V164" s="71"/>
      <c r="W164" s="72"/>
      <c r="X164" s="39"/>
      <c r="Y164" s="39"/>
    </row>
    <row r="165" spans="1:25" ht="15" customHeight="1">
      <c r="A165" s="39"/>
      <c r="B165" s="45" t="str">
        <f t="shared" si="4"/>
        <v/>
      </c>
      <c r="C165" s="64"/>
      <c r="D165" s="65"/>
      <c r="E165" s="65"/>
      <c r="F165" s="65"/>
      <c r="G165" s="65"/>
      <c r="H165" s="65"/>
      <c r="I165" s="66"/>
      <c r="J165" s="70"/>
      <c r="K165" s="71"/>
      <c r="L165" s="71"/>
      <c r="M165" s="71"/>
      <c r="N165" s="71"/>
      <c r="O165" s="71"/>
      <c r="P165" s="72"/>
      <c r="Q165" s="70"/>
      <c r="R165" s="71"/>
      <c r="S165" s="71"/>
      <c r="T165" s="71"/>
      <c r="U165" s="71"/>
      <c r="V165" s="71"/>
      <c r="W165" s="72"/>
      <c r="X165" s="39"/>
      <c r="Y165" s="39"/>
    </row>
    <row r="166" spans="1:25" ht="15" customHeight="1">
      <c r="A166" s="39"/>
      <c r="B166" s="45" t="str">
        <f t="shared" si="4"/>
        <v/>
      </c>
      <c r="C166" s="64"/>
      <c r="D166" s="65"/>
      <c r="E166" s="65"/>
      <c r="F166" s="65"/>
      <c r="G166" s="65"/>
      <c r="H166" s="65"/>
      <c r="I166" s="66"/>
      <c r="J166" s="70"/>
      <c r="K166" s="71"/>
      <c r="L166" s="71"/>
      <c r="M166" s="71"/>
      <c r="N166" s="71"/>
      <c r="O166" s="71"/>
      <c r="P166" s="72"/>
      <c r="Q166" s="70"/>
      <c r="R166" s="71"/>
      <c r="S166" s="71"/>
      <c r="T166" s="71"/>
      <c r="U166" s="71"/>
      <c r="V166" s="71"/>
      <c r="W166" s="72"/>
      <c r="X166" s="39"/>
      <c r="Y166" s="39"/>
    </row>
    <row r="167" spans="1:25" ht="15" customHeight="1">
      <c r="A167" s="39"/>
      <c r="B167" s="45" t="str">
        <f t="shared" si="4"/>
        <v/>
      </c>
      <c r="C167" s="64"/>
      <c r="D167" s="65"/>
      <c r="E167" s="65"/>
      <c r="F167" s="65"/>
      <c r="G167" s="65"/>
      <c r="H167" s="65"/>
      <c r="I167" s="66"/>
      <c r="J167" s="70"/>
      <c r="K167" s="71"/>
      <c r="L167" s="71"/>
      <c r="M167" s="71"/>
      <c r="N167" s="71"/>
      <c r="O167" s="71"/>
      <c r="P167" s="72"/>
      <c r="Q167" s="70"/>
      <c r="R167" s="71"/>
      <c r="S167" s="71"/>
      <c r="T167" s="71"/>
      <c r="U167" s="71"/>
      <c r="V167" s="71"/>
      <c r="W167" s="72"/>
      <c r="X167" s="39"/>
      <c r="Y167" s="39"/>
    </row>
    <row r="168" spans="1:25" ht="15" customHeight="1">
      <c r="A168" s="39"/>
      <c r="B168" s="45" t="str">
        <f t="shared" si="4"/>
        <v/>
      </c>
      <c r="C168" s="64"/>
      <c r="D168" s="65"/>
      <c r="E168" s="65"/>
      <c r="F168" s="65"/>
      <c r="G168" s="65"/>
      <c r="H168" s="65"/>
      <c r="I168" s="66"/>
      <c r="J168" s="70"/>
      <c r="K168" s="71"/>
      <c r="L168" s="71"/>
      <c r="M168" s="71"/>
      <c r="N168" s="71"/>
      <c r="O168" s="71"/>
      <c r="P168" s="72"/>
      <c r="Q168" s="70"/>
      <c r="R168" s="71"/>
      <c r="S168" s="71"/>
      <c r="T168" s="71"/>
      <c r="U168" s="71"/>
      <c r="V168" s="71"/>
      <c r="W168" s="72"/>
      <c r="X168" s="39"/>
      <c r="Y168" s="39"/>
    </row>
    <row r="169" spans="1:25" ht="15" customHeight="1">
      <c r="A169" s="39"/>
      <c r="B169" s="45" t="str">
        <f t="shared" si="4"/>
        <v/>
      </c>
      <c r="C169" s="64"/>
      <c r="D169" s="65"/>
      <c r="E169" s="65"/>
      <c r="F169" s="65"/>
      <c r="G169" s="65"/>
      <c r="H169" s="65"/>
      <c r="I169" s="66"/>
      <c r="J169" s="70"/>
      <c r="K169" s="71"/>
      <c r="L169" s="71"/>
      <c r="M169" s="71"/>
      <c r="N169" s="71"/>
      <c r="O169" s="71"/>
      <c r="P169" s="72"/>
      <c r="Q169" s="70"/>
      <c r="R169" s="71"/>
      <c r="S169" s="71"/>
      <c r="T169" s="71"/>
      <c r="U169" s="71"/>
      <c r="V169" s="71"/>
      <c r="W169" s="72"/>
      <c r="X169" s="39"/>
      <c r="Y169" s="39"/>
    </row>
    <row r="170" spans="1:25" ht="15" customHeight="1">
      <c r="A170" s="39"/>
      <c r="B170" s="45" t="str">
        <f t="shared" si="4"/>
        <v/>
      </c>
      <c r="C170" s="64"/>
      <c r="D170" s="65"/>
      <c r="E170" s="65"/>
      <c r="F170" s="65"/>
      <c r="G170" s="65"/>
      <c r="H170" s="65"/>
      <c r="I170" s="66"/>
      <c r="J170" s="70"/>
      <c r="K170" s="71"/>
      <c r="L170" s="71"/>
      <c r="M170" s="71"/>
      <c r="N170" s="71"/>
      <c r="O170" s="71"/>
      <c r="P170" s="72"/>
      <c r="Q170" s="70"/>
      <c r="R170" s="71"/>
      <c r="S170" s="71"/>
      <c r="T170" s="71"/>
      <c r="U170" s="71"/>
      <c r="V170" s="71"/>
      <c r="W170" s="72"/>
      <c r="X170" s="39"/>
      <c r="Y170" s="39"/>
    </row>
    <row r="171" spans="1:25" ht="15" customHeight="1">
      <c r="A171" s="39"/>
      <c r="B171" s="45" t="str">
        <f t="shared" ref="B171:B202" si="5">IF(Start_year+ROW(B171)-ROW($B$11)&gt;End_year,"",Start_year+ROW(B171)-ROW($B$11))</f>
        <v/>
      </c>
      <c r="C171" s="64"/>
      <c r="D171" s="65"/>
      <c r="E171" s="65"/>
      <c r="F171" s="65"/>
      <c r="G171" s="65"/>
      <c r="H171" s="65"/>
      <c r="I171" s="66"/>
      <c r="J171" s="70"/>
      <c r="K171" s="71"/>
      <c r="L171" s="71"/>
      <c r="M171" s="71"/>
      <c r="N171" s="71"/>
      <c r="O171" s="71"/>
      <c r="P171" s="72"/>
      <c r="Q171" s="70"/>
      <c r="R171" s="71"/>
      <c r="S171" s="71"/>
      <c r="T171" s="71"/>
      <c r="U171" s="71"/>
      <c r="V171" s="71"/>
      <c r="W171" s="72"/>
      <c r="X171" s="39"/>
      <c r="Y171" s="39"/>
    </row>
    <row r="172" spans="1:25" ht="15" customHeight="1">
      <c r="A172" s="39"/>
      <c r="B172" s="45" t="str">
        <f t="shared" si="5"/>
        <v/>
      </c>
      <c r="C172" s="64"/>
      <c r="D172" s="65"/>
      <c r="E172" s="65"/>
      <c r="F172" s="65"/>
      <c r="G172" s="65"/>
      <c r="H172" s="65"/>
      <c r="I172" s="66"/>
      <c r="J172" s="70"/>
      <c r="K172" s="71"/>
      <c r="L172" s="71"/>
      <c r="M172" s="71"/>
      <c r="N172" s="71"/>
      <c r="O172" s="71"/>
      <c r="P172" s="72"/>
      <c r="Q172" s="70"/>
      <c r="R172" s="71"/>
      <c r="S172" s="71"/>
      <c r="T172" s="71"/>
      <c r="U172" s="71"/>
      <c r="V172" s="71"/>
      <c r="W172" s="72"/>
      <c r="X172" s="39"/>
      <c r="Y172" s="39"/>
    </row>
    <row r="173" spans="1:25" ht="15" customHeight="1">
      <c r="A173" s="39"/>
      <c r="B173" s="45" t="str">
        <f t="shared" si="5"/>
        <v/>
      </c>
      <c r="C173" s="64"/>
      <c r="D173" s="65"/>
      <c r="E173" s="65"/>
      <c r="F173" s="65"/>
      <c r="G173" s="65"/>
      <c r="H173" s="65"/>
      <c r="I173" s="66"/>
      <c r="J173" s="70"/>
      <c r="K173" s="71"/>
      <c r="L173" s="71"/>
      <c r="M173" s="71"/>
      <c r="N173" s="71"/>
      <c r="O173" s="71"/>
      <c r="P173" s="72"/>
      <c r="Q173" s="70"/>
      <c r="R173" s="71"/>
      <c r="S173" s="71"/>
      <c r="T173" s="71"/>
      <c r="U173" s="71"/>
      <c r="V173" s="71"/>
      <c r="W173" s="72"/>
      <c r="X173" s="39"/>
      <c r="Y173" s="39"/>
    </row>
    <row r="174" spans="1:25" ht="15" customHeight="1">
      <c r="A174" s="39"/>
      <c r="B174" s="45" t="str">
        <f t="shared" si="5"/>
        <v/>
      </c>
      <c r="C174" s="64"/>
      <c r="D174" s="65"/>
      <c r="E174" s="65"/>
      <c r="F174" s="65"/>
      <c r="G174" s="65"/>
      <c r="H174" s="65"/>
      <c r="I174" s="66"/>
      <c r="J174" s="70"/>
      <c r="K174" s="71"/>
      <c r="L174" s="71"/>
      <c r="M174" s="71"/>
      <c r="N174" s="71"/>
      <c r="O174" s="71"/>
      <c r="P174" s="72"/>
      <c r="Q174" s="70"/>
      <c r="R174" s="71"/>
      <c r="S174" s="71"/>
      <c r="T174" s="71"/>
      <c r="U174" s="71"/>
      <c r="V174" s="71"/>
      <c r="W174" s="72"/>
      <c r="X174" s="39"/>
      <c r="Y174" s="39"/>
    </row>
    <row r="175" spans="1:25" ht="15" customHeight="1">
      <c r="A175" s="39"/>
      <c r="B175" s="45" t="str">
        <f t="shared" si="5"/>
        <v/>
      </c>
      <c r="C175" s="64"/>
      <c r="D175" s="65"/>
      <c r="E175" s="65"/>
      <c r="F175" s="65"/>
      <c r="G175" s="65"/>
      <c r="H175" s="65"/>
      <c r="I175" s="66"/>
      <c r="J175" s="70"/>
      <c r="K175" s="71"/>
      <c r="L175" s="71"/>
      <c r="M175" s="71"/>
      <c r="N175" s="71"/>
      <c r="O175" s="71"/>
      <c r="P175" s="72"/>
      <c r="Q175" s="70"/>
      <c r="R175" s="71"/>
      <c r="S175" s="71"/>
      <c r="T175" s="71"/>
      <c r="U175" s="71"/>
      <c r="V175" s="71"/>
      <c r="W175" s="72"/>
      <c r="X175" s="39"/>
      <c r="Y175" s="39"/>
    </row>
    <row r="176" spans="1:25" ht="15" customHeight="1">
      <c r="A176" s="39"/>
      <c r="B176" s="45" t="str">
        <f t="shared" si="5"/>
        <v/>
      </c>
      <c r="C176" s="64"/>
      <c r="D176" s="65"/>
      <c r="E176" s="65"/>
      <c r="F176" s="65"/>
      <c r="G176" s="65"/>
      <c r="H176" s="65"/>
      <c r="I176" s="66"/>
      <c r="J176" s="70"/>
      <c r="K176" s="71"/>
      <c r="L176" s="71"/>
      <c r="M176" s="71"/>
      <c r="N176" s="71"/>
      <c r="O176" s="71"/>
      <c r="P176" s="72"/>
      <c r="Q176" s="70"/>
      <c r="R176" s="71"/>
      <c r="S176" s="71"/>
      <c r="T176" s="71"/>
      <c r="U176" s="71"/>
      <c r="V176" s="71"/>
      <c r="W176" s="72"/>
      <c r="X176" s="39"/>
      <c r="Y176" s="39"/>
    </row>
    <row r="177" spans="1:25" ht="15" customHeight="1">
      <c r="A177" s="39"/>
      <c r="B177" s="45" t="str">
        <f t="shared" si="5"/>
        <v/>
      </c>
      <c r="C177" s="64"/>
      <c r="D177" s="65"/>
      <c r="E177" s="65"/>
      <c r="F177" s="65"/>
      <c r="G177" s="65"/>
      <c r="H177" s="65"/>
      <c r="I177" s="66"/>
      <c r="J177" s="70"/>
      <c r="K177" s="71"/>
      <c r="L177" s="71"/>
      <c r="M177" s="71"/>
      <c r="N177" s="71"/>
      <c r="O177" s="71"/>
      <c r="P177" s="72"/>
      <c r="Q177" s="70"/>
      <c r="R177" s="71"/>
      <c r="S177" s="71"/>
      <c r="T177" s="71"/>
      <c r="U177" s="71"/>
      <c r="V177" s="71"/>
      <c r="W177" s="72"/>
      <c r="X177" s="39"/>
      <c r="Y177" s="39"/>
    </row>
    <row r="178" spans="1:25" ht="15" customHeight="1">
      <c r="A178" s="39"/>
      <c r="B178" s="45" t="str">
        <f t="shared" si="5"/>
        <v/>
      </c>
      <c r="C178" s="64"/>
      <c r="D178" s="65"/>
      <c r="E178" s="65"/>
      <c r="F178" s="65"/>
      <c r="G178" s="65"/>
      <c r="H178" s="65"/>
      <c r="I178" s="66"/>
      <c r="J178" s="70"/>
      <c r="K178" s="71"/>
      <c r="L178" s="71"/>
      <c r="M178" s="71"/>
      <c r="N178" s="71"/>
      <c r="O178" s="71"/>
      <c r="P178" s="72"/>
      <c r="Q178" s="70"/>
      <c r="R178" s="71"/>
      <c r="S178" s="71"/>
      <c r="T178" s="71"/>
      <c r="U178" s="71"/>
      <c r="V178" s="71"/>
      <c r="W178" s="72"/>
      <c r="X178" s="39"/>
      <c r="Y178" s="39"/>
    </row>
    <row r="179" spans="1:25" ht="15" customHeight="1">
      <c r="A179" s="39"/>
      <c r="B179" s="45" t="str">
        <f t="shared" si="5"/>
        <v/>
      </c>
      <c r="C179" s="64"/>
      <c r="D179" s="65"/>
      <c r="E179" s="65"/>
      <c r="F179" s="65"/>
      <c r="G179" s="65"/>
      <c r="H179" s="65"/>
      <c r="I179" s="66"/>
      <c r="J179" s="70"/>
      <c r="K179" s="71"/>
      <c r="L179" s="71"/>
      <c r="M179" s="71"/>
      <c r="N179" s="71"/>
      <c r="O179" s="71"/>
      <c r="P179" s="72"/>
      <c r="Q179" s="70"/>
      <c r="R179" s="71"/>
      <c r="S179" s="71"/>
      <c r="T179" s="71"/>
      <c r="U179" s="71"/>
      <c r="V179" s="71"/>
      <c r="W179" s="72"/>
      <c r="X179" s="39"/>
      <c r="Y179" s="39"/>
    </row>
    <row r="180" spans="1:25" ht="15" customHeight="1">
      <c r="A180" s="39"/>
      <c r="B180" s="45" t="str">
        <f t="shared" si="5"/>
        <v/>
      </c>
      <c r="C180" s="64"/>
      <c r="D180" s="65"/>
      <c r="E180" s="65"/>
      <c r="F180" s="65"/>
      <c r="G180" s="65"/>
      <c r="H180" s="65"/>
      <c r="I180" s="66"/>
      <c r="J180" s="70"/>
      <c r="K180" s="71"/>
      <c r="L180" s="71"/>
      <c r="M180" s="71"/>
      <c r="N180" s="71"/>
      <c r="O180" s="71"/>
      <c r="P180" s="72"/>
      <c r="Q180" s="70"/>
      <c r="R180" s="71"/>
      <c r="S180" s="71"/>
      <c r="T180" s="71"/>
      <c r="U180" s="71"/>
      <c r="V180" s="71"/>
      <c r="W180" s="72"/>
      <c r="X180" s="39"/>
      <c r="Y180" s="39"/>
    </row>
    <row r="181" spans="1:25" ht="15" customHeight="1">
      <c r="A181" s="39"/>
      <c r="B181" s="45" t="str">
        <f t="shared" si="5"/>
        <v/>
      </c>
      <c r="C181" s="64"/>
      <c r="D181" s="65"/>
      <c r="E181" s="65"/>
      <c r="F181" s="65"/>
      <c r="G181" s="65"/>
      <c r="H181" s="65"/>
      <c r="I181" s="66"/>
      <c r="J181" s="70"/>
      <c r="K181" s="71"/>
      <c r="L181" s="71"/>
      <c r="M181" s="71"/>
      <c r="N181" s="71"/>
      <c r="O181" s="71"/>
      <c r="P181" s="72"/>
      <c r="Q181" s="70"/>
      <c r="R181" s="71"/>
      <c r="S181" s="71"/>
      <c r="T181" s="71"/>
      <c r="U181" s="71"/>
      <c r="V181" s="71"/>
      <c r="W181" s="72"/>
      <c r="X181" s="39"/>
      <c r="Y181" s="39"/>
    </row>
    <row r="182" spans="1:25" ht="15" customHeight="1">
      <c r="A182" s="39"/>
      <c r="B182" s="45" t="str">
        <f t="shared" si="5"/>
        <v/>
      </c>
      <c r="C182" s="64"/>
      <c r="D182" s="65"/>
      <c r="E182" s="65"/>
      <c r="F182" s="65"/>
      <c r="G182" s="65"/>
      <c r="H182" s="65"/>
      <c r="I182" s="66"/>
      <c r="J182" s="70"/>
      <c r="K182" s="71"/>
      <c r="L182" s="71"/>
      <c r="M182" s="71"/>
      <c r="N182" s="71"/>
      <c r="O182" s="71"/>
      <c r="P182" s="72"/>
      <c r="Q182" s="70"/>
      <c r="R182" s="71"/>
      <c r="S182" s="71"/>
      <c r="T182" s="71"/>
      <c r="U182" s="71"/>
      <c r="V182" s="71"/>
      <c r="W182" s="72"/>
      <c r="X182" s="39"/>
      <c r="Y182" s="39"/>
    </row>
    <row r="183" spans="1:25" ht="15" customHeight="1">
      <c r="A183" s="39"/>
      <c r="B183" s="45" t="str">
        <f t="shared" si="5"/>
        <v/>
      </c>
      <c r="C183" s="64"/>
      <c r="D183" s="65"/>
      <c r="E183" s="65"/>
      <c r="F183" s="65"/>
      <c r="G183" s="65"/>
      <c r="H183" s="65"/>
      <c r="I183" s="66"/>
      <c r="J183" s="70"/>
      <c r="K183" s="71"/>
      <c r="L183" s="71"/>
      <c r="M183" s="71"/>
      <c r="N183" s="71"/>
      <c r="O183" s="71"/>
      <c r="P183" s="72"/>
      <c r="Q183" s="70"/>
      <c r="R183" s="71"/>
      <c r="S183" s="71"/>
      <c r="T183" s="71"/>
      <c r="U183" s="71"/>
      <c r="V183" s="71"/>
      <c r="W183" s="72"/>
      <c r="X183" s="39"/>
      <c r="Y183" s="39"/>
    </row>
    <row r="184" spans="1:25" ht="15" customHeight="1">
      <c r="A184" s="39"/>
      <c r="B184" s="45" t="str">
        <f t="shared" si="5"/>
        <v/>
      </c>
      <c r="C184" s="64"/>
      <c r="D184" s="65"/>
      <c r="E184" s="65"/>
      <c r="F184" s="65"/>
      <c r="G184" s="65"/>
      <c r="H184" s="65"/>
      <c r="I184" s="66"/>
      <c r="J184" s="70"/>
      <c r="K184" s="71"/>
      <c r="L184" s="71"/>
      <c r="M184" s="71"/>
      <c r="N184" s="71"/>
      <c r="O184" s="71"/>
      <c r="P184" s="72"/>
      <c r="Q184" s="70"/>
      <c r="R184" s="71"/>
      <c r="S184" s="71"/>
      <c r="T184" s="71"/>
      <c r="U184" s="71"/>
      <c r="V184" s="71"/>
      <c r="W184" s="72"/>
      <c r="X184" s="39"/>
      <c r="Y184" s="39"/>
    </row>
    <row r="185" spans="1:25" ht="15" customHeight="1">
      <c r="A185" s="39"/>
      <c r="B185" s="45" t="str">
        <f t="shared" si="5"/>
        <v/>
      </c>
      <c r="C185" s="64"/>
      <c r="D185" s="65"/>
      <c r="E185" s="65"/>
      <c r="F185" s="65"/>
      <c r="G185" s="65"/>
      <c r="H185" s="65"/>
      <c r="I185" s="66"/>
      <c r="J185" s="70"/>
      <c r="K185" s="71"/>
      <c r="L185" s="71"/>
      <c r="M185" s="71"/>
      <c r="N185" s="71"/>
      <c r="O185" s="71"/>
      <c r="P185" s="72"/>
      <c r="Q185" s="70"/>
      <c r="R185" s="71"/>
      <c r="S185" s="71"/>
      <c r="T185" s="71"/>
      <c r="U185" s="71"/>
      <c r="V185" s="71"/>
      <c r="W185" s="72"/>
      <c r="X185" s="39"/>
      <c r="Y185" s="39"/>
    </row>
    <row r="186" spans="1:25" ht="15" customHeight="1">
      <c r="A186" s="39"/>
      <c r="B186" s="45" t="str">
        <f t="shared" si="5"/>
        <v/>
      </c>
      <c r="C186" s="64"/>
      <c r="D186" s="65"/>
      <c r="E186" s="65"/>
      <c r="F186" s="65"/>
      <c r="G186" s="65"/>
      <c r="H186" s="65"/>
      <c r="I186" s="66"/>
      <c r="J186" s="70"/>
      <c r="K186" s="71"/>
      <c r="L186" s="71"/>
      <c r="M186" s="71"/>
      <c r="N186" s="71"/>
      <c r="O186" s="71"/>
      <c r="P186" s="72"/>
      <c r="Q186" s="70"/>
      <c r="R186" s="71"/>
      <c r="S186" s="71"/>
      <c r="T186" s="71"/>
      <c r="U186" s="71"/>
      <c r="V186" s="71"/>
      <c r="W186" s="72"/>
      <c r="X186" s="39"/>
      <c r="Y186" s="39"/>
    </row>
    <row r="187" spans="1:25" ht="15" customHeight="1">
      <c r="A187" s="39"/>
      <c r="B187" s="45" t="str">
        <f t="shared" si="5"/>
        <v/>
      </c>
      <c r="C187" s="64"/>
      <c r="D187" s="65"/>
      <c r="E187" s="65"/>
      <c r="F187" s="65"/>
      <c r="G187" s="65"/>
      <c r="H187" s="65"/>
      <c r="I187" s="66"/>
      <c r="J187" s="70"/>
      <c r="K187" s="71"/>
      <c r="L187" s="71"/>
      <c r="M187" s="71"/>
      <c r="N187" s="71"/>
      <c r="O187" s="71"/>
      <c r="P187" s="72"/>
      <c r="Q187" s="70"/>
      <c r="R187" s="71"/>
      <c r="S187" s="71"/>
      <c r="T187" s="71"/>
      <c r="U187" s="71"/>
      <c r="V187" s="71"/>
      <c r="W187" s="72"/>
      <c r="X187" s="39"/>
      <c r="Y187" s="39"/>
    </row>
    <row r="188" spans="1:25" ht="15" customHeight="1">
      <c r="A188" s="39"/>
      <c r="B188" s="45" t="str">
        <f t="shared" si="5"/>
        <v/>
      </c>
      <c r="C188" s="64"/>
      <c r="D188" s="65"/>
      <c r="E188" s="65"/>
      <c r="F188" s="65"/>
      <c r="G188" s="65"/>
      <c r="H188" s="65"/>
      <c r="I188" s="66"/>
      <c r="J188" s="70"/>
      <c r="K188" s="71"/>
      <c r="L188" s="71"/>
      <c r="M188" s="71"/>
      <c r="N188" s="71"/>
      <c r="O188" s="71"/>
      <c r="P188" s="72"/>
      <c r="Q188" s="70"/>
      <c r="R188" s="71"/>
      <c r="S188" s="71"/>
      <c r="T188" s="71"/>
      <c r="U188" s="71"/>
      <c r="V188" s="71"/>
      <c r="W188" s="72"/>
      <c r="X188" s="39"/>
      <c r="Y188" s="39"/>
    </row>
    <row r="189" spans="1:25" ht="15" customHeight="1">
      <c r="A189" s="39"/>
      <c r="B189" s="45" t="str">
        <f t="shared" si="5"/>
        <v/>
      </c>
      <c r="C189" s="64"/>
      <c r="D189" s="65"/>
      <c r="E189" s="65"/>
      <c r="F189" s="65"/>
      <c r="G189" s="65"/>
      <c r="H189" s="65"/>
      <c r="I189" s="66"/>
      <c r="J189" s="70"/>
      <c r="K189" s="71"/>
      <c r="L189" s="71"/>
      <c r="M189" s="71"/>
      <c r="N189" s="71"/>
      <c r="O189" s="71"/>
      <c r="P189" s="72"/>
      <c r="Q189" s="70"/>
      <c r="R189" s="71"/>
      <c r="S189" s="71"/>
      <c r="T189" s="71"/>
      <c r="U189" s="71"/>
      <c r="V189" s="71"/>
      <c r="W189" s="72"/>
      <c r="X189" s="39"/>
      <c r="Y189" s="39"/>
    </row>
    <row r="190" spans="1:25" ht="15" customHeight="1">
      <c r="A190" s="39"/>
      <c r="B190" s="45" t="str">
        <f t="shared" si="5"/>
        <v/>
      </c>
      <c r="C190" s="64"/>
      <c r="D190" s="65"/>
      <c r="E190" s="65"/>
      <c r="F190" s="65"/>
      <c r="G190" s="65"/>
      <c r="H190" s="65"/>
      <c r="I190" s="66"/>
      <c r="J190" s="70"/>
      <c r="K190" s="71"/>
      <c r="L190" s="71"/>
      <c r="M190" s="71"/>
      <c r="N190" s="71"/>
      <c r="O190" s="71"/>
      <c r="P190" s="72"/>
      <c r="Q190" s="70"/>
      <c r="R190" s="71"/>
      <c r="S190" s="71"/>
      <c r="T190" s="71"/>
      <c r="U190" s="71"/>
      <c r="V190" s="71"/>
      <c r="W190" s="72"/>
      <c r="X190" s="39"/>
      <c r="Y190" s="39"/>
    </row>
    <row r="191" spans="1:25" ht="15" customHeight="1">
      <c r="A191" s="39"/>
      <c r="B191" s="45" t="str">
        <f t="shared" si="5"/>
        <v/>
      </c>
      <c r="C191" s="64"/>
      <c r="D191" s="65"/>
      <c r="E191" s="65"/>
      <c r="F191" s="65"/>
      <c r="G191" s="65"/>
      <c r="H191" s="65"/>
      <c r="I191" s="66"/>
      <c r="J191" s="70"/>
      <c r="K191" s="71"/>
      <c r="L191" s="71"/>
      <c r="M191" s="71"/>
      <c r="N191" s="71"/>
      <c r="O191" s="71"/>
      <c r="P191" s="72"/>
      <c r="Q191" s="70"/>
      <c r="R191" s="71"/>
      <c r="S191" s="71"/>
      <c r="T191" s="71"/>
      <c r="U191" s="71"/>
      <c r="V191" s="71"/>
      <c r="W191" s="72"/>
      <c r="X191" s="39"/>
      <c r="Y191" s="39"/>
    </row>
    <row r="192" spans="1:25" ht="15" customHeight="1">
      <c r="A192" s="39"/>
      <c r="B192" s="45" t="str">
        <f t="shared" si="5"/>
        <v/>
      </c>
      <c r="C192" s="64"/>
      <c r="D192" s="65"/>
      <c r="E192" s="65"/>
      <c r="F192" s="65"/>
      <c r="G192" s="65"/>
      <c r="H192" s="65"/>
      <c r="I192" s="66"/>
      <c r="J192" s="70"/>
      <c r="K192" s="71"/>
      <c r="L192" s="71"/>
      <c r="M192" s="71"/>
      <c r="N192" s="71"/>
      <c r="O192" s="71"/>
      <c r="P192" s="72"/>
      <c r="Q192" s="70"/>
      <c r="R192" s="71"/>
      <c r="S192" s="71"/>
      <c r="T192" s="71"/>
      <c r="U192" s="71"/>
      <c r="V192" s="71"/>
      <c r="W192" s="72"/>
      <c r="X192" s="39"/>
      <c r="Y192" s="39"/>
    </row>
    <row r="193" spans="1:25" ht="15" customHeight="1">
      <c r="A193" s="39"/>
      <c r="B193" s="45" t="str">
        <f t="shared" si="5"/>
        <v/>
      </c>
      <c r="C193" s="64"/>
      <c r="D193" s="65"/>
      <c r="E193" s="65"/>
      <c r="F193" s="65"/>
      <c r="G193" s="65"/>
      <c r="H193" s="65"/>
      <c r="I193" s="66"/>
      <c r="J193" s="70"/>
      <c r="K193" s="71"/>
      <c r="L193" s="71"/>
      <c r="M193" s="71"/>
      <c r="N193" s="71"/>
      <c r="O193" s="71"/>
      <c r="P193" s="72"/>
      <c r="Q193" s="70"/>
      <c r="R193" s="71"/>
      <c r="S193" s="71"/>
      <c r="T193" s="71"/>
      <c r="U193" s="71"/>
      <c r="V193" s="71"/>
      <c r="W193" s="72"/>
      <c r="X193" s="39"/>
      <c r="Y193" s="39"/>
    </row>
    <row r="194" spans="1:25" ht="15" customHeight="1">
      <c r="A194" s="39"/>
      <c r="B194" s="45" t="str">
        <f t="shared" si="5"/>
        <v/>
      </c>
      <c r="C194" s="64"/>
      <c r="D194" s="65"/>
      <c r="E194" s="65"/>
      <c r="F194" s="65"/>
      <c r="G194" s="65"/>
      <c r="H194" s="65"/>
      <c r="I194" s="66"/>
      <c r="J194" s="70"/>
      <c r="K194" s="71"/>
      <c r="L194" s="71"/>
      <c r="M194" s="71"/>
      <c r="N194" s="71"/>
      <c r="O194" s="71"/>
      <c r="P194" s="72"/>
      <c r="Q194" s="70"/>
      <c r="R194" s="71"/>
      <c r="S194" s="71"/>
      <c r="T194" s="71"/>
      <c r="U194" s="71"/>
      <c r="V194" s="71"/>
      <c r="W194" s="72"/>
      <c r="X194" s="39"/>
      <c r="Y194" s="39"/>
    </row>
    <row r="195" spans="1:25" ht="15" customHeight="1">
      <c r="A195" s="39"/>
      <c r="B195" s="45" t="str">
        <f t="shared" si="5"/>
        <v/>
      </c>
      <c r="C195" s="64"/>
      <c r="D195" s="65"/>
      <c r="E195" s="65"/>
      <c r="F195" s="65"/>
      <c r="G195" s="65"/>
      <c r="H195" s="65"/>
      <c r="I195" s="66"/>
      <c r="J195" s="70"/>
      <c r="K195" s="71"/>
      <c r="L195" s="71"/>
      <c r="M195" s="71"/>
      <c r="N195" s="71"/>
      <c r="O195" s="71"/>
      <c r="P195" s="72"/>
      <c r="Q195" s="70"/>
      <c r="R195" s="71"/>
      <c r="S195" s="71"/>
      <c r="T195" s="71"/>
      <c r="U195" s="71"/>
      <c r="V195" s="71"/>
      <c r="W195" s="72"/>
      <c r="X195" s="39"/>
      <c r="Y195" s="39"/>
    </row>
    <row r="196" spans="1:25" ht="15" customHeight="1">
      <c r="A196" s="39"/>
      <c r="B196" s="45" t="str">
        <f t="shared" si="5"/>
        <v/>
      </c>
      <c r="C196" s="64"/>
      <c r="D196" s="65"/>
      <c r="E196" s="65"/>
      <c r="F196" s="65"/>
      <c r="G196" s="65"/>
      <c r="H196" s="65"/>
      <c r="I196" s="66"/>
      <c r="J196" s="70"/>
      <c r="K196" s="71"/>
      <c r="L196" s="71"/>
      <c r="M196" s="71"/>
      <c r="N196" s="71"/>
      <c r="O196" s="71"/>
      <c r="P196" s="72"/>
      <c r="Q196" s="70"/>
      <c r="R196" s="71"/>
      <c r="S196" s="71"/>
      <c r="T196" s="71"/>
      <c r="U196" s="71"/>
      <c r="V196" s="71"/>
      <c r="W196" s="72"/>
      <c r="X196" s="39"/>
      <c r="Y196" s="39"/>
    </row>
    <row r="197" spans="1:25" ht="15" customHeight="1">
      <c r="A197" s="39"/>
      <c r="B197" s="45" t="str">
        <f t="shared" si="5"/>
        <v/>
      </c>
      <c r="C197" s="64"/>
      <c r="D197" s="65"/>
      <c r="E197" s="65"/>
      <c r="F197" s="65"/>
      <c r="G197" s="65"/>
      <c r="H197" s="65"/>
      <c r="I197" s="66"/>
      <c r="J197" s="70"/>
      <c r="K197" s="71"/>
      <c r="L197" s="71"/>
      <c r="M197" s="71"/>
      <c r="N197" s="71"/>
      <c r="O197" s="71"/>
      <c r="P197" s="72"/>
      <c r="Q197" s="70"/>
      <c r="R197" s="71"/>
      <c r="S197" s="71"/>
      <c r="T197" s="71"/>
      <c r="U197" s="71"/>
      <c r="V197" s="71"/>
      <c r="W197" s="72"/>
      <c r="X197" s="39"/>
      <c r="Y197" s="39"/>
    </row>
    <row r="198" spans="1:25" ht="15" customHeight="1">
      <c r="A198" s="39"/>
      <c r="B198" s="45" t="str">
        <f t="shared" si="5"/>
        <v/>
      </c>
      <c r="C198" s="64"/>
      <c r="D198" s="65"/>
      <c r="E198" s="65"/>
      <c r="F198" s="65"/>
      <c r="G198" s="65"/>
      <c r="H198" s="65"/>
      <c r="I198" s="66"/>
      <c r="J198" s="70"/>
      <c r="K198" s="71"/>
      <c r="L198" s="71"/>
      <c r="M198" s="71"/>
      <c r="N198" s="71"/>
      <c r="O198" s="71"/>
      <c r="P198" s="72"/>
      <c r="Q198" s="70"/>
      <c r="R198" s="71"/>
      <c r="S198" s="71"/>
      <c r="T198" s="71"/>
      <c r="U198" s="71"/>
      <c r="V198" s="71"/>
      <c r="W198" s="72"/>
      <c r="X198" s="39"/>
      <c r="Y198" s="39"/>
    </row>
    <row r="199" spans="1:25" ht="15" customHeight="1">
      <c r="A199" s="39"/>
      <c r="B199" s="45" t="str">
        <f t="shared" si="5"/>
        <v/>
      </c>
      <c r="C199" s="64"/>
      <c r="D199" s="65"/>
      <c r="E199" s="65"/>
      <c r="F199" s="65"/>
      <c r="G199" s="65"/>
      <c r="H199" s="65"/>
      <c r="I199" s="66"/>
      <c r="J199" s="70"/>
      <c r="K199" s="71"/>
      <c r="L199" s="71"/>
      <c r="M199" s="71"/>
      <c r="N199" s="71"/>
      <c r="O199" s="71"/>
      <c r="P199" s="72"/>
      <c r="Q199" s="70"/>
      <c r="R199" s="71"/>
      <c r="S199" s="71"/>
      <c r="T199" s="71"/>
      <c r="U199" s="71"/>
      <c r="V199" s="71"/>
      <c r="W199" s="72"/>
      <c r="X199" s="39"/>
      <c r="Y199" s="39"/>
    </row>
    <row r="200" spans="1:25" ht="15" customHeight="1">
      <c r="A200" s="39"/>
      <c r="B200" s="45" t="str">
        <f t="shared" si="5"/>
        <v/>
      </c>
      <c r="C200" s="64"/>
      <c r="D200" s="65"/>
      <c r="E200" s="65"/>
      <c r="F200" s="65"/>
      <c r="G200" s="65"/>
      <c r="H200" s="65"/>
      <c r="I200" s="66"/>
      <c r="J200" s="70"/>
      <c r="K200" s="71"/>
      <c r="L200" s="71"/>
      <c r="M200" s="71"/>
      <c r="N200" s="71"/>
      <c r="O200" s="71"/>
      <c r="P200" s="72"/>
      <c r="Q200" s="70"/>
      <c r="R200" s="71"/>
      <c r="S200" s="71"/>
      <c r="T200" s="71"/>
      <c r="U200" s="71"/>
      <c r="V200" s="71"/>
      <c r="W200" s="72"/>
      <c r="X200" s="39"/>
      <c r="Y200" s="39"/>
    </row>
    <row r="201" spans="1:25" ht="15" customHeight="1">
      <c r="A201" s="39"/>
      <c r="B201" s="45" t="str">
        <f t="shared" si="5"/>
        <v/>
      </c>
      <c r="C201" s="64"/>
      <c r="D201" s="65"/>
      <c r="E201" s="65"/>
      <c r="F201" s="65"/>
      <c r="G201" s="65"/>
      <c r="H201" s="65"/>
      <c r="I201" s="66"/>
      <c r="J201" s="70"/>
      <c r="K201" s="71"/>
      <c r="L201" s="71"/>
      <c r="M201" s="71"/>
      <c r="N201" s="71"/>
      <c r="O201" s="71"/>
      <c r="P201" s="72"/>
      <c r="Q201" s="70"/>
      <c r="R201" s="71"/>
      <c r="S201" s="71"/>
      <c r="T201" s="71"/>
      <c r="U201" s="71"/>
      <c r="V201" s="71"/>
      <c r="W201" s="72"/>
      <c r="X201" s="39"/>
      <c r="Y201" s="39"/>
    </row>
    <row r="202" spans="1:25" ht="15" customHeight="1">
      <c r="A202" s="39"/>
      <c r="B202" s="45" t="str">
        <f t="shared" si="5"/>
        <v/>
      </c>
      <c r="C202" s="64"/>
      <c r="D202" s="65"/>
      <c r="E202" s="65"/>
      <c r="F202" s="65"/>
      <c r="G202" s="65"/>
      <c r="H202" s="65"/>
      <c r="I202" s="66"/>
      <c r="J202" s="70"/>
      <c r="K202" s="71"/>
      <c r="L202" s="71"/>
      <c r="M202" s="71"/>
      <c r="N202" s="71"/>
      <c r="O202" s="71"/>
      <c r="P202" s="72"/>
      <c r="Q202" s="70"/>
      <c r="R202" s="71"/>
      <c r="S202" s="71"/>
      <c r="T202" s="71"/>
      <c r="U202" s="71"/>
      <c r="V202" s="71"/>
      <c r="W202" s="72"/>
      <c r="X202" s="39"/>
      <c r="Y202" s="39"/>
    </row>
    <row r="203" spans="1:25" ht="15" customHeight="1">
      <c r="A203" s="39"/>
      <c r="B203" s="45" t="str">
        <f t="shared" ref="B203:B210" si="6">IF(Start_year+ROW(B203)-ROW($B$11)&gt;End_year,"",Start_year+ROW(B203)-ROW($B$11))</f>
        <v/>
      </c>
      <c r="C203" s="64"/>
      <c r="D203" s="65"/>
      <c r="E203" s="65"/>
      <c r="F203" s="65"/>
      <c r="G203" s="65"/>
      <c r="H203" s="65"/>
      <c r="I203" s="66"/>
      <c r="J203" s="70"/>
      <c r="K203" s="71"/>
      <c r="L203" s="71"/>
      <c r="M203" s="71"/>
      <c r="N203" s="71"/>
      <c r="O203" s="71"/>
      <c r="P203" s="72"/>
      <c r="Q203" s="70"/>
      <c r="R203" s="71"/>
      <c r="S203" s="71"/>
      <c r="T203" s="71"/>
      <c r="U203" s="71"/>
      <c r="V203" s="71"/>
      <c r="W203" s="72"/>
      <c r="X203" s="39"/>
      <c r="Y203" s="39"/>
    </row>
    <row r="204" spans="1:25" ht="15" customHeight="1">
      <c r="A204" s="39"/>
      <c r="B204" s="45" t="str">
        <f t="shared" si="6"/>
        <v/>
      </c>
      <c r="C204" s="64"/>
      <c r="D204" s="65"/>
      <c r="E204" s="65"/>
      <c r="F204" s="65"/>
      <c r="G204" s="65"/>
      <c r="H204" s="65"/>
      <c r="I204" s="66"/>
      <c r="J204" s="70"/>
      <c r="K204" s="71"/>
      <c r="L204" s="71"/>
      <c r="M204" s="71"/>
      <c r="N204" s="71"/>
      <c r="O204" s="71"/>
      <c r="P204" s="72"/>
      <c r="Q204" s="70"/>
      <c r="R204" s="71"/>
      <c r="S204" s="71"/>
      <c r="T204" s="71"/>
      <c r="U204" s="71"/>
      <c r="V204" s="71"/>
      <c r="W204" s="72"/>
      <c r="X204" s="39"/>
      <c r="Y204" s="39"/>
    </row>
    <row r="205" spans="1:25" ht="15" customHeight="1">
      <c r="A205" s="39"/>
      <c r="B205" s="45" t="str">
        <f t="shared" si="6"/>
        <v/>
      </c>
      <c r="C205" s="64"/>
      <c r="D205" s="65"/>
      <c r="E205" s="65"/>
      <c r="F205" s="65"/>
      <c r="G205" s="65"/>
      <c r="H205" s="65"/>
      <c r="I205" s="66"/>
      <c r="J205" s="70"/>
      <c r="K205" s="71"/>
      <c r="L205" s="71"/>
      <c r="M205" s="71"/>
      <c r="N205" s="71"/>
      <c r="O205" s="71"/>
      <c r="P205" s="72"/>
      <c r="Q205" s="70"/>
      <c r="R205" s="71"/>
      <c r="S205" s="71"/>
      <c r="T205" s="71"/>
      <c r="U205" s="71"/>
      <c r="V205" s="71"/>
      <c r="W205" s="72"/>
      <c r="X205" s="39"/>
      <c r="Y205" s="39"/>
    </row>
    <row r="206" spans="1:25" ht="15" customHeight="1">
      <c r="A206" s="39"/>
      <c r="B206" s="45" t="str">
        <f t="shared" si="6"/>
        <v/>
      </c>
      <c r="C206" s="64"/>
      <c r="D206" s="65"/>
      <c r="E206" s="65"/>
      <c r="F206" s="65"/>
      <c r="G206" s="65"/>
      <c r="H206" s="65"/>
      <c r="I206" s="66"/>
      <c r="J206" s="70"/>
      <c r="K206" s="71"/>
      <c r="L206" s="71"/>
      <c r="M206" s="71"/>
      <c r="N206" s="71"/>
      <c r="O206" s="71"/>
      <c r="P206" s="72"/>
      <c r="Q206" s="70"/>
      <c r="R206" s="71"/>
      <c r="S206" s="71"/>
      <c r="T206" s="71"/>
      <c r="U206" s="71"/>
      <c r="V206" s="71"/>
      <c r="W206" s="72"/>
      <c r="X206" s="39"/>
      <c r="Y206" s="39"/>
    </row>
    <row r="207" spans="1:25" ht="15" customHeight="1">
      <c r="A207" s="39"/>
      <c r="B207" s="45" t="str">
        <f t="shared" si="6"/>
        <v/>
      </c>
      <c r="C207" s="64"/>
      <c r="D207" s="65"/>
      <c r="E207" s="65"/>
      <c r="F207" s="65"/>
      <c r="G207" s="65"/>
      <c r="H207" s="65"/>
      <c r="I207" s="66"/>
      <c r="J207" s="70"/>
      <c r="K207" s="71"/>
      <c r="L207" s="71"/>
      <c r="M207" s="71"/>
      <c r="N207" s="71"/>
      <c r="O207" s="71"/>
      <c r="P207" s="72"/>
      <c r="Q207" s="70"/>
      <c r="R207" s="71"/>
      <c r="S207" s="71"/>
      <c r="T207" s="71"/>
      <c r="U207" s="71"/>
      <c r="V207" s="71"/>
      <c r="W207" s="72"/>
      <c r="X207" s="39"/>
      <c r="Y207" s="39"/>
    </row>
    <row r="208" spans="1:25" ht="15" customHeight="1">
      <c r="A208" s="39"/>
      <c r="B208" s="45" t="str">
        <f t="shared" si="6"/>
        <v/>
      </c>
      <c r="C208" s="64"/>
      <c r="D208" s="65"/>
      <c r="E208" s="65"/>
      <c r="F208" s="65"/>
      <c r="G208" s="65"/>
      <c r="H208" s="65"/>
      <c r="I208" s="66"/>
      <c r="J208" s="70"/>
      <c r="K208" s="71"/>
      <c r="L208" s="71"/>
      <c r="M208" s="71"/>
      <c r="N208" s="71"/>
      <c r="O208" s="71"/>
      <c r="P208" s="72"/>
      <c r="Q208" s="70"/>
      <c r="R208" s="71"/>
      <c r="S208" s="71"/>
      <c r="T208" s="71"/>
      <c r="U208" s="71"/>
      <c r="V208" s="71"/>
      <c r="W208" s="72"/>
      <c r="X208" s="39"/>
      <c r="Y208" s="39"/>
    </row>
    <row r="209" spans="1:25" ht="15" customHeight="1">
      <c r="A209" s="39"/>
      <c r="B209" s="45" t="str">
        <f t="shared" si="6"/>
        <v/>
      </c>
      <c r="C209" s="64"/>
      <c r="D209" s="65"/>
      <c r="E209" s="65"/>
      <c r="F209" s="65"/>
      <c r="G209" s="65"/>
      <c r="H209" s="65"/>
      <c r="I209" s="66"/>
      <c r="J209" s="70"/>
      <c r="K209" s="71"/>
      <c r="L209" s="71"/>
      <c r="M209" s="71"/>
      <c r="N209" s="71"/>
      <c r="O209" s="71"/>
      <c r="P209" s="72"/>
      <c r="Q209" s="70"/>
      <c r="R209" s="71"/>
      <c r="S209" s="71"/>
      <c r="T209" s="71"/>
      <c r="U209" s="71"/>
      <c r="V209" s="71"/>
      <c r="W209" s="72"/>
      <c r="X209" s="39"/>
      <c r="Y209" s="39"/>
    </row>
    <row r="210" spans="1:25" ht="15" customHeight="1" thickBot="1">
      <c r="A210" s="39"/>
      <c r="B210" s="45" t="str">
        <f t="shared" si="6"/>
        <v/>
      </c>
      <c r="C210" s="73"/>
      <c r="D210" s="74"/>
      <c r="E210" s="74"/>
      <c r="F210" s="74"/>
      <c r="G210" s="74"/>
      <c r="H210" s="74"/>
      <c r="I210" s="75"/>
      <c r="J210" s="76"/>
      <c r="K210" s="77"/>
      <c r="L210" s="77"/>
      <c r="M210" s="77"/>
      <c r="N210" s="77"/>
      <c r="O210" s="77"/>
      <c r="P210" s="78"/>
      <c r="Q210" s="76"/>
      <c r="R210" s="77"/>
      <c r="S210" s="77"/>
      <c r="T210" s="77"/>
      <c r="U210" s="77"/>
      <c r="V210" s="77"/>
      <c r="W210" s="78"/>
      <c r="X210" s="39"/>
      <c r="Y210" s="39"/>
    </row>
    <row r="211" spans="1: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</row>
    <row r="212" spans="1: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</row>
    <row r="213" spans="1: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</row>
    <row r="214" spans="1: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</row>
    <row r="215" spans="1: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</row>
  </sheetData>
  <sheetProtection algorithmName="SHA-512" hashValue="0rgb+9AJR45ry6/lCQYQ6peYYrX6RBnTtIacbxHJHkT8LDQ2KAUhdmE0fgctfLpnt0k7y0lVfy/AEzlGvjZZ1A==" saltValue="dtWjlEPbn3t59W/N6SMefg==" spinCount="100000" sheet="1" objects="1" scenarios="1"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81E2"/>
  </sheetPr>
  <dimension ref="A1:BA87"/>
  <sheetViews>
    <sheetView zoomScale="90" zoomScaleNormal="90" workbookViewId="0">
      <selection activeCell="K41" sqref="K41"/>
    </sheetView>
  </sheetViews>
  <sheetFormatPr defaultColWidth="8.73046875" defaultRowHeight="13.15" zeroHeight="1"/>
  <cols>
    <col min="1" max="1" width="5.3984375" style="1" customWidth="1"/>
    <col min="2" max="2" width="2.3984375" style="1" customWidth="1"/>
    <col min="3" max="3" width="38.86328125" style="1" customWidth="1"/>
    <col min="4" max="8" width="18.3984375" style="1" customWidth="1"/>
    <col min="9" max="14" width="11.3984375" style="1" customWidth="1"/>
    <col min="15" max="15" width="25" style="1" customWidth="1"/>
    <col min="16" max="36" width="11.3984375" style="1" customWidth="1"/>
    <col min="37" max="16384" width="8.73046875" style="1"/>
  </cols>
  <sheetData>
    <row r="1" spans="1:53" ht="24.95" customHeight="1">
      <c r="A1" s="38" t="s">
        <v>286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53" ht="19.5" customHeight="1">
      <c r="A2" s="94" t="s">
        <v>287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BA2" s="1" t="s">
        <v>39</v>
      </c>
    </row>
    <row r="3" spans="1:53" ht="17.4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46"/>
    </row>
    <row r="4" spans="1:53" ht="15.6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</row>
    <row r="5" spans="1:53" ht="15.6" customHeight="1" thickBot="1">
      <c r="A5" s="39"/>
      <c r="B5" s="39"/>
      <c r="C5" s="276" t="s">
        <v>581</v>
      </c>
      <c r="D5" s="95" t="s">
        <v>580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53" ht="9" customHeight="1" thickBot="1">
      <c r="A6" s="39"/>
      <c r="B6" s="39"/>
      <c r="C6" s="39"/>
      <c r="D6" s="44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</row>
    <row r="7" spans="1:53" ht="15.6" customHeight="1" thickBot="1">
      <c r="A7" s="39"/>
      <c r="B7" s="40" t="s">
        <v>425</v>
      </c>
      <c r="C7" s="40"/>
      <c r="D7" s="95" t="s">
        <v>284</v>
      </c>
      <c r="E7" s="46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53" ht="8.4499999999999993" customHeight="1" thickBot="1">
      <c r="A8" s="39"/>
      <c r="B8" s="39"/>
      <c r="C8" s="39"/>
      <c r="D8" s="96"/>
      <c r="E8" s="44"/>
      <c r="F8" s="44"/>
      <c r="G8" s="44"/>
      <c r="H8" s="44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53" ht="15" customHeight="1" thickBot="1">
      <c r="A9" s="39"/>
      <c r="B9" s="40" t="s">
        <v>316</v>
      </c>
      <c r="C9" s="45"/>
      <c r="D9" s="97" t="s">
        <v>262</v>
      </c>
      <c r="E9" s="98" t="s">
        <v>263</v>
      </c>
      <c r="F9" s="98" t="s">
        <v>264</v>
      </c>
      <c r="G9" s="98" t="s">
        <v>265</v>
      </c>
      <c r="H9" s="99" t="s">
        <v>266</v>
      </c>
      <c r="I9" s="46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53" ht="15" customHeight="1" thickBot="1">
      <c r="A10" s="39"/>
      <c r="C10" s="45" t="s">
        <v>351</v>
      </c>
      <c r="D10" s="100"/>
      <c r="E10" s="101"/>
      <c r="F10" s="101"/>
      <c r="G10" s="101"/>
      <c r="H10" s="102"/>
      <c r="I10" s="46"/>
      <c r="J10" s="39"/>
      <c r="K10" s="39"/>
      <c r="L10" s="39"/>
      <c r="M10" s="39"/>
      <c r="N10" s="39"/>
      <c r="O10" s="281" t="s">
        <v>350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53" ht="15" customHeight="1" thickBot="1">
      <c r="A11" s="39"/>
      <c r="B11" s="39"/>
      <c r="C11" s="45" t="s">
        <v>426</v>
      </c>
      <c r="D11" s="103"/>
      <c r="E11" s="104"/>
      <c r="F11" s="104"/>
      <c r="G11" s="104"/>
      <c r="H11" s="105"/>
      <c r="I11" s="46"/>
      <c r="J11" s="39"/>
      <c r="K11" s="39"/>
      <c r="L11" s="39"/>
      <c r="M11" s="39"/>
      <c r="N11" s="39"/>
      <c r="O11" s="277" t="str">
        <f>C11</f>
        <v>Use category</v>
      </c>
      <c r="P11" s="93" t="str">
        <f t="array" ref="P11">INDEX(Start!$D$60:$D$75,COLUMN(Products!P11)-COLUMN(Products!$P$11)+1)</f>
        <v>Agricutural industry</v>
      </c>
      <c r="Q11" s="93" t="str">
        <f t="array" ref="Q11">INDEX(Start!$D$60:$D$75,COLUMN(Products!Q11)-COLUMN(Products!$P$11)+1)</f>
        <v>Chemical industry: basic chemicals</v>
      </c>
      <c r="R11" s="93" t="str">
        <f t="array" ref="R11">INDEX(Start!$D$60:$D$75,COLUMN(Products!R11)-COLUMN(Products!$P$11)+1)</f>
        <v>Chemical industry: chemicals used in synthesis</v>
      </c>
      <c r="S11" s="93" t="str">
        <f t="array" ref="S11">INDEX(Start!$D$60:$D$75,COLUMN(Products!S11)-COLUMN(Products!$P$11)+1)</f>
        <v>Electronical/electronic industry</v>
      </c>
      <c r="T11" s="93" t="str">
        <f t="array" ref="T11">INDEX(Start!$D$60:$D$75,COLUMN(Products!T11)-COLUMN(Products!$P$11)+1)</f>
        <v>Personal/domestic</v>
      </c>
      <c r="U11" s="93" t="str">
        <f t="array" ref="U11">INDEX(Start!$D$60:$D$75,COLUMN(Products!U11)-COLUMN(Products!$P$11)+1)</f>
        <v>Public domain</v>
      </c>
      <c r="V11" s="93" t="str">
        <f t="array" ref="V11">INDEX(Start!$D$60:$D$75,COLUMN(Products!V11)-COLUMN(Products!$P$11)+1)</f>
        <v>Leather</v>
      </c>
      <c r="W11" s="93" t="str">
        <f t="array" ref="W11">INDEX(Start!$D$60:$D$75,COLUMN(Products!W11)-COLUMN(Products!$P$11)+1)</f>
        <v>Metal extraction</v>
      </c>
      <c r="X11" s="93" t="str">
        <f t="array" ref="X11">INDEX(Start!$D$60:$D$75,COLUMN(Products!X11)-COLUMN(Products!$P$11)+1)</f>
        <v>Mineral oil &amp; fuel</v>
      </c>
      <c r="Y11" s="93" t="str">
        <f t="array" ref="Y11">INDEX(Start!$D$60:$D$75,COLUMN(Products!Y11)-COLUMN(Products!$P$11)+1)</f>
        <v>Photographic industry</v>
      </c>
      <c r="Z11" s="93" t="str">
        <f t="array" ref="Z11">INDEX(Start!$D$60:$D$75,COLUMN(Products!Z11)-COLUMN(Products!$P$11)+1)</f>
        <v>Polymer &amp; plastics</v>
      </c>
      <c r="AA11" s="93" t="str">
        <f t="array" ref="AA11">INDEX(Start!$D$60:$D$75,COLUMN(Products!AA11)-COLUMN(Products!$P$11)+1)</f>
        <v>Pulp, paper, &amp; board</v>
      </c>
      <c r="AB11" s="93" t="str">
        <f t="array" ref="AB11">INDEX(Start!$D$60:$D$75,COLUMN(Products!AB11)-COLUMN(Products!$P$11)+1)</f>
        <v>Textiles</v>
      </c>
      <c r="AC11" s="93" t="str">
        <f t="array" ref="AC11">INDEX(Start!$D$60:$D$75,COLUMN(Products!AC11)-COLUMN(Products!$P$11)+1)</f>
        <v>Paints, lacquers, &amp; varinshes</v>
      </c>
      <c r="AD11" s="93" t="str">
        <f t="array" ref="AD11">INDEX(Start!$D$60:$D$75,COLUMN(Products!AD11)-COLUMN(Products!$P$11)+1)</f>
        <v>Others</v>
      </c>
      <c r="AE11" s="93" t="str">
        <f t="array" ref="AE11">INDEX(Start!$D$60:$D$75,COLUMN(Products!AE11)-COLUMN(Products!$P$11)+1)</f>
        <v>Civil &amp; mechanical engineering</v>
      </c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53" ht="15" customHeight="1">
      <c r="A12" s="39"/>
      <c r="B12" s="39"/>
      <c r="C12" s="45" t="s">
        <v>314</v>
      </c>
      <c r="D12" s="103"/>
      <c r="E12" s="104"/>
      <c r="F12" s="104"/>
      <c r="G12" s="104"/>
      <c r="H12" s="105"/>
      <c r="I12" s="46"/>
      <c r="J12" s="39"/>
      <c r="K12" s="39"/>
      <c r="L12" s="39"/>
      <c r="M12" s="39"/>
      <c r="N12" s="39"/>
      <c r="O12" s="277" t="str">
        <f t="shared" ref="O12:O17" si="0">C12</f>
        <v>Use format</v>
      </c>
      <c r="P12" s="278" t="s">
        <v>346</v>
      </c>
      <c r="Q12" s="278" t="s">
        <v>318</v>
      </c>
      <c r="R12" s="278" t="s">
        <v>318</v>
      </c>
      <c r="S12" s="278" t="s">
        <v>288</v>
      </c>
      <c r="T12" s="278" t="s">
        <v>346</v>
      </c>
      <c r="U12" s="278" t="s">
        <v>346</v>
      </c>
      <c r="V12" s="278" t="s">
        <v>288</v>
      </c>
      <c r="W12" s="278" t="s">
        <v>318</v>
      </c>
      <c r="X12" s="278" t="s">
        <v>346</v>
      </c>
      <c r="Y12" s="278" t="s">
        <v>346</v>
      </c>
      <c r="Z12" s="278" t="s">
        <v>288</v>
      </c>
      <c r="AA12" s="278" t="s">
        <v>288</v>
      </c>
      <c r="AB12" s="278" t="s">
        <v>288</v>
      </c>
      <c r="AC12" s="278" t="s">
        <v>346</v>
      </c>
      <c r="AD12" s="278" t="s">
        <v>288</v>
      </c>
      <c r="AE12" s="278" t="s">
        <v>288</v>
      </c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53" ht="15" customHeight="1">
      <c r="A13" s="39"/>
      <c r="B13" s="39"/>
      <c r="C13" s="45" t="s">
        <v>315</v>
      </c>
      <c r="D13" s="103"/>
      <c r="E13" s="104"/>
      <c r="F13" s="104"/>
      <c r="G13" s="104"/>
      <c r="H13" s="105"/>
      <c r="I13" s="46"/>
      <c r="J13" s="39"/>
      <c r="K13" s="39"/>
      <c r="L13" s="39"/>
      <c r="M13" s="39"/>
      <c r="N13" s="39"/>
      <c r="O13" s="277" t="str">
        <f t="shared" si="0"/>
        <v>Physical status</v>
      </c>
      <c r="P13" s="278" t="str">
        <f>IF(Chemical!$D$26&gt;0,"Liquid","Gaseous")</f>
        <v>Gaseous</v>
      </c>
      <c r="Q13" s="278" t="str">
        <f>IF(Chemical!$D$26&gt;0,"Liquid","Gaseous")</f>
        <v>Gaseous</v>
      </c>
      <c r="R13" s="278" t="str">
        <f>IF(Chemical!$D$26&gt;0,"Liquid","Gaseous")</f>
        <v>Gaseous</v>
      </c>
      <c r="S13" s="278" t="str">
        <f>IF(Chemical!$D$26&gt;0,"Solid","Gaseous")</f>
        <v>Gaseous</v>
      </c>
      <c r="T13" s="278" t="str">
        <f>IF(Chemical!$D$26&gt;0,"Liquid","Gaseous")</f>
        <v>Gaseous</v>
      </c>
      <c r="U13" s="278" t="str">
        <f>IF(Chemical!$D$26&gt;0,"Liquid","Gaseous")</f>
        <v>Gaseous</v>
      </c>
      <c r="V13" s="278" t="str">
        <f>IF(Chemical!$D$26&gt;0,"Solid","Gaseous")</f>
        <v>Gaseous</v>
      </c>
      <c r="W13" s="278" t="str">
        <f>IF(Chemical!$D$26&gt;0,"Liquid","Gaseous")</f>
        <v>Gaseous</v>
      </c>
      <c r="X13" s="278" t="str">
        <f>IF(Chemical!$D$26&gt;0,"Liquid","Gaseous")</f>
        <v>Gaseous</v>
      </c>
      <c r="Y13" s="278" t="str">
        <f>IF(Chemical!$D$26&gt;0,"Liquid","Gaseous")</f>
        <v>Gaseous</v>
      </c>
      <c r="Z13" s="278" t="str">
        <f>IF(Chemical!$D$26&gt;0,"Solid","Gaseous")</f>
        <v>Gaseous</v>
      </c>
      <c r="AA13" s="278" t="str">
        <f>IF(Chemical!$D$26&gt;0,"Solid","Gaseous")</f>
        <v>Gaseous</v>
      </c>
      <c r="AB13" s="278" t="str">
        <f>IF(Chemical!$D$26&gt;0,"Solid","Gaseous")</f>
        <v>Gaseous</v>
      </c>
      <c r="AC13" s="278" t="str">
        <f>IF(Chemical!$D$26&gt;0,"Liquid","Gaseous")</f>
        <v>Gaseous</v>
      </c>
      <c r="AD13" s="278" t="str">
        <f>IF(Chemical!$D$26&gt;0,"Solid","Gaseous")</f>
        <v>Gaseous</v>
      </c>
      <c r="AE13" s="278" t="str">
        <f>IF(Chemical!$D$26&gt;0,"Solid","Gaseous")</f>
        <v>Gaseous</v>
      </c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53" ht="15" customHeight="1">
      <c r="A14" s="39"/>
      <c r="B14" s="39"/>
      <c r="C14" s="45" t="s">
        <v>317</v>
      </c>
      <c r="D14" s="103"/>
      <c r="E14" s="104"/>
      <c r="F14" s="104"/>
      <c r="G14" s="104"/>
      <c r="H14" s="105"/>
      <c r="I14" s="46"/>
      <c r="J14" s="39"/>
      <c r="K14" s="39"/>
      <c r="L14" s="39"/>
      <c r="M14" s="39"/>
      <c r="N14" s="39"/>
      <c r="O14" s="277" t="str">
        <f t="shared" si="0"/>
        <v>Materials</v>
      </c>
      <c r="P14" s="278" t="s">
        <v>213</v>
      </c>
      <c r="Q14" s="278" t="s">
        <v>401</v>
      </c>
      <c r="R14" s="278" t="s">
        <v>401</v>
      </c>
      <c r="S14" s="278" t="s">
        <v>347</v>
      </c>
      <c r="T14" s="278" t="s">
        <v>213</v>
      </c>
      <c r="U14" s="278" t="s">
        <v>213</v>
      </c>
      <c r="V14" s="278" t="s">
        <v>347</v>
      </c>
      <c r="W14" s="278" t="s">
        <v>213</v>
      </c>
      <c r="X14" s="278" t="s">
        <v>213</v>
      </c>
      <c r="Y14" s="278" t="s">
        <v>213</v>
      </c>
      <c r="Z14" s="278" t="s">
        <v>347</v>
      </c>
      <c r="AA14" s="278" t="s">
        <v>347</v>
      </c>
      <c r="AB14" s="278" t="s">
        <v>347</v>
      </c>
      <c r="AC14" s="278" t="s">
        <v>213</v>
      </c>
      <c r="AD14" s="278" t="s">
        <v>347</v>
      </c>
      <c r="AE14" s="278" t="s">
        <v>347</v>
      </c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53" ht="15" customHeight="1">
      <c r="A15" s="39"/>
      <c r="B15" s="39"/>
      <c r="C15" s="45" t="s">
        <v>267</v>
      </c>
      <c r="D15" s="103"/>
      <c r="E15" s="104"/>
      <c r="F15" s="104"/>
      <c r="G15" s="104"/>
      <c r="H15" s="105"/>
      <c r="I15" s="46"/>
      <c r="J15" s="39"/>
      <c r="K15" s="39"/>
      <c r="L15" s="39"/>
      <c r="M15" s="39"/>
      <c r="N15" s="39"/>
      <c r="O15" s="277" t="str">
        <f t="shared" si="0"/>
        <v>Fraction used indoors (-)</v>
      </c>
      <c r="P15" s="279">
        <v>0</v>
      </c>
      <c r="Q15" s="279">
        <v>0</v>
      </c>
      <c r="R15" s="279">
        <v>0</v>
      </c>
      <c r="S15" s="279">
        <v>0.05</v>
      </c>
      <c r="T15" s="279">
        <v>0.05</v>
      </c>
      <c r="U15" s="279">
        <v>0.05</v>
      </c>
      <c r="V15" s="279">
        <v>0.05</v>
      </c>
      <c r="W15" s="279">
        <v>0</v>
      </c>
      <c r="X15" s="279">
        <v>0</v>
      </c>
      <c r="Y15" s="279">
        <v>0</v>
      </c>
      <c r="Z15" s="279">
        <v>0.05</v>
      </c>
      <c r="AA15" s="279">
        <v>0.05</v>
      </c>
      <c r="AB15" s="279">
        <v>0.05</v>
      </c>
      <c r="AC15" s="279">
        <v>0.05</v>
      </c>
      <c r="AD15" s="279">
        <v>0.01</v>
      </c>
      <c r="AE15" s="279">
        <v>0</v>
      </c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53" ht="15" customHeight="1">
      <c r="A16" s="39"/>
      <c r="B16" s="39"/>
      <c r="C16" s="45" t="s">
        <v>557</v>
      </c>
      <c r="D16" s="103"/>
      <c r="E16" s="104"/>
      <c r="F16" s="104"/>
      <c r="G16" s="104"/>
      <c r="H16" s="105"/>
      <c r="I16" s="46"/>
      <c r="J16" s="39"/>
      <c r="K16" s="39"/>
      <c r="L16" s="39"/>
      <c r="M16" s="39"/>
      <c r="N16" s="39"/>
      <c r="O16" s="277" t="str">
        <f t="shared" si="0"/>
        <v>Thickness of material (m; optional)</v>
      </c>
      <c r="P16" s="279">
        <v>1E-3</v>
      </c>
      <c r="Q16" s="279">
        <v>1E-3</v>
      </c>
      <c r="R16" s="279">
        <v>1E-3</v>
      </c>
      <c r="S16" s="279">
        <v>1E-3</v>
      </c>
      <c r="T16" s="279">
        <v>1E-3</v>
      </c>
      <c r="U16" s="279">
        <v>1E-3</v>
      </c>
      <c r="V16" s="279">
        <v>1E-3</v>
      </c>
      <c r="W16" s="279">
        <v>1E-3</v>
      </c>
      <c r="X16" s="279">
        <v>1E-3</v>
      </c>
      <c r="Y16" s="279">
        <v>1E-3</v>
      </c>
      <c r="Z16" s="279">
        <v>1E-3</v>
      </c>
      <c r="AA16" s="279">
        <v>1E-3</v>
      </c>
      <c r="AB16" s="279">
        <v>1E-3</v>
      </c>
      <c r="AC16" s="279">
        <v>1E-3</v>
      </c>
      <c r="AD16" s="279">
        <v>1E-3</v>
      </c>
      <c r="AE16" s="279">
        <v>1E-3</v>
      </c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ht="15" customHeight="1">
      <c r="A17" s="39"/>
      <c r="B17" s="39"/>
      <c r="C17" s="45" t="s">
        <v>558</v>
      </c>
      <c r="D17" s="103"/>
      <c r="E17" s="104"/>
      <c r="F17" s="104"/>
      <c r="G17" s="104"/>
      <c r="H17" s="105"/>
      <c r="I17" s="46"/>
      <c r="J17" s="39"/>
      <c r="K17" s="39"/>
      <c r="L17" s="39"/>
      <c r="M17" s="39"/>
      <c r="N17" s="39"/>
      <c r="O17" s="277" t="str">
        <f t="shared" si="0"/>
        <v>Application duration (min/day; optional)</v>
      </c>
      <c r="P17" s="279">
        <f>24*60</f>
        <v>1440</v>
      </c>
      <c r="Q17" s="279">
        <f t="shared" ref="Q17:AE17" si="1">24*60</f>
        <v>1440</v>
      </c>
      <c r="R17" s="279">
        <f t="shared" si="1"/>
        <v>1440</v>
      </c>
      <c r="S17" s="279">
        <f t="shared" si="1"/>
        <v>1440</v>
      </c>
      <c r="T17" s="279">
        <v>15</v>
      </c>
      <c r="U17" s="279">
        <f t="shared" si="1"/>
        <v>1440</v>
      </c>
      <c r="V17" s="279">
        <f t="shared" si="1"/>
        <v>1440</v>
      </c>
      <c r="W17" s="279">
        <f t="shared" si="1"/>
        <v>1440</v>
      </c>
      <c r="X17" s="279">
        <f t="shared" si="1"/>
        <v>1440</v>
      </c>
      <c r="Y17" s="279">
        <f t="shared" si="1"/>
        <v>1440</v>
      </c>
      <c r="Z17" s="279">
        <f t="shared" si="1"/>
        <v>1440</v>
      </c>
      <c r="AA17" s="279">
        <f t="shared" si="1"/>
        <v>1440</v>
      </c>
      <c r="AB17" s="279">
        <f t="shared" si="1"/>
        <v>1440</v>
      </c>
      <c r="AC17" s="279">
        <f t="shared" si="1"/>
        <v>1440</v>
      </c>
      <c r="AD17" s="279">
        <f t="shared" si="1"/>
        <v>1440</v>
      </c>
      <c r="AE17" s="279">
        <f t="shared" si="1"/>
        <v>1440</v>
      </c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ht="15" customHeight="1">
      <c r="A18" s="39"/>
      <c r="B18" s="39"/>
      <c r="C18" s="45" t="s">
        <v>559</v>
      </c>
      <c r="D18" s="106"/>
      <c r="E18" s="107"/>
      <c r="F18" s="107"/>
      <c r="G18" s="107"/>
      <c r="H18" s="108"/>
      <c r="I18" s="46"/>
      <c r="J18" s="39"/>
      <c r="K18" s="39"/>
      <c r="L18" s="39"/>
      <c r="M18" s="39"/>
      <c r="N18" s="39"/>
      <c r="O18" s="280" t="s">
        <v>268</v>
      </c>
      <c r="P18" s="278" t="s">
        <v>353</v>
      </c>
      <c r="Q18" s="278" t="s">
        <v>353</v>
      </c>
      <c r="R18" s="278" t="s">
        <v>353</v>
      </c>
      <c r="S18" s="278" t="s">
        <v>353</v>
      </c>
      <c r="T18" s="278" t="s">
        <v>353</v>
      </c>
      <c r="U18" s="278" t="s">
        <v>353</v>
      </c>
      <c r="V18" s="278" t="s">
        <v>353</v>
      </c>
      <c r="W18" s="278" t="s">
        <v>353</v>
      </c>
      <c r="X18" s="278" t="s">
        <v>353</v>
      </c>
      <c r="Y18" s="278" t="s">
        <v>353</v>
      </c>
      <c r="Z18" s="278" t="s">
        <v>353</v>
      </c>
      <c r="AA18" s="278" t="s">
        <v>353</v>
      </c>
      <c r="AB18" s="278" t="s">
        <v>353</v>
      </c>
      <c r="AC18" s="278" t="s">
        <v>353</v>
      </c>
      <c r="AD18" s="278" t="s">
        <v>353</v>
      </c>
      <c r="AE18" s="278" t="s">
        <v>353</v>
      </c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ht="15" customHeight="1" thickBot="1">
      <c r="A19" s="39"/>
      <c r="B19" s="39"/>
      <c r="C19" s="45" t="s">
        <v>560</v>
      </c>
      <c r="D19" s="109"/>
      <c r="E19" s="110"/>
      <c r="F19" s="110"/>
      <c r="G19" s="110"/>
      <c r="H19" s="111"/>
      <c r="I19" s="46"/>
      <c r="J19" s="39"/>
      <c r="K19" s="39"/>
      <c r="L19" s="39"/>
      <c r="M19" s="39"/>
      <c r="N19" s="39"/>
      <c r="O19" s="277" t="s">
        <v>352</v>
      </c>
      <c r="P19" s="279"/>
      <c r="Q19" s="279"/>
      <c r="R19" s="279"/>
      <c r="S19" s="279">
        <v>5</v>
      </c>
      <c r="T19" s="279"/>
      <c r="U19" s="279"/>
      <c r="V19" s="279">
        <v>16.8</v>
      </c>
      <c r="W19" s="279">
        <v>8</v>
      </c>
      <c r="X19" s="279">
        <v>8</v>
      </c>
      <c r="Y19" s="279">
        <v>8</v>
      </c>
      <c r="Z19" s="279">
        <v>8</v>
      </c>
      <c r="AA19" s="279">
        <v>2</v>
      </c>
      <c r="AB19" s="279">
        <v>8</v>
      </c>
      <c r="AC19" s="279"/>
      <c r="AD19" s="279">
        <v>8</v>
      </c>
      <c r="AE19" s="279">
        <v>11</v>
      </c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ht="15" customHeight="1" thickBot="1">
      <c r="A20" s="39"/>
      <c r="B20" s="39"/>
      <c r="C20" s="39"/>
      <c r="D20" s="51"/>
      <c r="E20" s="51"/>
      <c r="F20" s="51"/>
      <c r="G20" s="51"/>
      <c r="H20" s="51"/>
      <c r="I20" s="39"/>
      <c r="J20" s="39"/>
      <c r="K20" s="39"/>
      <c r="L20" s="39"/>
      <c r="M20" s="39"/>
      <c r="N20" s="39"/>
      <c r="O20" s="277" t="s">
        <v>281</v>
      </c>
      <c r="P20" s="279"/>
      <c r="Q20" s="279"/>
      <c r="R20" s="279"/>
      <c r="S20" s="279">
        <v>2.4</v>
      </c>
      <c r="T20" s="279"/>
      <c r="U20" s="279"/>
      <c r="V20" s="279">
        <v>2.4</v>
      </c>
      <c r="W20" s="279">
        <v>2.4</v>
      </c>
      <c r="X20" s="279">
        <v>2.4</v>
      </c>
      <c r="Y20" s="279">
        <v>2.4</v>
      </c>
      <c r="Z20" s="279">
        <v>2.4</v>
      </c>
      <c r="AA20" s="279">
        <v>0.6</v>
      </c>
      <c r="AB20" s="279">
        <v>2.4</v>
      </c>
      <c r="AC20" s="279"/>
      <c r="AD20" s="279">
        <v>2.4</v>
      </c>
      <c r="AE20" s="279">
        <v>2.4</v>
      </c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ht="15" hidden="1" customHeight="1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ht="15" hidden="1" customHeigh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ht="15" hidden="1" customHeight="1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ht="15" hidden="1" customHeight="1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ht="15" hidden="1" customHeight="1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ht="15" hidden="1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ht="15" hidden="1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ht="15" hidden="1" customHeight="1" thickBot="1">
      <c r="A28" s="39"/>
      <c r="B28" s="39"/>
      <c r="C28" s="39"/>
      <c r="D28" s="44"/>
      <c r="E28" s="44"/>
      <c r="F28" s="44"/>
      <c r="G28" s="44"/>
      <c r="H28" s="44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ht="15" customHeight="1" thickBot="1">
      <c r="A29" s="39"/>
      <c r="B29" s="40" t="s">
        <v>354</v>
      </c>
      <c r="C29" s="45"/>
      <c r="D29" s="97" t="s">
        <v>262</v>
      </c>
      <c r="E29" s="98" t="s">
        <v>263</v>
      </c>
      <c r="F29" s="98" t="s">
        <v>264</v>
      </c>
      <c r="G29" s="98" t="s">
        <v>265</v>
      </c>
      <c r="H29" s="99" t="s">
        <v>266</v>
      </c>
      <c r="I29" s="112" t="s">
        <v>345</v>
      </c>
      <c r="J29" s="46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ht="15" customHeight="1">
      <c r="A30" s="39"/>
      <c r="C30" s="45" t="s">
        <v>0</v>
      </c>
      <c r="D30" s="125"/>
      <c r="E30" s="126"/>
      <c r="F30" s="126"/>
      <c r="G30" s="126"/>
      <c r="H30" s="127"/>
      <c r="I30" s="128">
        <f>SUM(D30:H30)</f>
        <v>0</v>
      </c>
      <c r="J30" s="46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ht="15" customHeight="1">
      <c r="A31" s="39"/>
      <c r="B31" s="39"/>
      <c r="C31" s="45" t="s">
        <v>1</v>
      </c>
      <c r="D31" s="129"/>
      <c r="E31" s="130"/>
      <c r="F31" s="130"/>
      <c r="G31" s="130"/>
      <c r="H31" s="131"/>
      <c r="I31" s="128">
        <f t="shared" ref="I31:I36" si="2">SUM(D31:H31)</f>
        <v>0</v>
      </c>
      <c r="J31" s="46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ht="15" customHeight="1">
      <c r="A32" s="39"/>
      <c r="B32" s="39"/>
      <c r="C32" s="45" t="s">
        <v>2</v>
      </c>
      <c r="D32" s="129"/>
      <c r="E32" s="130"/>
      <c r="F32" s="130"/>
      <c r="G32" s="130"/>
      <c r="H32" s="131"/>
      <c r="I32" s="128">
        <f t="shared" si="2"/>
        <v>0</v>
      </c>
      <c r="J32" s="46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ht="15" customHeight="1">
      <c r="A33" s="39"/>
      <c r="B33" s="39"/>
      <c r="C33" s="45" t="s">
        <v>3</v>
      </c>
      <c r="D33" s="129"/>
      <c r="E33" s="130"/>
      <c r="F33" s="130"/>
      <c r="G33" s="130"/>
      <c r="H33" s="131"/>
      <c r="I33" s="128">
        <f t="shared" si="2"/>
        <v>0</v>
      </c>
      <c r="J33" s="46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ht="15" customHeight="1">
      <c r="A34" s="39"/>
      <c r="B34" s="39"/>
      <c r="C34" s="45" t="s">
        <v>4</v>
      </c>
      <c r="D34" s="129"/>
      <c r="E34" s="130"/>
      <c r="F34" s="130"/>
      <c r="G34" s="130"/>
      <c r="H34" s="131"/>
      <c r="I34" s="128">
        <f t="shared" si="2"/>
        <v>0</v>
      </c>
      <c r="J34" s="46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ht="15" customHeight="1">
      <c r="A35" s="39"/>
      <c r="B35" s="39"/>
      <c r="C35" s="45" t="s">
        <v>5</v>
      </c>
      <c r="D35" s="129"/>
      <c r="E35" s="130"/>
      <c r="F35" s="130"/>
      <c r="G35" s="130"/>
      <c r="H35" s="131"/>
      <c r="I35" s="128">
        <f t="shared" si="2"/>
        <v>0</v>
      </c>
      <c r="J35" s="46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ht="15" customHeight="1" thickBot="1">
      <c r="A36" s="39"/>
      <c r="B36" s="39"/>
      <c r="C36" s="45" t="s">
        <v>6</v>
      </c>
      <c r="D36" s="132"/>
      <c r="E36" s="133"/>
      <c r="F36" s="133"/>
      <c r="G36" s="133"/>
      <c r="H36" s="134"/>
      <c r="I36" s="135">
        <f t="shared" si="2"/>
        <v>0</v>
      </c>
      <c r="J36" s="46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ht="15" customHeight="1" thickBot="1">
      <c r="A37" s="39"/>
      <c r="B37" s="39"/>
      <c r="C37" s="39"/>
      <c r="D37" s="51"/>
      <c r="E37" s="51"/>
      <c r="F37" s="51"/>
      <c r="G37" s="51"/>
      <c r="H37" s="51"/>
      <c r="I37" s="51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ht="15" hidden="1" customHeight="1" thickBot="1">
      <c r="A38" s="39"/>
      <c r="B38" s="39"/>
      <c r="C38" s="39"/>
      <c r="D38" s="44"/>
      <c r="E38" s="44"/>
      <c r="F38" s="44"/>
      <c r="G38" s="44"/>
      <c r="H38" s="44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ht="15" customHeight="1" thickBot="1">
      <c r="A39" s="39"/>
      <c r="B39" s="40" t="s">
        <v>268</v>
      </c>
      <c r="C39" s="45"/>
      <c r="D39" s="97" t="s">
        <v>262</v>
      </c>
      <c r="E39" s="98" t="s">
        <v>263</v>
      </c>
      <c r="F39" s="98" t="s">
        <v>264</v>
      </c>
      <c r="G39" s="98" t="s">
        <v>265</v>
      </c>
      <c r="H39" s="99" t="s">
        <v>266</v>
      </c>
      <c r="I39" s="46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ht="15" customHeight="1">
      <c r="A40" s="39"/>
      <c r="C40" s="45" t="s">
        <v>0</v>
      </c>
      <c r="D40" s="113"/>
      <c r="E40" s="114"/>
      <c r="F40" s="114"/>
      <c r="G40" s="114"/>
      <c r="H40" s="115"/>
      <c r="I40" s="46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ht="15" customHeight="1">
      <c r="A41" s="39"/>
      <c r="B41" s="39"/>
      <c r="C41" s="45" t="s">
        <v>1</v>
      </c>
      <c r="D41" s="116"/>
      <c r="E41" s="117"/>
      <c r="F41" s="117"/>
      <c r="G41" s="117"/>
      <c r="H41" s="118"/>
      <c r="I41" s="46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ht="15" customHeight="1">
      <c r="A42" s="39"/>
      <c r="B42" s="39"/>
      <c r="C42" s="45" t="s">
        <v>2</v>
      </c>
      <c r="D42" s="116"/>
      <c r="E42" s="117"/>
      <c r="F42" s="117"/>
      <c r="G42" s="117"/>
      <c r="H42" s="118"/>
      <c r="I42" s="46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ht="15" customHeight="1">
      <c r="A43" s="39"/>
      <c r="B43" s="39"/>
      <c r="C43" s="45" t="s">
        <v>3</v>
      </c>
      <c r="D43" s="116"/>
      <c r="E43" s="117"/>
      <c r="F43" s="117"/>
      <c r="G43" s="117"/>
      <c r="H43" s="118"/>
      <c r="I43" s="46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ht="15" customHeight="1">
      <c r="A44" s="39"/>
      <c r="B44" s="39"/>
      <c r="C44" s="45" t="s">
        <v>4</v>
      </c>
      <c r="D44" s="116"/>
      <c r="E44" s="117"/>
      <c r="F44" s="117"/>
      <c r="G44" s="117"/>
      <c r="H44" s="118"/>
      <c r="I44" s="46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ht="15" customHeight="1">
      <c r="A45" s="39"/>
      <c r="B45" s="39"/>
      <c r="C45" s="45" t="s">
        <v>5</v>
      </c>
      <c r="D45" s="116"/>
      <c r="E45" s="117"/>
      <c r="F45" s="117"/>
      <c r="G45" s="117"/>
      <c r="H45" s="118"/>
      <c r="I45" s="46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ht="15" customHeight="1" thickBot="1">
      <c r="A46" s="39"/>
      <c r="B46" s="39"/>
      <c r="C46" s="45" t="s">
        <v>6</v>
      </c>
      <c r="D46" s="119"/>
      <c r="E46" s="120"/>
      <c r="F46" s="120"/>
      <c r="G46" s="120"/>
      <c r="H46" s="121"/>
      <c r="I46" s="46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ht="15" customHeight="1" thickBot="1">
      <c r="A47" s="39"/>
      <c r="B47" s="39"/>
      <c r="C47" s="39"/>
      <c r="D47" s="51"/>
      <c r="E47" s="51"/>
      <c r="F47" s="51"/>
      <c r="G47" s="51"/>
      <c r="H47" s="51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ht="15" hidden="1" customHeight="1" thickBot="1">
      <c r="A48" s="39"/>
      <c r="B48" s="39"/>
      <c r="C48" s="39"/>
      <c r="D48" s="44"/>
      <c r="E48" s="44"/>
      <c r="F48" s="44"/>
      <c r="G48" s="44"/>
      <c r="H48" s="44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ht="15" customHeight="1" thickBot="1">
      <c r="A49" s="39"/>
      <c r="B49" s="40" t="s">
        <v>280</v>
      </c>
      <c r="C49" s="45"/>
      <c r="D49" s="97" t="s">
        <v>262</v>
      </c>
      <c r="E49" s="98" t="s">
        <v>263</v>
      </c>
      <c r="F49" s="98" t="s">
        <v>264</v>
      </c>
      <c r="G49" s="98" t="s">
        <v>265</v>
      </c>
      <c r="H49" s="99" t="s">
        <v>266</v>
      </c>
      <c r="I49" s="46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ht="15" customHeight="1">
      <c r="A50" s="39"/>
      <c r="C50" s="45" t="s">
        <v>0</v>
      </c>
      <c r="D50" s="113"/>
      <c r="E50" s="114"/>
      <c r="F50" s="114"/>
      <c r="G50" s="114"/>
      <c r="H50" s="115"/>
      <c r="I50" s="46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ht="15" customHeight="1">
      <c r="A51" s="39"/>
      <c r="B51" s="39"/>
      <c r="C51" s="45" t="s">
        <v>1</v>
      </c>
      <c r="D51" s="116"/>
      <c r="E51" s="117"/>
      <c r="F51" s="117"/>
      <c r="G51" s="117"/>
      <c r="H51" s="118"/>
      <c r="I51" s="46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ht="15" customHeight="1">
      <c r="A52" s="39"/>
      <c r="B52" s="39"/>
      <c r="C52" s="45" t="s">
        <v>2</v>
      </c>
      <c r="D52" s="116"/>
      <c r="E52" s="117"/>
      <c r="F52" s="117"/>
      <c r="G52" s="117"/>
      <c r="H52" s="118"/>
      <c r="I52" s="46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ht="15" customHeight="1">
      <c r="A53" s="39"/>
      <c r="B53" s="39"/>
      <c r="C53" s="45" t="s">
        <v>3</v>
      </c>
      <c r="D53" s="116"/>
      <c r="E53" s="117"/>
      <c r="F53" s="117"/>
      <c r="G53" s="117"/>
      <c r="H53" s="118"/>
      <c r="I53" s="46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ht="15" customHeight="1">
      <c r="A54" s="39"/>
      <c r="B54" s="39"/>
      <c r="C54" s="45" t="s">
        <v>4</v>
      </c>
      <c r="D54" s="116"/>
      <c r="E54" s="117"/>
      <c r="F54" s="117"/>
      <c r="G54" s="117"/>
      <c r="H54" s="118"/>
      <c r="I54" s="46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ht="15" customHeight="1">
      <c r="A55" s="39"/>
      <c r="B55" s="39"/>
      <c r="C55" s="45" t="s">
        <v>5</v>
      </c>
      <c r="D55" s="116"/>
      <c r="E55" s="117"/>
      <c r="F55" s="117"/>
      <c r="G55" s="117"/>
      <c r="H55" s="118"/>
      <c r="I55" s="46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ht="15" customHeight="1" thickBot="1">
      <c r="A56" s="39"/>
      <c r="B56" s="39"/>
      <c r="C56" s="45" t="s">
        <v>6</v>
      </c>
      <c r="D56" s="119"/>
      <c r="E56" s="120"/>
      <c r="F56" s="120"/>
      <c r="G56" s="120"/>
      <c r="H56" s="121"/>
      <c r="I56" s="46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ht="15" customHeight="1" thickBot="1">
      <c r="A57" s="39"/>
      <c r="B57" s="39"/>
      <c r="C57" s="39"/>
      <c r="D57" s="51"/>
      <c r="E57" s="51"/>
      <c r="F57" s="51"/>
      <c r="G57" s="51"/>
      <c r="H57" s="51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ht="15" hidden="1" customHeight="1" thickBot="1">
      <c r="A58" s="39"/>
      <c r="B58" s="39"/>
      <c r="C58" s="39"/>
      <c r="D58" s="44"/>
      <c r="E58" s="44"/>
      <c r="F58" s="44"/>
      <c r="G58" s="44"/>
      <c r="H58" s="44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ht="15" customHeight="1" thickBot="1">
      <c r="A59" s="39"/>
      <c r="B59" s="40" t="s">
        <v>281</v>
      </c>
      <c r="C59" s="45"/>
      <c r="D59" s="97" t="s">
        <v>262</v>
      </c>
      <c r="E59" s="98" t="s">
        <v>263</v>
      </c>
      <c r="F59" s="98" t="s">
        <v>264</v>
      </c>
      <c r="G59" s="98" t="s">
        <v>265</v>
      </c>
      <c r="H59" s="99" t="s">
        <v>266</v>
      </c>
      <c r="I59" s="46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ht="15" customHeight="1">
      <c r="A60" s="39"/>
      <c r="C60" s="45" t="s">
        <v>0</v>
      </c>
      <c r="D60" s="113"/>
      <c r="E60" s="114"/>
      <c r="F60" s="114"/>
      <c r="G60" s="114"/>
      <c r="H60" s="115"/>
      <c r="I60" s="46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ht="15" customHeight="1">
      <c r="A61" s="39"/>
      <c r="B61" s="39"/>
      <c r="C61" s="45" t="s">
        <v>1</v>
      </c>
      <c r="D61" s="116"/>
      <c r="E61" s="117"/>
      <c r="F61" s="117"/>
      <c r="G61" s="117"/>
      <c r="H61" s="118"/>
      <c r="I61" s="46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ht="15" customHeight="1">
      <c r="A62" s="39"/>
      <c r="B62" s="39"/>
      <c r="C62" s="45" t="s">
        <v>2</v>
      </c>
      <c r="D62" s="116"/>
      <c r="E62" s="117"/>
      <c r="F62" s="117"/>
      <c r="G62" s="117"/>
      <c r="H62" s="118"/>
      <c r="I62" s="46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ht="15" customHeight="1">
      <c r="A63" s="39"/>
      <c r="B63" s="39"/>
      <c r="C63" s="45" t="s">
        <v>3</v>
      </c>
      <c r="D63" s="116"/>
      <c r="E63" s="117"/>
      <c r="F63" s="117"/>
      <c r="G63" s="117"/>
      <c r="H63" s="118"/>
      <c r="I63" s="46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ht="15" customHeight="1">
      <c r="A64" s="39"/>
      <c r="B64" s="39"/>
      <c r="C64" s="45" t="s">
        <v>4</v>
      </c>
      <c r="D64" s="116"/>
      <c r="E64" s="117"/>
      <c r="F64" s="117"/>
      <c r="G64" s="117"/>
      <c r="H64" s="118"/>
      <c r="I64" s="46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ht="15" customHeight="1">
      <c r="A65" s="39"/>
      <c r="B65" s="39"/>
      <c r="C65" s="45" t="s">
        <v>5</v>
      </c>
      <c r="D65" s="116"/>
      <c r="E65" s="117"/>
      <c r="F65" s="117"/>
      <c r="G65" s="117"/>
      <c r="H65" s="118"/>
      <c r="I65" s="46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ht="15" customHeight="1" thickBot="1">
      <c r="A66" s="39"/>
      <c r="B66" s="39"/>
      <c r="C66" s="45" t="s">
        <v>6</v>
      </c>
      <c r="D66" s="119"/>
      <c r="E66" s="120"/>
      <c r="F66" s="120"/>
      <c r="G66" s="120"/>
      <c r="H66" s="121"/>
      <c r="I66" s="46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ht="15" customHeight="1" thickBot="1">
      <c r="A67" s="39"/>
      <c r="B67" s="39"/>
      <c r="C67" s="39"/>
      <c r="D67" s="51"/>
      <c r="E67" s="51"/>
      <c r="F67" s="51"/>
      <c r="G67" s="51"/>
      <c r="H67" s="51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ht="15" hidden="1" customHeight="1" thickBot="1">
      <c r="A68" s="39"/>
      <c r="B68" s="39"/>
      <c r="C68" s="39"/>
      <c r="D68" s="44"/>
      <c r="E68" s="44"/>
      <c r="F68" s="44"/>
      <c r="G68" s="44"/>
      <c r="H68" s="44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ht="15" customHeight="1" thickBot="1">
      <c r="A69" s="39"/>
      <c r="B69" s="40" t="s">
        <v>278</v>
      </c>
      <c r="C69" s="45"/>
      <c r="D69" s="122" t="s">
        <v>262</v>
      </c>
      <c r="E69" s="123" t="s">
        <v>263</v>
      </c>
      <c r="F69" s="123" t="s">
        <v>264</v>
      </c>
      <c r="G69" s="123" t="s">
        <v>265</v>
      </c>
      <c r="H69" s="124" t="s">
        <v>266</v>
      </c>
      <c r="I69" s="46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ht="15" customHeight="1">
      <c r="A70" s="39"/>
      <c r="C70" s="45" t="s">
        <v>0</v>
      </c>
      <c r="D70" s="175"/>
      <c r="E70" s="176"/>
      <c r="F70" s="176"/>
      <c r="G70" s="176"/>
      <c r="H70" s="177"/>
      <c r="I70" s="46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ht="15" customHeight="1">
      <c r="A71" s="39"/>
      <c r="B71" s="39"/>
      <c r="C71" s="45" t="s">
        <v>1</v>
      </c>
      <c r="D71" s="175"/>
      <c r="E71" s="176"/>
      <c r="F71" s="176"/>
      <c r="G71" s="176"/>
      <c r="H71" s="177"/>
      <c r="I71" s="46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ht="15" customHeight="1">
      <c r="A72" s="39"/>
      <c r="B72" s="39"/>
      <c r="C72" s="45" t="s">
        <v>2</v>
      </c>
      <c r="D72" s="175"/>
      <c r="E72" s="176"/>
      <c r="F72" s="176"/>
      <c r="G72" s="176"/>
      <c r="H72" s="177"/>
      <c r="I72" s="46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ht="15" customHeight="1">
      <c r="A73" s="39"/>
      <c r="B73" s="39"/>
      <c r="C73" s="45" t="s">
        <v>3</v>
      </c>
      <c r="D73" s="175"/>
      <c r="E73" s="176"/>
      <c r="F73" s="176"/>
      <c r="G73" s="176"/>
      <c r="H73" s="177"/>
      <c r="I73" s="46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ht="15" customHeight="1">
      <c r="A74" s="39"/>
      <c r="B74" s="39"/>
      <c r="C74" s="45" t="s">
        <v>4</v>
      </c>
      <c r="D74" s="175"/>
      <c r="E74" s="176"/>
      <c r="F74" s="176"/>
      <c r="G74" s="176"/>
      <c r="H74" s="177"/>
      <c r="I74" s="46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ht="15" customHeight="1">
      <c r="A75" s="39"/>
      <c r="B75" s="39"/>
      <c r="C75" s="45" t="s">
        <v>5</v>
      </c>
      <c r="D75" s="175"/>
      <c r="E75" s="176"/>
      <c r="F75" s="176"/>
      <c r="G75" s="176"/>
      <c r="H75" s="177"/>
      <c r="I75" s="46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ht="15" customHeight="1" thickBot="1">
      <c r="A76" s="39"/>
      <c r="B76" s="39"/>
      <c r="C76" s="45" t="s">
        <v>6</v>
      </c>
      <c r="D76" s="178"/>
      <c r="E76" s="179"/>
      <c r="F76" s="179"/>
      <c r="G76" s="179"/>
      <c r="H76" s="180"/>
      <c r="I76" s="46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ht="15" customHeight="1" thickBot="1">
      <c r="A77" s="39"/>
      <c r="B77" s="39"/>
      <c r="C77" s="39"/>
      <c r="D77" s="51"/>
      <c r="E77" s="51"/>
      <c r="F77" s="51"/>
      <c r="G77" s="51"/>
      <c r="H77" s="51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ht="15" hidden="1" customHeight="1" thickBot="1">
      <c r="A78" s="39"/>
      <c r="B78" s="39"/>
      <c r="C78" s="39"/>
      <c r="D78" s="44"/>
      <c r="E78" s="44"/>
      <c r="F78" s="44"/>
      <c r="G78" s="44"/>
      <c r="H78" s="44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  <row r="79" spans="1:45" ht="15" customHeight="1" thickBot="1">
      <c r="A79" s="39"/>
      <c r="B79" s="40" t="s">
        <v>279</v>
      </c>
      <c r="C79" s="45"/>
      <c r="D79" s="122" t="s">
        <v>262</v>
      </c>
      <c r="E79" s="123" t="s">
        <v>263</v>
      </c>
      <c r="F79" s="123" t="s">
        <v>264</v>
      </c>
      <c r="G79" s="123" t="s">
        <v>265</v>
      </c>
      <c r="H79" s="124" t="s">
        <v>266</v>
      </c>
      <c r="I79" s="46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</row>
    <row r="80" spans="1:45" ht="15" customHeight="1">
      <c r="A80" s="39"/>
      <c r="C80" s="45" t="s">
        <v>0</v>
      </c>
      <c r="D80" s="175"/>
      <c r="E80" s="176"/>
      <c r="F80" s="176"/>
      <c r="G80" s="176"/>
      <c r="H80" s="177"/>
      <c r="I80" s="46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</row>
    <row r="81" spans="1:45" ht="15" customHeight="1">
      <c r="A81" s="39"/>
      <c r="B81" s="39"/>
      <c r="C81" s="45" t="s">
        <v>1</v>
      </c>
      <c r="D81" s="175"/>
      <c r="E81" s="176"/>
      <c r="F81" s="176"/>
      <c r="G81" s="176"/>
      <c r="H81" s="177"/>
      <c r="I81" s="46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</row>
    <row r="82" spans="1:45" ht="15" customHeight="1">
      <c r="A82" s="39"/>
      <c r="B82" s="39"/>
      <c r="C82" s="45" t="s">
        <v>2</v>
      </c>
      <c r="D82" s="175"/>
      <c r="E82" s="176"/>
      <c r="F82" s="176"/>
      <c r="G82" s="176"/>
      <c r="H82" s="177"/>
      <c r="I82" s="46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</row>
    <row r="83" spans="1:45" ht="15" customHeight="1">
      <c r="A83" s="39"/>
      <c r="B83" s="39"/>
      <c r="C83" s="45" t="s">
        <v>3</v>
      </c>
      <c r="D83" s="175"/>
      <c r="E83" s="176"/>
      <c r="F83" s="176"/>
      <c r="G83" s="176"/>
      <c r="H83" s="177"/>
      <c r="I83" s="46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</row>
    <row r="84" spans="1:45" ht="15" customHeight="1">
      <c r="A84" s="39"/>
      <c r="B84" s="39"/>
      <c r="C84" s="45" t="s">
        <v>4</v>
      </c>
      <c r="D84" s="175"/>
      <c r="E84" s="176"/>
      <c r="F84" s="176"/>
      <c r="G84" s="176"/>
      <c r="H84" s="177"/>
      <c r="I84" s="46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</row>
    <row r="85" spans="1:45" ht="15" customHeight="1">
      <c r="A85" s="39"/>
      <c r="B85" s="39"/>
      <c r="C85" s="45" t="s">
        <v>5</v>
      </c>
      <c r="D85" s="175"/>
      <c r="E85" s="176"/>
      <c r="F85" s="176"/>
      <c r="G85" s="176"/>
      <c r="H85" s="177"/>
      <c r="I85" s="46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</row>
    <row r="86" spans="1:45" ht="15" customHeight="1" thickBot="1">
      <c r="A86" s="39"/>
      <c r="B86" s="39"/>
      <c r="C86" s="45" t="s">
        <v>6</v>
      </c>
      <c r="D86" s="178"/>
      <c r="E86" s="179"/>
      <c r="F86" s="179"/>
      <c r="G86" s="179"/>
      <c r="H86" s="180"/>
      <c r="I86" s="46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</row>
    <row r="87" spans="1:45" ht="15" customHeight="1">
      <c r="A87" s="39"/>
      <c r="B87" s="39"/>
      <c r="C87" s="39"/>
      <c r="D87" s="51"/>
      <c r="E87" s="51"/>
      <c r="F87" s="51"/>
      <c r="G87" s="51"/>
      <c r="H87" s="51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</row>
  </sheetData>
  <sheetProtection algorithmName="SHA-512" hashValue="vlMytrsoh8RLOndWMtuXoxYz/ttvjjN4ui+aavKWB0JfCUlo5FNx4haipAvMzfj5iv0o68umbSjpb6AQGfj5Kg==" saltValue="8+tTg11mWdCdAUZlo3HqKg==" spinCount="100000" sheet="1" objects="1" scenarios="1"/>
  <phoneticPr fontId="2" type="noConversion"/>
  <dataValidations count="11">
    <dataValidation type="list" allowBlank="1" showInputMessage="1" showErrorMessage="1" sqref="D12:H12" xr:uid="{00000000-0002-0000-0300-000000000000}">
      <formula1>"Article,Product,Industrial"</formula1>
    </dataValidation>
    <dataValidation type="list" allowBlank="1" showInputMessage="1" showErrorMessage="1" sqref="D13:H13" xr:uid="{00000000-0002-0000-0300-000001000000}">
      <formula1>"Solid,Liquid,Gaseous"</formula1>
    </dataValidation>
    <dataValidation type="list" allowBlank="1" showInputMessage="1" showErrorMessage="1" sqref="D40:H46" xr:uid="{00000000-0002-0000-0300-000002000000}">
      <formula1>"Weibull,Normal,Bathtub,Delta,Uniform"</formula1>
    </dataValidation>
    <dataValidation type="list" allowBlank="1" showInputMessage="1" showErrorMessage="1" sqref="D14" xr:uid="{AC791FC6-1B3E-4921-AE27-1F22670844C1}">
      <formula1>INDIRECT($D$12)</formula1>
    </dataValidation>
    <dataValidation type="list" allowBlank="1" showInputMessage="1" showErrorMessage="1" sqref="E14" xr:uid="{DFB267B8-A9C3-4F1F-9CF0-5BF8AD597AC1}">
      <formula1>INDIRECT($E$12)</formula1>
    </dataValidation>
    <dataValidation type="list" allowBlank="1" showInputMessage="1" showErrorMessage="1" sqref="F14" xr:uid="{EAB81235-F8A2-49F8-B763-9E8E6922D465}">
      <formula1>INDIRECT($F$12)</formula1>
    </dataValidation>
    <dataValidation type="list" allowBlank="1" showInputMessage="1" showErrorMessage="1" sqref="G14" xr:uid="{F5375EBD-8196-46EB-83E8-A6071DFE7DD4}">
      <formula1>INDIRECT($G$12)</formula1>
    </dataValidation>
    <dataValidation type="list" allowBlank="1" showInputMessage="1" showErrorMessage="1" sqref="H14" xr:uid="{30D5F144-BD9B-4C6F-A74F-55E41B3DC641}">
      <formula1>INDIRECT($H$12)</formula1>
    </dataValidation>
    <dataValidation type="list" allowBlank="1" showInputMessage="1" showErrorMessage="1" sqref="D7" xr:uid="{5A920DBD-6E6C-46AB-994C-960C8915784F}">
      <formula1>UseCat</formula1>
    </dataValidation>
    <dataValidation type="whole" allowBlank="1" showInputMessage="1" showErrorMessage="1" sqref="D70:H76 D80:H86" xr:uid="{40456D70-D722-4BF6-A427-F6AF80361AD9}">
      <formula1>1</formula1>
      <formula2>9999</formula2>
    </dataValidation>
    <dataValidation type="list" allowBlank="1" showInputMessage="1" showErrorMessage="1" sqref="D5" xr:uid="{BC6EF0B8-E5AC-4108-89AC-2A047FE3D742}">
      <formula1>"Manual,Automatic"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6" r:id="rId4" name="Button 14">
              <controlPr defaultSize="0" print="0" autoFill="0" autoPict="0" macro="[0]!OpenLifespan">
                <anchor moveWithCells="1" sizeWithCells="1">
                  <from>
                    <xdr:col>8</xdr:col>
                    <xdr:colOff>200025</xdr:colOff>
                    <xdr:row>36</xdr:row>
                    <xdr:rowOff>180975</xdr:rowOff>
                  </from>
                  <to>
                    <xdr:col>10</xdr:col>
                    <xdr:colOff>581025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5" name="Button 17">
              <controlPr defaultSize="0" print="0" autoFill="0" autoPict="0" macro="[0]!IVParameterization">
                <anchor moveWithCells="1" sizeWithCells="1">
                  <from>
                    <xdr:col>4</xdr:col>
                    <xdr:colOff>66675</xdr:colOff>
                    <xdr:row>5</xdr:row>
                    <xdr:rowOff>190500</xdr:rowOff>
                  </from>
                  <to>
                    <xdr:col>5</xdr:col>
                    <xdr:colOff>295275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6" name="Button 20">
              <controlPr defaultSize="0" print="0" autoFill="0" autoPict="0" macro="[0]!OpenDistribution">
                <anchor moveWithCells="1" sizeWithCells="1">
                  <from>
                    <xdr:col>9</xdr:col>
                    <xdr:colOff>142875</xdr:colOff>
                    <xdr:row>20</xdr:row>
                    <xdr:rowOff>0</xdr:rowOff>
                  </from>
                  <to>
                    <xdr:col>11</xdr:col>
                    <xdr:colOff>295275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7" name="Button 22">
              <controlPr defaultSize="0" print="0" autoFill="0" autoPict="0" macro="[0]!SelectPara">
                <anchor moveWithCells="1" sizeWithCells="1">
                  <from>
                    <xdr:col>4</xdr:col>
                    <xdr:colOff>76200</xdr:colOff>
                    <xdr:row>3</xdr:row>
                    <xdr:rowOff>190500</xdr:rowOff>
                  </from>
                  <to>
                    <xdr:col>4</xdr:col>
                    <xdr:colOff>876300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780337-DBB3-4F0E-9F34-04ECDD18209D}">
          <x14:formula1>
            <xm:f>'DB-function distributions'!$B$9:$R$9</xm:f>
          </x14:formula1>
          <xm:sqref>D11:H11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53AC5-81CD-492B-9CF4-EAC9825CE3B3}">
  <sheetPr codeName="Sheet32">
    <tabColor rgb="FF0081E2"/>
  </sheetPr>
  <dimension ref="A1:AM218"/>
  <sheetViews>
    <sheetView zoomScale="90" zoomScaleNormal="90" workbookViewId="0">
      <selection activeCell="B13" sqref="B13"/>
    </sheetView>
  </sheetViews>
  <sheetFormatPr defaultColWidth="8.73046875" defaultRowHeight="14.25"/>
  <cols>
    <col min="2" max="2" width="19.3984375" customWidth="1"/>
  </cols>
  <sheetData>
    <row r="1" spans="1:39" ht="24.95" customHeight="1">
      <c r="A1" s="38" t="s">
        <v>272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hidden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idden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hidden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hidden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hidden="1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ht="13.5" hidden="1" customHeight="1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6"/>
    </row>
    <row r="10" spans="1:39" ht="13.5" hidden="1" customHeight="1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ht="13.5" customHeight="1" thickBot="1">
      <c r="A11" s="55"/>
      <c r="B11" s="56"/>
      <c r="C11" s="201" t="str">
        <f>"Application1: "&amp;Products!D10</f>
        <v xml:space="preserve">Application1: </v>
      </c>
      <c r="D11" s="201"/>
      <c r="E11" s="201"/>
      <c r="F11" s="201"/>
      <c r="G11" s="201"/>
      <c r="H11" s="201"/>
      <c r="I11" s="201"/>
      <c r="J11" s="201" t="str">
        <f>"Application2: "&amp;Products!E10</f>
        <v xml:space="preserve">Application2: </v>
      </c>
      <c r="K11" s="201"/>
      <c r="L11" s="201"/>
      <c r="M11" s="201"/>
      <c r="N11" s="201"/>
      <c r="O11" s="201"/>
      <c r="P11" s="201"/>
      <c r="Q11" s="201" t="str">
        <f>"Application3: "&amp;Products!F10</f>
        <v xml:space="preserve">Application3: </v>
      </c>
      <c r="R11" s="201"/>
      <c r="S11" s="201"/>
      <c r="T11" s="201"/>
      <c r="U11" s="201"/>
      <c r="V11" s="201"/>
      <c r="W11" s="201"/>
      <c r="X11" s="201" t="str">
        <f>"Application4: "&amp;Products!G10</f>
        <v xml:space="preserve">Application4: </v>
      </c>
      <c r="Y11" s="201"/>
      <c r="Z11" s="201"/>
      <c r="AA11" s="201"/>
      <c r="AB11" s="201"/>
      <c r="AC11" s="201"/>
      <c r="AD11" s="201"/>
      <c r="AE11" s="201" t="str">
        <f>"Application5: "&amp;Products!H10</f>
        <v xml:space="preserve">Application5: </v>
      </c>
      <c r="AF11" s="201"/>
      <c r="AG11" s="201"/>
      <c r="AH11" s="201"/>
      <c r="AI11" s="201"/>
      <c r="AJ11" s="201"/>
      <c r="AK11" s="201"/>
      <c r="AL11" s="56"/>
      <c r="AM11" s="55"/>
    </row>
    <row r="12" spans="1:39" ht="13.5" customHeight="1" thickBot="1">
      <c r="A12" s="55"/>
      <c r="B12" s="80"/>
      <c r="C12" s="202" t="s">
        <v>0</v>
      </c>
      <c r="D12" s="203" t="s">
        <v>256</v>
      </c>
      <c r="E12" s="203" t="s">
        <v>257</v>
      </c>
      <c r="F12" s="203" t="s">
        <v>258</v>
      </c>
      <c r="G12" s="203" t="s">
        <v>259</v>
      </c>
      <c r="H12" s="203" t="s">
        <v>260</v>
      </c>
      <c r="I12" s="203" t="s">
        <v>261</v>
      </c>
      <c r="J12" s="203" t="s">
        <v>0</v>
      </c>
      <c r="K12" s="203" t="s">
        <v>256</v>
      </c>
      <c r="L12" s="203" t="s">
        <v>257</v>
      </c>
      <c r="M12" s="203" t="s">
        <v>258</v>
      </c>
      <c r="N12" s="203" t="s">
        <v>259</v>
      </c>
      <c r="O12" s="203" t="s">
        <v>260</v>
      </c>
      <c r="P12" s="203" t="s">
        <v>261</v>
      </c>
      <c r="Q12" s="203" t="s">
        <v>0</v>
      </c>
      <c r="R12" s="203" t="s">
        <v>256</v>
      </c>
      <c r="S12" s="203" t="s">
        <v>257</v>
      </c>
      <c r="T12" s="203" t="s">
        <v>258</v>
      </c>
      <c r="U12" s="203" t="s">
        <v>259</v>
      </c>
      <c r="V12" s="203" t="s">
        <v>260</v>
      </c>
      <c r="W12" s="203" t="s">
        <v>261</v>
      </c>
      <c r="X12" s="203" t="s">
        <v>0</v>
      </c>
      <c r="Y12" s="203" t="s">
        <v>256</v>
      </c>
      <c r="Z12" s="203" t="s">
        <v>257</v>
      </c>
      <c r="AA12" s="203" t="s">
        <v>258</v>
      </c>
      <c r="AB12" s="203" t="s">
        <v>259</v>
      </c>
      <c r="AC12" s="203" t="s">
        <v>260</v>
      </c>
      <c r="AD12" s="203" t="s">
        <v>261</v>
      </c>
      <c r="AE12" s="203" t="s">
        <v>0</v>
      </c>
      <c r="AF12" s="203" t="s">
        <v>256</v>
      </c>
      <c r="AG12" s="203" t="s">
        <v>257</v>
      </c>
      <c r="AH12" s="203" t="s">
        <v>258</v>
      </c>
      <c r="AI12" s="203" t="s">
        <v>259</v>
      </c>
      <c r="AJ12" s="203" t="s">
        <v>260</v>
      </c>
      <c r="AK12" s="204" t="s">
        <v>261</v>
      </c>
      <c r="AL12" s="84"/>
      <c r="AM12" s="55"/>
    </row>
    <row r="13" spans="1:39" ht="13.5" customHeight="1" thickBot="1">
      <c r="A13" s="55"/>
      <c r="B13" s="138" t="s">
        <v>532</v>
      </c>
      <c r="C13" s="198">
        <f ca="1">OFFSET(Products!$D$30,MOD((COLUMN(C12)-COLUMN($C$12)),7),INT((COLUMN(C12)-COLUMN($C$12))/7))</f>
        <v>0</v>
      </c>
      <c r="D13" s="199">
        <f ca="1">OFFSET(Products!$D$30,MOD((COLUMN(D12)-COLUMN($C$12)),7),INT((COLUMN(D12)-COLUMN($C$12))/7))</f>
        <v>0</v>
      </c>
      <c r="E13" s="199">
        <f ca="1">OFFSET(Products!$D$30,MOD((COLUMN(E12)-COLUMN($C$12)),7),INT((COLUMN(E12)-COLUMN($C$12))/7))</f>
        <v>0</v>
      </c>
      <c r="F13" s="199">
        <f ca="1">OFFSET(Products!$D$30,MOD((COLUMN(F12)-COLUMN($C$12)),7),INT((COLUMN(F12)-COLUMN($C$12))/7))</f>
        <v>0</v>
      </c>
      <c r="G13" s="199">
        <f ca="1">OFFSET(Products!$D$30,MOD((COLUMN(G12)-COLUMN($C$12)),7),INT((COLUMN(G12)-COLUMN($C$12))/7))</f>
        <v>0</v>
      </c>
      <c r="H13" s="199">
        <f ca="1">OFFSET(Products!$D$30,MOD((COLUMN(H12)-COLUMN($C$12)),7),INT((COLUMN(H12)-COLUMN($C$12))/7))</f>
        <v>0</v>
      </c>
      <c r="I13" s="199">
        <f ca="1">OFFSET(Products!$D$30,MOD((COLUMN(I12)-COLUMN($C$12)),7),INT((COLUMN(I12)-COLUMN($C$12))/7))</f>
        <v>0</v>
      </c>
      <c r="J13" s="199">
        <f ca="1">OFFSET(Products!$D$30,MOD((COLUMN(J12)-COLUMN($C$12)),7),INT((COLUMN(J12)-COLUMN($C$12))/7))</f>
        <v>0</v>
      </c>
      <c r="K13" s="199">
        <f ca="1">OFFSET(Products!$D$30,MOD((COLUMN(K12)-COLUMN($C$12)),7),INT((COLUMN(K12)-COLUMN($C$12))/7))</f>
        <v>0</v>
      </c>
      <c r="L13" s="199">
        <f ca="1">OFFSET(Products!$D$30,MOD((COLUMN(L12)-COLUMN($C$12)),7),INT((COLUMN(L12)-COLUMN($C$12))/7))</f>
        <v>0</v>
      </c>
      <c r="M13" s="199">
        <f ca="1">OFFSET(Products!$D$30,MOD((COLUMN(M12)-COLUMN($C$12)),7),INT((COLUMN(M12)-COLUMN($C$12))/7))</f>
        <v>0</v>
      </c>
      <c r="N13" s="199">
        <f ca="1">OFFSET(Products!$D$30,MOD((COLUMN(N12)-COLUMN($C$12)),7),INT((COLUMN(N12)-COLUMN($C$12))/7))</f>
        <v>0</v>
      </c>
      <c r="O13" s="199">
        <f ca="1">OFFSET(Products!$D$30,MOD((COLUMN(O12)-COLUMN($C$12)),7),INT((COLUMN(O12)-COLUMN($C$12))/7))</f>
        <v>0</v>
      </c>
      <c r="P13" s="199">
        <f ca="1">OFFSET(Products!$D$30,MOD((COLUMN(P12)-COLUMN($C$12)),7),INT((COLUMN(P12)-COLUMN($C$12))/7))</f>
        <v>0</v>
      </c>
      <c r="Q13" s="199">
        <f ca="1">OFFSET(Products!$D$30,MOD((COLUMN(Q12)-COLUMN($C$12)),7),INT((COLUMN(Q12)-COLUMN($C$12))/7))</f>
        <v>0</v>
      </c>
      <c r="R13" s="199">
        <f ca="1">OFFSET(Products!$D$30,MOD((COLUMN(R12)-COLUMN($C$12)),7),INT((COLUMN(R12)-COLUMN($C$12))/7))</f>
        <v>0</v>
      </c>
      <c r="S13" s="199">
        <f ca="1">OFFSET(Products!$D$30,MOD((COLUMN(S12)-COLUMN($C$12)),7),INT((COLUMN(S12)-COLUMN($C$12))/7))</f>
        <v>0</v>
      </c>
      <c r="T13" s="199">
        <f ca="1">OFFSET(Products!$D$30,MOD((COLUMN(T12)-COLUMN($C$12)),7),INT((COLUMN(T12)-COLUMN($C$12))/7))</f>
        <v>0</v>
      </c>
      <c r="U13" s="199">
        <f ca="1">OFFSET(Products!$D$30,MOD((COLUMN(U12)-COLUMN($C$12)),7),INT((COLUMN(U12)-COLUMN($C$12))/7))</f>
        <v>0</v>
      </c>
      <c r="V13" s="199">
        <f ca="1">OFFSET(Products!$D$30,MOD((COLUMN(V12)-COLUMN($C$12)),7),INT((COLUMN(V12)-COLUMN($C$12))/7))</f>
        <v>0</v>
      </c>
      <c r="W13" s="199">
        <f ca="1">OFFSET(Products!$D$30,MOD((COLUMN(W12)-COLUMN($C$12)),7),INT((COLUMN(W12)-COLUMN($C$12))/7))</f>
        <v>0</v>
      </c>
      <c r="X13" s="199">
        <f ca="1">OFFSET(Products!$D$30,MOD((COLUMN(X12)-COLUMN($C$12)),7),INT((COLUMN(X12)-COLUMN($C$12))/7))</f>
        <v>0</v>
      </c>
      <c r="Y13" s="199">
        <f ca="1">OFFSET(Products!$D$30,MOD((COLUMN(Y12)-COLUMN($C$12)),7),INT((COLUMN(Y12)-COLUMN($C$12))/7))</f>
        <v>0</v>
      </c>
      <c r="Z13" s="199">
        <f ca="1">OFFSET(Products!$D$30,MOD((COLUMN(Z12)-COLUMN($C$12)),7),INT((COLUMN(Z12)-COLUMN($C$12))/7))</f>
        <v>0</v>
      </c>
      <c r="AA13" s="199">
        <f ca="1">OFFSET(Products!$D$30,MOD((COLUMN(AA12)-COLUMN($C$12)),7),INT((COLUMN(AA12)-COLUMN($C$12))/7))</f>
        <v>0</v>
      </c>
      <c r="AB13" s="199">
        <f ca="1">OFFSET(Products!$D$30,MOD((COLUMN(AB12)-COLUMN($C$12)),7),INT((COLUMN(AB12)-COLUMN($C$12))/7))</f>
        <v>0</v>
      </c>
      <c r="AC13" s="199">
        <f ca="1">OFFSET(Products!$D$30,MOD((COLUMN(AC12)-COLUMN($C$12)),7),INT((COLUMN(AC12)-COLUMN($C$12))/7))</f>
        <v>0</v>
      </c>
      <c r="AD13" s="199">
        <f ca="1">OFFSET(Products!$D$30,MOD((COLUMN(AD12)-COLUMN($C$12)),7),INT((COLUMN(AD12)-COLUMN($C$12))/7))</f>
        <v>0</v>
      </c>
      <c r="AE13" s="199">
        <f ca="1">OFFSET(Products!$D$30,MOD((COLUMN(AE12)-COLUMN($C$12)),7),INT((COLUMN(AE12)-COLUMN($C$12))/7))</f>
        <v>0</v>
      </c>
      <c r="AF13" s="199">
        <f ca="1">OFFSET(Products!$D$30,MOD((COLUMN(AF12)-COLUMN($C$12)),7),INT((COLUMN(AF12)-COLUMN($C$12))/7))</f>
        <v>0</v>
      </c>
      <c r="AG13" s="199">
        <f ca="1">OFFSET(Products!$D$30,MOD((COLUMN(AG12)-COLUMN($C$12)),7),INT((COLUMN(AG12)-COLUMN($C$12))/7))</f>
        <v>0</v>
      </c>
      <c r="AH13" s="199">
        <f ca="1">OFFSET(Products!$D$30,MOD((COLUMN(AH12)-COLUMN($C$12)),7),INT((COLUMN(AH12)-COLUMN($C$12))/7))</f>
        <v>0</v>
      </c>
      <c r="AI13" s="199">
        <f ca="1">OFFSET(Products!$D$30,MOD((COLUMN(AI12)-COLUMN($C$12)),7),INT((COLUMN(AI12)-COLUMN($C$12))/7))</f>
        <v>0</v>
      </c>
      <c r="AJ13" s="199">
        <f ca="1">OFFSET(Products!$D$30,MOD((COLUMN(AJ12)-COLUMN($C$12)),7),INT((COLUMN(AJ12)-COLUMN($C$12))/7))</f>
        <v>0</v>
      </c>
      <c r="AK13" s="200">
        <f ca="1">OFFSET(Products!$D$30,MOD((COLUMN(AK12)-COLUMN($C$12)),7),INT((COLUMN(AK12)-COLUMN($C$12))/7))</f>
        <v>0</v>
      </c>
      <c r="AL13" s="84"/>
      <c r="AM13" s="55"/>
    </row>
    <row r="14" spans="1:39" ht="13.5" customHeight="1">
      <c r="A14" s="55"/>
      <c r="B14" s="80">
        <f>IF(Start_year+ROW(B14)-ROW($B$14)&gt;End_year,"",Start_year+ROW(B14)-ROW($B$14))</f>
        <v>1930</v>
      </c>
      <c r="C14" s="194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51"/>
      <c r="AF14" s="151"/>
      <c r="AG14" s="151"/>
      <c r="AH14" s="151"/>
      <c r="AI14" s="151"/>
      <c r="AJ14" s="151"/>
      <c r="AK14" s="152"/>
      <c r="AL14" s="84"/>
      <c r="AM14" s="55"/>
    </row>
    <row r="15" spans="1:39" ht="13.5" customHeight="1">
      <c r="A15" s="55"/>
      <c r="B15" s="80">
        <f t="shared" ref="B15:B78" si="0">IF(Start_year+ROW(B15)-ROW($B$14)&gt;End_year,"",Start_year+ROW(B15)-ROW($B$14))</f>
        <v>1931</v>
      </c>
      <c r="C15" s="195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53"/>
      <c r="AF15" s="153"/>
      <c r="AG15" s="153"/>
      <c r="AH15" s="153"/>
      <c r="AI15" s="153"/>
      <c r="AJ15" s="153"/>
      <c r="AK15" s="154"/>
      <c r="AL15" s="84"/>
      <c r="AM15" s="55"/>
    </row>
    <row r="16" spans="1:39" ht="13.5" customHeight="1">
      <c r="A16" s="55"/>
      <c r="B16" s="80">
        <f t="shared" si="0"/>
        <v>1932</v>
      </c>
      <c r="C16" s="195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53"/>
      <c r="AF16" s="153"/>
      <c r="AG16" s="153"/>
      <c r="AH16" s="153"/>
      <c r="AI16" s="153"/>
      <c r="AJ16" s="153"/>
      <c r="AK16" s="154"/>
      <c r="AL16" s="84"/>
      <c r="AM16" s="55"/>
    </row>
    <row r="17" spans="1:39" ht="13.5" customHeight="1">
      <c r="A17" s="55"/>
      <c r="B17" s="80">
        <f t="shared" si="0"/>
        <v>1933</v>
      </c>
      <c r="C17" s="195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53"/>
      <c r="AF17" s="153"/>
      <c r="AG17" s="153"/>
      <c r="AH17" s="153"/>
      <c r="AI17" s="153"/>
      <c r="AJ17" s="153"/>
      <c r="AK17" s="154"/>
      <c r="AL17" s="84"/>
      <c r="AM17" s="55"/>
    </row>
    <row r="18" spans="1:39" ht="13.5" customHeight="1">
      <c r="A18" s="55"/>
      <c r="B18" s="80">
        <f t="shared" si="0"/>
        <v>1934</v>
      </c>
      <c r="C18" s="195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53"/>
      <c r="AF18" s="153"/>
      <c r="AG18" s="153"/>
      <c r="AH18" s="153"/>
      <c r="AI18" s="153"/>
      <c r="AJ18" s="153"/>
      <c r="AK18" s="154"/>
      <c r="AL18" s="84"/>
      <c r="AM18" s="55"/>
    </row>
    <row r="19" spans="1:39" ht="13.5" customHeight="1">
      <c r="A19" s="55"/>
      <c r="B19" s="80">
        <f t="shared" si="0"/>
        <v>1935</v>
      </c>
      <c r="C19" s="195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53"/>
      <c r="AF19" s="153"/>
      <c r="AG19" s="153"/>
      <c r="AH19" s="153"/>
      <c r="AI19" s="153"/>
      <c r="AJ19" s="153"/>
      <c r="AK19" s="154"/>
      <c r="AL19" s="84"/>
      <c r="AM19" s="55"/>
    </row>
    <row r="20" spans="1:39" ht="13.5" customHeight="1">
      <c r="A20" s="55"/>
      <c r="B20" s="80">
        <f t="shared" si="0"/>
        <v>1936</v>
      </c>
      <c r="C20" s="195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53"/>
      <c r="AF20" s="153"/>
      <c r="AG20" s="153"/>
      <c r="AH20" s="153"/>
      <c r="AI20" s="153"/>
      <c r="AJ20" s="153"/>
      <c r="AK20" s="154"/>
      <c r="AL20" s="84"/>
      <c r="AM20" s="55"/>
    </row>
    <row r="21" spans="1:39" ht="13.5" customHeight="1">
      <c r="A21" s="55"/>
      <c r="B21" s="80">
        <f t="shared" si="0"/>
        <v>1937</v>
      </c>
      <c r="C21" s="195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53"/>
      <c r="AF21" s="153"/>
      <c r="AG21" s="153"/>
      <c r="AH21" s="153"/>
      <c r="AI21" s="153"/>
      <c r="AJ21" s="153"/>
      <c r="AK21" s="154"/>
      <c r="AL21" s="84"/>
      <c r="AM21" s="55"/>
    </row>
    <row r="22" spans="1:39" ht="13.5" customHeight="1">
      <c r="A22" s="55"/>
      <c r="B22" s="80">
        <f t="shared" si="0"/>
        <v>1938</v>
      </c>
      <c r="C22" s="195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53"/>
      <c r="AF22" s="153"/>
      <c r="AG22" s="153"/>
      <c r="AH22" s="153"/>
      <c r="AI22" s="153"/>
      <c r="AJ22" s="153"/>
      <c r="AK22" s="154"/>
      <c r="AL22" s="84"/>
      <c r="AM22" s="55"/>
    </row>
    <row r="23" spans="1:39" ht="13.5" customHeight="1">
      <c r="A23" s="55"/>
      <c r="B23" s="80">
        <f t="shared" si="0"/>
        <v>1939</v>
      </c>
      <c r="C23" s="195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53"/>
      <c r="AF23" s="153"/>
      <c r="AG23" s="153"/>
      <c r="AH23" s="153"/>
      <c r="AI23" s="153"/>
      <c r="AJ23" s="153"/>
      <c r="AK23" s="154"/>
      <c r="AL23" s="84"/>
      <c r="AM23" s="55"/>
    </row>
    <row r="24" spans="1:39" ht="13.5" customHeight="1">
      <c r="A24" s="55"/>
      <c r="B24" s="80">
        <f t="shared" si="0"/>
        <v>1940</v>
      </c>
      <c r="C24" s="195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53"/>
      <c r="AF24" s="153"/>
      <c r="AG24" s="153"/>
      <c r="AH24" s="153"/>
      <c r="AI24" s="153"/>
      <c r="AJ24" s="153"/>
      <c r="AK24" s="154"/>
      <c r="AL24" s="84"/>
      <c r="AM24" s="55"/>
    </row>
    <row r="25" spans="1:39" ht="13.5" customHeight="1">
      <c r="A25" s="55"/>
      <c r="B25" s="80">
        <f t="shared" si="0"/>
        <v>1941</v>
      </c>
      <c r="C25" s="195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53"/>
      <c r="AF25" s="153"/>
      <c r="AG25" s="153"/>
      <c r="AH25" s="153"/>
      <c r="AI25" s="153"/>
      <c r="AJ25" s="153"/>
      <c r="AK25" s="154"/>
      <c r="AL25" s="84"/>
      <c r="AM25" s="55"/>
    </row>
    <row r="26" spans="1:39" ht="13.5" customHeight="1">
      <c r="A26" s="55"/>
      <c r="B26" s="80">
        <f t="shared" si="0"/>
        <v>1942</v>
      </c>
      <c r="C26" s="195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53"/>
      <c r="AF26" s="153"/>
      <c r="AG26" s="153"/>
      <c r="AH26" s="153"/>
      <c r="AI26" s="153"/>
      <c r="AJ26" s="153"/>
      <c r="AK26" s="154"/>
      <c r="AL26" s="84"/>
      <c r="AM26" s="55"/>
    </row>
    <row r="27" spans="1:39" ht="13.5" customHeight="1">
      <c r="A27" s="55"/>
      <c r="B27" s="80">
        <f t="shared" si="0"/>
        <v>1943</v>
      </c>
      <c r="C27" s="195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53"/>
      <c r="AF27" s="153"/>
      <c r="AG27" s="153"/>
      <c r="AH27" s="153"/>
      <c r="AI27" s="153"/>
      <c r="AJ27" s="153"/>
      <c r="AK27" s="154"/>
      <c r="AL27" s="84"/>
      <c r="AM27" s="55"/>
    </row>
    <row r="28" spans="1:39" ht="13.5" customHeight="1">
      <c r="A28" s="55"/>
      <c r="B28" s="80">
        <f t="shared" si="0"/>
        <v>1944</v>
      </c>
      <c r="C28" s="195"/>
      <c r="D28" s="197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53"/>
      <c r="AF28" s="153"/>
      <c r="AG28" s="153"/>
      <c r="AH28" s="153"/>
      <c r="AI28" s="153"/>
      <c r="AJ28" s="153"/>
      <c r="AK28" s="154"/>
      <c r="AL28" s="84"/>
      <c r="AM28" s="55"/>
    </row>
    <row r="29" spans="1:39" ht="13.5" customHeight="1">
      <c r="A29" s="55"/>
      <c r="B29" s="80">
        <f t="shared" si="0"/>
        <v>1945</v>
      </c>
      <c r="C29" s="195"/>
      <c r="D29" s="197"/>
      <c r="E29" s="197"/>
      <c r="F29" s="197"/>
      <c r="G29" s="197"/>
      <c r="H29" s="197"/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53"/>
      <c r="AF29" s="153"/>
      <c r="AG29" s="153"/>
      <c r="AH29" s="153"/>
      <c r="AI29" s="153"/>
      <c r="AJ29" s="153"/>
      <c r="AK29" s="154"/>
      <c r="AL29" s="84"/>
      <c r="AM29" s="55"/>
    </row>
    <row r="30" spans="1:39" ht="13.5" customHeight="1">
      <c r="A30" s="55"/>
      <c r="B30" s="80">
        <f t="shared" si="0"/>
        <v>1946</v>
      </c>
      <c r="C30" s="195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53"/>
      <c r="AF30" s="153"/>
      <c r="AG30" s="153"/>
      <c r="AH30" s="153"/>
      <c r="AI30" s="153"/>
      <c r="AJ30" s="153"/>
      <c r="AK30" s="154"/>
      <c r="AL30" s="84"/>
      <c r="AM30" s="55"/>
    </row>
    <row r="31" spans="1:39" ht="13.5" customHeight="1">
      <c r="A31" s="55"/>
      <c r="B31" s="80">
        <f t="shared" si="0"/>
        <v>1947</v>
      </c>
      <c r="C31" s="195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53"/>
      <c r="AF31" s="153"/>
      <c r="AG31" s="153"/>
      <c r="AH31" s="153"/>
      <c r="AI31" s="153"/>
      <c r="AJ31" s="153"/>
      <c r="AK31" s="154"/>
      <c r="AL31" s="84"/>
      <c r="AM31" s="55"/>
    </row>
    <row r="32" spans="1:39" ht="13.5" customHeight="1">
      <c r="A32" s="55"/>
      <c r="B32" s="80">
        <f t="shared" si="0"/>
        <v>1948</v>
      </c>
      <c r="C32" s="195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53"/>
      <c r="AF32" s="153"/>
      <c r="AG32" s="153"/>
      <c r="AH32" s="153"/>
      <c r="AI32" s="153"/>
      <c r="AJ32" s="153"/>
      <c r="AK32" s="154"/>
      <c r="AL32" s="84"/>
      <c r="AM32" s="55"/>
    </row>
    <row r="33" spans="1:39" ht="13.5" customHeight="1">
      <c r="A33" s="55"/>
      <c r="B33" s="80">
        <f t="shared" si="0"/>
        <v>1949</v>
      </c>
      <c r="C33" s="195"/>
      <c r="D33" s="197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  <c r="AA33" s="197"/>
      <c r="AB33" s="197"/>
      <c r="AC33" s="197"/>
      <c r="AD33" s="197"/>
      <c r="AE33" s="153"/>
      <c r="AF33" s="153"/>
      <c r="AG33" s="153"/>
      <c r="AH33" s="153"/>
      <c r="AI33" s="153"/>
      <c r="AJ33" s="153"/>
      <c r="AK33" s="154"/>
      <c r="AL33" s="84"/>
      <c r="AM33" s="55"/>
    </row>
    <row r="34" spans="1:39" ht="13.5" customHeight="1">
      <c r="A34" s="55"/>
      <c r="B34" s="80">
        <f t="shared" si="0"/>
        <v>1950</v>
      </c>
      <c r="C34" s="195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197"/>
      <c r="AC34" s="197"/>
      <c r="AD34" s="197"/>
      <c r="AE34" s="153"/>
      <c r="AF34" s="153"/>
      <c r="AG34" s="153"/>
      <c r="AH34" s="153"/>
      <c r="AI34" s="153"/>
      <c r="AJ34" s="153"/>
      <c r="AK34" s="154"/>
      <c r="AL34" s="84"/>
      <c r="AM34" s="55"/>
    </row>
    <row r="35" spans="1:39" ht="13.5" customHeight="1">
      <c r="A35" s="55"/>
      <c r="B35" s="80">
        <f t="shared" si="0"/>
        <v>1951</v>
      </c>
      <c r="C35" s="195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197"/>
      <c r="U35" s="197"/>
      <c r="V35" s="197"/>
      <c r="W35" s="197"/>
      <c r="X35" s="197"/>
      <c r="Y35" s="197"/>
      <c r="Z35" s="197"/>
      <c r="AA35" s="197"/>
      <c r="AB35" s="197"/>
      <c r="AC35" s="197"/>
      <c r="AD35" s="197"/>
      <c r="AE35" s="153"/>
      <c r="AF35" s="153"/>
      <c r="AG35" s="153"/>
      <c r="AH35" s="153"/>
      <c r="AI35" s="153"/>
      <c r="AJ35" s="153"/>
      <c r="AK35" s="154"/>
      <c r="AL35" s="84"/>
      <c r="AM35" s="55"/>
    </row>
    <row r="36" spans="1:39" ht="13.5" customHeight="1">
      <c r="A36" s="55"/>
      <c r="B36" s="80">
        <f t="shared" si="0"/>
        <v>1952</v>
      </c>
      <c r="C36" s="195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53"/>
      <c r="AF36" s="153"/>
      <c r="AG36" s="153"/>
      <c r="AH36" s="153"/>
      <c r="AI36" s="153"/>
      <c r="AJ36" s="153"/>
      <c r="AK36" s="154"/>
      <c r="AL36" s="84"/>
      <c r="AM36" s="55"/>
    </row>
    <row r="37" spans="1:39" ht="13.5" customHeight="1">
      <c r="A37" s="55"/>
      <c r="B37" s="80">
        <f t="shared" si="0"/>
        <v>1953</v>
      </c>
      <c r="C37" s="195"/>
      <c r="D37" s="197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97"/>
      <c r="AC37" s="197"/>
      <c r="AD37" s="197"/>
      <c r="AE37" s="153"/>
      <c r="AF37" s="153"/>
      <c r="AG37" s="153"/>
      <c r="AH37" s="153"/>
      <c r="AI37" s="153"/>
      <c r="AJ37" s="153"/>
      <c r="AK37" s="154"/>
      <c r="AL37" s="84"/>
      <c r="AM37" s="55"/>
    </row>
    <row r="38" spans="1:39" ht="13.5" customHeight="1">
      <c r="A38" s="55"/>
      <c r="B38" s="80">
        <f t="shared" si="0"/>
        <v>1954</v>
      </c>
      <c r="C38" s="195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53"/>
      <c r="AF38" s="153"/>
      <c r="AG38" s="153"/>
      <c r="AH38" s="153"/>
      <c r="AI38" s="153"/>
      <c r="AJ38" s="153"/>
      <c r="AK38" s="154"/>
      <c r="AL38" s="84"/>
      <c r="AM38" s="55"/>
    </row>
    <row r="39" spans="1:39" ht="13.5" customHeight="1">
      <c r="A39" s="55"/>
      <c r="B39" s="80">
        <f t="shared" si="0"/>
        <v>1955</v>
      </c>
      <c r="C39" s="195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53"/>
      <c r="AF39" s="153"/>
      <c r="AG39" s="153"/>
      <c r="AH39" s="153"/>
      <c r="AI39" s="153"/>
      <c r="AJ39" s="153"/>
      <c r="AK39" s="154"/>
      <c r="AL39" s="84"/>
      <c r="AM39" s="55"/>
    </row>
    <row r="40" spans="1:39" ht="13.5" customHeight="1">
      <c r="A40" s="55"/>
      <c r="B40" s="80">
        <f t="shared" si="0"/>
        <v>1956</v>
      </c>
      <c r="C40" s="195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53"/>
      <c r="AF40" s="153"/>
      <c r="AG40" s="153"/>
      <c r="AH40" s="153"/>
      <c r="AI40" s="153"/>
      <c r="AJ40" s="153"/>
      <c r="AK40" s="154"/>
      <c r="AL40" s="84"/>
      <c r="AM40" s="55"/>
    </row>
    <row r="41" spans="1:39" ht="13.5" customHeight="1">
      <c r="A41" s="55"/>
      <c r="B41" s="80">
        <f t="shared" si="0"/>
        <v>1957</v>
      </c>
      <c r="C41" s="195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Y41" s="197"/>
      <c r="Z41" s="197"/>
      <c r="AA41" s="197"/>
      <c r="AB41" s="197"/>
      <c r="AC41" s="197"/>
      <c r="AD41" s="197"/>
      <c r="AE41" s="153"/>
      <c r="AF41" s="153"/>
      <c r="AG41" s="153"/>
      <c r="AH41" s="153"/>
      <c r="AI41" s="153"/>
      <c r="AJ41" s="153"/>
      <c r="AK41" s="154"/>
      <c r="AL41" s="84"/>
      <c r="AM41" s="55"/>
    </row>
    <row r="42" spans="1:39" ht="13.5" customHeight="1">
      <c r="A42" s="55"/>
      <c r="B42" s="80">
        <f t="shared" si="0"/>
        <v>1958</v>
      </c>
      <c r="C42" s="195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197"/>
      <c r="AC42" s="197"/>
      <c r="AD42" s="197"/>
      <c r="AE42" s="153"/>
      <c r="AF42" s="153"/>
      <c r="AG42" s="153"/>
      <c r="AH42" s="153"/>
      <c r="AI42" s="153"/>
      <c r="AJ42" s="153"/>
      <c r="AK42" s="154"/>
      <c r="AL42" s="84"/>
      <c r="AM42" s="55"/>
    </row>
    <row r="43" spans="1:39" ht="13.5" customHeight="1">
      <c r="A43" s="55"/>
      <c r="B43" s="80">
        <f t="shared" si="0"/>
        <v>1959</v>
      </c>
      <c r="C43" s="195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53"/>
      <c r="AF43" s="153"/>
      <c r="AG43" s="153"/>
      <c r="AH43" s="153"/>
      <c r="AI43" s="153"/>
      <c r="AJ43" s="153"/>
      <c r="AK43" s="154"/>
      <c r="AL43" s="84"/>
      <c r="AM43" s="55"/>
    </row>
    <row r="44" spans="1:39" ht="13.5" customHeight="1">
      <c r="A44" s="55"/>
      <c r="B44" s="80">
        <f t="shared" si="0"/>
        <v>1960</v>
      </c>
      <c r="C44" s="195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  <c r="AA44" s="197"/>
      <c r="AB44" s="197"/>
      <c r="AC44" s="197"/>
      <c r="AD44" s="197"/>
      <c r="AE44" s="153"/>
      <c r="AF44" s="153"/>
      <c r="AG44" s="153"/>
      <c r="AH44" s="153"/>
      <c r="AI44" s="153"/>
      <c r="AJ44" s="153"/>
      <c r="AK44" s="154"/>
      <c r="AL44" s="84"/>
      <c r="AM44" s="55"/>
    </row>
    <row r="45" spans="1:39" ht="13.5" customHeight="1">
      <c r="A45" s="55"/>
      <c r="B45" s="80">
        <f t="shared" si="0"/>
        <v>1961</v>
      </c>
      <c r="C45" s="195"/>
      <c r="D45" s="197"/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Y45" s="197"/>
      <c r="Z45" s="197"/>
      <c r="AA45" s="197"/>
      <c r="AB45" s="197"/>
      <c r="AC45" s="197"/>
      <c r="AD45" s="197"/>
      <c r="AE45" s="153"/>
      <c r="AF45" s="153"/>
      <c r="AG45" s="153"/>
      <c r="AH45" s="153"/>
      <c r="AI45" s="153"/>
      <c r="AJ45" s="153"/>
      <c r="AK45" s="154"/>
      <c r="AL45" s="84"/>
      <c r="AM45" s="55"/>
    </row>
    <row r="46" spans="1:39" ht="13.5" customHeight="1">
      <c r="A46" s="55"/>
      <c r="B46" s="80">
        <f t="shared" si="0"/>
        <v>1962</v>
      </c>
      <c r="C46" s="195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97"/>
      <c r="AC46" s="197"/>
      <c r="AD46" s="197"/>
      <c r="AE46" s="153"/>
      <c r="AF46" s="153"/>
      <c r="AG46" s="153"/>
      <c r="AH46" s="153"/>
      <c r="AI46" s="153"/>
      <c r="AJ46" s="153"/>
      <c r="AK46" s="154"/>
      <c r="AL46" s="84"/>
      <c r="AM46" s="55"/>
    </row>
    <row r="47" spans="1:39" ht="13.5" customHeight="1">
      <c r="A47" s="55"/>
      <c r="B47" s="80">
        <f t="shared" si="0"/>
        <v>1963</v>
      </c>
      <c r="C47" s="195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53"/>
      <c r="AF47" s="153"/>
      <c r="AG47" s="153"/>
      <c r="AH47" s="153"/>
      <c r="AI47" s="153"/>
      <c r="AJ47" s="153"/>
      <c r="AK47" s="154"/>
      <c r="AL47" s="84"/>
      <c r="AM47" s="55"/>
    </row>
    <row r="48" spans="1:39" ht="13.5" customHeight="1">
      <c r="A48" s="55"/>
      <c r="B48" s="80">
        <f t="shared" si="0"/>
        <v>1964</v>
      </c>
      <c r="C48" s="195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53"/>
      <c r="AF48" s="153"/>
      <c r="AG48" s="153"/>
      <c r="AH48" s="153"/>
      <c r="AI48" s="153"/>
      <c r="AJ48" s="153"/>
      <c r="AK48" s="154"/>
      <c r="AL48" s="84"/>
      <c r="AM48" s="55"/>
    </row>
    <row r="49" spans="1:39" ht="13.5" customHeight="1">
      <c r="A49" s="55"/>
      <c r="B49" s="80">
        <f t="shared" si="0"/>
        <v>1965</v>
      </c>
      <c r="C49" s="195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  <c r="V49" s="197"/>
      <c r="W49" s="197"/>
      <c r="X49" s="197"/>
      <c r="Y49" s="197"/>
      <c r="Z49" s="197"/>
      <c r="AA49" s="197"/>
      <c r="AB49" s="197"/>
      <c r="AC49" s="197"/>
      <c r="AD49" s="197"/>
      <c r="AE49" s="153"/>
      <c r="AF49" s="153"/>
      <c r="AG49" s="153"/>
      <c r="AH49" s="153"/>
      <c r="AI49" s="153"/>
      <c r="AJ49" s="153"/>
      <c r="AK49" s="154"/>
      <c r="AL49" s="84"/>
      <c r="AM49" s="55"/>
    </row>
    <row r="50" spans="1:39" ht="13.5" customHeight="1">
      <c r="A50" s="55"/>
      <c r="B50" s="80">
        <f t="shared" si="0"/>
        <v>1966</v>
      </c>
      <c r="C50" s="195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53"/>
      <c r="AF50" s="153"/>
      <c r="AG50" s="153"/>
      <c r="AH50" s="153"/>
      <c r="AI50" s="153"/>
      <c r="AJ50" s="153"/>
      <c r="AK50" s="154"/>
      <c r="AL50" s="84"/>
      <c r="AM50" s="55"/>
    </row>
    <row r="51" spans="1:39" ht="13.5" customHeight="1">
      <c r="A51" s="55"/>
      <c r="B51" s="80">
        <f t="shared" si="0"/>
        <v>1967</v>
      </c>
      <c r="C51" s="195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53"/>
      <c r="AF51" s="153"/>
      <c r="AG51" s="153"/>
      <c r="AH51" s="153"/>
      <c r="AI51" s="153"/>
      <c r="AJ51" s="153"/>
      <c r="AK51" s="154"/>
      <c r="AL51" s="84"/>
      <c r="AM51" s="55"/>
    </row>
    <row r="52" spans="1:39" ht="13.5" customHeight="1">
      <c r="A52" s="55"/>
      <c r="B52" s="80">
        <f t="shared" si="0"/>
        <v>1968</v>
      </c>
      <c r="C52" s="195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7"/>
      <c r="Z52" s="197"/>
      <c r="AA52" s="197"/>
      <c r="AB52" s="197"/>
      <c r="AC52" s="197"/>
      <c r="AD52" s="197"/>
      <c r="AE52" s="153"/>
      <c r="AF52" s="153"/>
      <c r="AG52" s="153"/>
      <c r="AH52" s="153"/>
      <c r="AI52" s="153"/>
      <c r="AJ52" s="153"/>
      <c r="AK52" s="154"/>
      <c r="AL52" s="84"/>
      <c r="AM52" s="55"/>
    </row>
    <row r="53" spans="1:39" ht="13.5" customHeight="1">
      <c r="A53" s="55"/>
      <c r="B53" s="80">
        <f t="shared" si="0"/>
        <v>1969</v>
      </c>
      <c r="C53" s="195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97"/>
      <c r="V53" s="197"/>
      <c r="W53" s="197"/>
      <c r="X53" s="197"/>
      <c r="Y53" s="197"/>
      <c r="Z53" s="197"/>
      <c r="AA53" s="197"/>
      <c r="AB53" s="197"/>
      <c r="AC53" s="197"/>
      <c r="AD53" s="197"/>
      <c r="AE53" s="153"/>
      <c r="AF53" s="153"/>
      <c r="AG53" s="153"/>
      <c r="AH53" s="153"/>
      <c r="AI53" s="153"/>
      <c r="AJ53" s="153"/>
      <c r="AK53" s="154"/>
      <c r="AL53" s="84"/>
      <c r="AM53" s="55"/>
    </row>
    <row r="54" spans="1:39" ht="13.5" customHeight="1">
      <c r="A54" s="55"/>
      <c r="B54" s="80">
        <f t="shared" si="0"/>
        <v>1970</v>
      </c>
      <c r="C54" s="195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53"/>
      <c r="AF54" s="153"/>
      <c r="AG54" s="153"/>
      <c r="AH54" s="153"/>
      <c r="AI54" s="153"/>
      <c r="AJ54" s="153"/>
      <c r="AK54" s="154"/>
      <c r="AL54" s="84"/>
      <c r="AM54" s="55"/>
    </row>
    <row r="55" spans="1:39" ht="13.5" customHeight="1">
      <c r="A55" s="55"/>
      <c r="B55" s="80">
        <f t="shared" si="0"/>
        <v>1971</v>
      </c>
      <c r="C55" s="195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197"/>
      <c r="P55" s="197"/>
      <c r="Q55" s="197"/>
      <c r="R55" s="197"/>
      <c r="S55" s="197"/>
      <c r="T55" s="197"/>
      <c r="U55" s="197"/>
      <c r="V55" s="197"/>
      <c r="W55" s="197"/>
      <c r="X55" s="197"/>
      <c r="Y55" s="197"/>
      <c r="Z55" s="197"/>
      <c r="AA55" s="197"/>
      <c r="AB55" s="197"/>
      <c r="AC55" s="197"/>
      <c r="AD55" s="197"/>
      <c r="AE55" s="153"/>
      <c r="AF55" s="153"/>
      <c r="AG55" s="153"/>
      <c r="AH55" s="153"/>
      <c r="AI55" s="153"/>
      <c r="AJ55" s="153"/>
      <c r="AK55" s="154"/>
      <c r="AL55" s="84"/>
      <c r="AM55" s="55"/>
    </row>
    <row r="56" spans="1:39" ht="13.5" customHeight="1">
      <c r="A56" s="55"/>
      <c r="B56" s="80">
        <f t="shared" si="0"/>
        <v>1972</v>
      </c>
      <c r="C56" s="195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197"/>
      <c r="P56" s="197"/>
      <c r="Q56" s="197"/>
      <c r="R56" s="197"/>
      <c r="S56" s="197"/>
      <c r="T56" s="197"/>
      <c r="U56" s="197"/>
      <c r="V56" s="197"/>
      <c r="W56" s="197"/>
      <c r="X56" s="197"/>
      <c r="Y56" s="197"/>
      <c r="Z56" s="197"/>
      <c r="AA56" s="197"/>
      <c r="AB56" s="197"/>
      <c r="AC56" s="197"/>
      <c r="AD56" s="197"/>
      <c r="AE56" s="153"/>
      <c r="AF56" s="153"/>
      <c r="AG56" s="153"/>
      <c r="AH56" s="153"/>
      <c r="AI56" s="153"/>
      <c r="AJ56" s="153"/>
      <c r="AK56" s="154"/>
      <c r="AL56" s="84"/>
      <c r="AM56" s="55"/>
    </row>
    <row r="57" spans="1:39" ht="13.5" customHeight="1">
      <c r="A57" s="55"/>
      <c r="B57" s="80">
        <f t="shared" si="0"/>
        <v>1973</v>
      </c>
      <c r="C57" s="195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53"/>
      <c r="AF57" s="153"/>
      <c r="AG57" s="153"/>
      <c r="AH57" s="153"/>
      <c r="AI57" s="153"/>
      <c r="AJ57" s="153"/>
      <c r="AK57" s="154"/>
      <c r="AL57" s="84"/>
      <c r="AM57" s="55"/>
    </row>
    <row r="58" spans="1:39" ht="13.5" customHeight="1">
      <c r="A58" s="55"/>
      <c r="B58" s="80">
        <f t="shared" si="0"/>
        <v>1974</v>
      </c>
      <c r="C58" s="195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  <c r="AA58" s="197"/>
      <c r="AB58" s="197"/>
      <c r="AC58" s="197"/>
      <c r="AD58" s="197"/>
      <c r="AE58" s="153"/>
      <c r="AF58" s="153"/>
      <c r="AG58" s="153"/>
      <c r="AH58" s="153"/>
      <c r="AI58" s="153"/>
      <c r="AJ58" s="153"/>
      <c r="AK58" s="154"/>
      <c r="AL58" s="84"/>
      <c r="AM58" s="55"/>
    </row>
    <row r="59" spans="1:39" ht="13.5" customHeight="1">
      <c r="A59" s="55"/>
      <c r="B59" s="80">
        <f t="shared" si="0"/>
        <v>1975</v>
      </c>
      <c r="C59" s="195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  <c r="AA59" s="197"/>
      <c r="AB59" s="197"/>
      <c r="AC59" s="197"/>
      <c r="AD59" s="197"/>
      <c r="AE59" s="153"/>
      <c r="AF59" s="153"/>
      <c r="AG59" s="153"/>
      <c r="AH59" s="153"/>
      <c r="AI59" s="153"/>
      <c r="AJ59" s="153"/>
      <c r="AK59" s="154"/>
      <c r="AL59" s="84"/>
      <c r="AM59" s="55"/>
    </row>
    <row r="60" spans="1:39" ht="13.5" customHeight="1">
      <c r="A60" s="55"/>
      <c r="B60" s="80">
        <f t="shared" si="0"/>
        <v>1976</v>
      </c>
      <c r="C60" s="195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53"/>
      <c r="AF60" s="153"/>
      <c r="AG60" s="153"/>
      <c r="AH60" s="153"/>
      <c r="AI60" s="153"/>
      <c r="AJ60" s="153"/>
      <c r="AK60" s="154"/>
      <c r="AL60" s="84"/>
      <c r="AM60" s="55"/>
    </row>
    <row r="61" spans="1:39" ht="13.5" customHeight="1">
      <c r="A61" s="55"/>
      <c r="B61" s="80">
        <f t="shared" si="0"/>
        <v>1977</v>
      </c>
      <c r="C61" s="195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53"/>
      <c r="AF61" s="153"/>
      <c r="AG61" s="153"/>
      <c r="AH61" s="153"/>
      <c r="AI61" s="153"/>
      <c r="AJ61" s="153"/>
      <c r="AK61" s="154"/>
      <c r="AL61" s="84"/>
      <c r="AM61" s="55"/>
    </row>
    <row r="62" spans="1:39" ht="13.5" customHeight="1">
      <c r="A62" s="55"/>
      <c r="B62" s="80">
        <f t="shared" si="0"/>
        <v>1978</v>
      </c>
      <c r="C62" s="195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97"/>
      <c r="W62" s="197"/>
      <c r="X62" s="197"/>
      <c r="Y62" s="197"/>
      <c r="Z62" s="197"/>
      <c r="AA62" s="197"/>
      <c r="AB62" s="197"/>
      <c r="AC62" s="197"/>
      <c r="AD62" s="197"/>
      <c r="AE62" s="153"/>
      <c r="AF62" s="153"/>
      <c r="AG62" s="153"/>
      <c r="AH62" s="153"/>
      <c r="AI62" s="153"/>
      <c r="AJ62" s="153"/>
      <c r="AK62" s="154"/>
      <c r="AL62" s="84"/>
      <c r="AM62" s="55"/>
    </row>
    <row r="63" spans="1:39" ht="13.5" customHeight="1">
      <c r="A63" s="55"/>
      <c r="B63" s="80">
        <f t="shared" si="0"/>
        <v>1979</v>
      </c>
      <c r="C63" s="195"/>
      <c r="D63" s="197"/>
      <c r="E63" s="197"/>
      <c r="F63" s="197"/>
      <c r="G63" s="197"/>
      <c r="H63" s="197"/>
      <c r="I63" s="197"/>
      <c r="J63" s="197"/>
      <c r="K63" s="197"/>
      <c r="L63" s="197"/>
      <c r="M63" s="197"/>
      <c r="N63" s="197"/>
      <c r="O63" s="197"/>
      <c r="P63" s="197"/>
      <c r="Q63" s="197"/>
      <c r="R63" s="197"/>
      <c r="S63" s="197"/>
      <c r="T63" s="197"/>
      <c r="U63" s="197"/>
      <c r="V63" s="197"/>
      <c r="W63" s="197"/>
      <c r="X63" s="197"/>
      <c r="Y63" s="197"/>
      <c r="Z63" s="197"/>
      <c r="AA63" s="197"/>
      <c r="AB63" s="197"/>
      <c r="AC63" s="197"/>
      <c r="AD63" s="197"/>
      <c r="AE63" s="153"/>
      <c r="AF63" s="153"/>
      <c r="AG63" s="153"/>
      <c r="AH63" s="153"/>
      <c r="AI63" s="153"/>
      <c r="AJ63" s="153"/>
      <c r="AK63" s="154"/>
      <c r="AL63" s="84"/>
      <c r="AM63" s="55"/>
    </row>
    <row r="64" spans="1:39" ht="13.5" customHeight="1">
      <c r="A64" s="55"/>
      <c r="B64" s="80">
        <f t="shared" si="0"/>
        <v>1980</v>
      </c>
      <c r="C64" s="195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53"/>
      <c r="AF64" s="153"/>
      <c r="AG64" s="153"/>
      <c r="AH64" s="153"/>
      <c r="AI64" s="153"/>
      <c r="AJ64" s="153"/>
      <c r="AK64" s="154"/>
      <c r="AL64" s="84"/>
      <c r="AM64" s="55"/>
    </row>
    <row r="65" spans="1:39" ht="13.5" customHeight="1">
      <c r="A65" s="55"/>
      <c r="B65" s="80" t="str">
        <f t="shared" si="0"/>
        <v/>
      </c>
      <c r="C65" s="195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53"/>
      <c r="AF65" s="153"/>
      <c r="AG65" s="153"/>
      <c r="AH65" s="153"/>
      <c r="AI65" s="153"/>
      <c r="AJ65" s="153"/>
      <c r="AK65" s="154"/>
      <c r="AL65" s="84"/>
      <c r="AM65" s="55"/>
    </row>
    <row r="66" spans="1:39" ht="13.5" customHeight="1">
      <c r="A66" s="55"/>
      <c r="B66" s="80" t="str">
        <f t="shared" si="0"/>
        <v/>
      </c>
      <c r="C66" s="195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97"/>
      <c r="W66" s="197"/>
      <c r="X66" s="197"/>
      <c r="Y66" s="197"/>
      <c r="Z66" s="197"/>
      <c r="AA66" s="197"/>
      <c r="AB66" s="197"/>
      <c r="AC66" s="197"/>
      <c r="AD66" s="197"/>
      <c r="AE66" s="153"/>
      <c r="AF66" s="153"/>
      <c r="AG66" s="153"/>
      <c r="AH66" s="153"/>
      <c r="AI66" s="153"/>
      <c r="AJ66" s="153"/>
      <c r="AK66" s="154"/>
      <c r="AL66" s="84"/>
      <c r="AM66" s="55"/>
    </row>
    <row r="67" spans="1:39" ht="13.5" customHeight="1">
      <c r="A67" s="55"/>
      <c r="B67" s="80" t="str">
        <f t="shared" si="0"/>
        <v/>
      </c>
      <c r="C67" s="195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197"/>
      <c r="AA67" s="197"/>
      <c r="AB67" s="197"/>
      <c r="AC67" s="197"/>
      <c r="AD67" s="197"/>
      <c r="AE67" s="153"/>
      <c r="AF67" s="153"/>
      <c r="AG67" s="153"/>
      <c r="AH67" s="153"/>
      <c r="AI67" s="153"/>
      <c r="AJ67" s="153"/>
      <c r="AK67" s="154"/>
      <c r="AL67" s="84"/>
      <c r="AM67" s="55"/>
    </row>
    <row r="68" spans="1:39" ht="13.5" customHeight="1">
      <c r="A68" s="55"/>
      <c r="B68" s="80" t="str">
        <f t="shared" si="0"/>
        <v/>
      </c>
      <c r="C68" s="195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197"/>
      <c r="AA68" s="197"/>
      <c r="AB68" s="197"/>
      <c r="AC68" s="197"/>
      <c r="AD68" s="197"/>
      <c r="AE68" s="153"/>
      <c r="AF68" s="153"/>
      <c r="AG68" s="153"/>
      <c r="AH68" s="153"/>
      <c r="AI68" s="153"/>
      <c r="AJ68" s="153"/>
      <c r="AK68" s="154"/>
      <c r="AL68" s="84"/>
      <c r="AM68" s="55"/>
    </row>
    <row r="69" spans="1:39" ht="13.5" customHeight="1">
      <c r="A69" s="55"/>
      <c r="B69" s="80" t="str">
        <f t="shared" si="0"/>
        <v/>
      </c>
      <c r="C69" s="195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197"/>
      <c r="X69" s="197"/>
      <c r="Y69" s="197"/>
      <c r="Z69" s="197"/>
      <c r="AA69" s="197"/>
      <c r="AB69" s="197"/>
      <c r="AC69" s="197"/>
      <c r="AD69" s="197"/>
      <c r="AE69" s="153"/>
      <c r="AF69" s="153"/>
      <c r="AG69" s="153"/>
      <c r="AH69" s="153"/>
      <c r="AI69" s="153"/>
      <c r="AJ69" s="153"/>
      <c r="AK69" s="154"/>
      <c r="AL69" s="84"/>
      <c r="AM69" s="55"/>
    </row>
    <row r="70" spans="1:39" ht="13.5" customHeight="1">
      <c r="A70" s="55"/>
      <c r="B70" s="80" t="str">
        <f t="shared" si="0"/>
        <v/>
      </c>
      <c r="C70" s="195"/>
      <c r="D70" s="197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53"/>
      <c r="AF70" s="153"/>
      <c r="AG70" s="153"/>
      <c r="AH70" s="153"/>
      <c r="AI70" s="153"/>
      <c r="AJ70" s="153"/>
      <c r="AK70" s="154"/>
      <c r="AL70" s="84"/>
      <c r="AM70" s="55"/>
    </row>
    <row r="71" spans="1:39" ht="13.5" customHeight="1">
      <c r="A71" s="55"/>
      <c r="B71" s="80" t="str">
        <f t="shared" si="0"/>
        <v/>
      </c>
      <c r="C71" s="195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53"/>
      <c r="AF71" s="153"/>
      <c r="AG71" s="153"/>
      <c r="AH71" s="153"/>
      <c r="AI71" s="153"/>
      <c r="AJ71" s="153"/>
      <c r="AK71" s="154"/>
      <c r="AL71" s="84"/>
      <c r="AM71" s="55"/>
    </row>
    <row r="72" spans="1:39" ht="13.5" customHeight="1">
      <c r="A72" s="55"/>
      <c r="B72" s="80" t="str">
        <f t="shared" si="0"/>
        <v/>
      </c>
      <c r="C72" s="195"/>
      <c r="D72" s="197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53"/>
      <c r="AF72" s="153"/>
      <c r="AG72" s="153"/>
      <c r="AH72" s="153"/>
      <c r="AI72" s="153"/>
      <c r="AJ72" s="153"/>
      <c r="AK72" s="154"/>
      <c r="AL72" s="84"/>
      <c r="AM72" s="55"/>
    </row>
    <row r="73" spans="1:39" ht="13.5" customHeight="1">
      <c r="A73" s="55"/>
      <c r="B73" s="80" t="str">
        <f t="shared" si="0"/>
        <v/>
      </c>
      <c r="C73" s="195"/>
      <c r="D73" s="197"/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97"/>
      <c r="U73" s="197"/>
      <c r="V73" s="197"/>
      <c r="W73" s="197"/>
      <c r="X73" s="197"/>
      <c r="Y73" s="197"/>
      <c r="Z73" s="197"/>
      <c r="AA73" s="197"/>
      <c r="AB73" s="197"/>
      <c r="AC73" s="197"/>
      <c r="AD73" s="197"/>
      <c r="AE73" s="153"/>
      <c r="AF73" s="153"/>
      <c r="AG73" s="153"/>
      <c r="AH73" s="153"/>
      <c r="AI73" s="153"/>
      <c r="AJ73" s="153"/>
      <c r="AK73" s="154"/>
      <c r="AL73" s="84"/>
      <c r="AM73" s="55"/>
    </row>
    <row r="74" spans="1:39" ht="13.5" customHeight="1">
      <c r="A74" s="55"/>
      <c r="B74" s="80" t="str">
        <f t="shared" si="0"/>
        <v/>
      </c>
      <c r="C74" s="195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197"/>
      <c r="Q74" s="197"/>
      <c r="R74" s="197"/>
      <c r="S74" s="197"/>
      <c r="T74" s="197"/>
      <c r="U74" s="197"/>
      <c r="V74" s="197"/>
      <c r="W74" s="197"/>
      <c r="X74" s="197"/>
      <c r="Y74" s="197"/>
      <c r="Z74" s="197"/>
      <c r="AA74" s="197"/>
      <c r="AB74" s="197"/>
      <c r="AC74" s="197"/>
      <c r="AD74" s="197"/>
      <c r="AE74" s="153"/>
      <c r="AF74" s="153"/>
      <c r="AG74" s="153"/>
      <c r="AH74" s="153"/>
      <c r="AI74" s="153"/>
      <c r="AJ74" s="153"/>
      <c r="AK74" s="154"/>
      <c r="AL74" s="84"/>
      <c r="AM74" s="55"/>
    </row>
    <row r="75" spans="1:39" ht="13.5" customHeight="1">
      <c r="A75" s="55"/>
      <c r="B75" s="80" t="str">
        <f t="shared" si="0"/>
        <v/>
      </c>
      <c r="C75" s="195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Y75" s="197"/>
      <c r="Z75" s="197"/>
      <c r="AA75" s="197"/>
      <c r="AB75" s="197"/>
      <c r="AC75" s="197"/>
      <c r="AD75" s="197"/>
      <c r="AE75" s="153"/>
      <c r="AF75" s="153"/>
      <c r="AG75" s="153"/>
      <c r="AH75" s="153"/>
      <c r="AI75" s="153"/>
      <c r="AJ75" s="153"/>
      <c r="AK75" s="154"/>
      <c r="AL75" s="84"/>
      <c r="AM75" s="55"/>
    </row>
    <row r="76" spans="1:39" ht="13.5" customHeight="1">
      <c r="A76" s="55"/>
      <c r="B76" s="80" t="str">
        <f t="shared" si="0"/>
        <v/>
      </c>
      <c r="C76" s="195"/>
      <c r="D76" s="197"/>
      <c r="E76" s="197"/>
      <c r="F76" s="197"/>
      <c r="G76" s="197"/>
      <c r="H76" s="197"/>
      <c r="I76" s="197"/>
      <c r="J76" s="197"/>
      <c r="K76" s="197"/>
      <c r="L76" s="197"/>
      <c r="M76" s="197"/>
      <c r="N76" s="197"/>
      <c r="O76" s="197"/>
      <c r="P76" s="197"/>
      <c r="Q76" s="197"/>
      <c r="R76" s="197"/>
      <c r="S76" s="197"/>
      <c r="T76" s="197"/>
      <c r="U76" s="197"/>
      <c r="V76" s="197"/>
      <c r="W76" s="197"/>
      <c r="X76" s="197"/>
      <c r="Y76" s="197"/>
      <c r="Z76" s="197"/>
      <c r="AA76" s="197"/>
      <c r="AB76" s="197"/>
      <c r="AC76" s="197"/>
      <c r="AD76" s="197"/>
      <c r="AE76" s="153"/>
      <c r="AF76" s="153"/>
      <c r="AG76" s="153"/>
      <c r="AH76" s="153"/>
      <c r="AI76" s="153"/>
      <c r="AJ76" s="153"/>
      <c r="AK76" s="154"/>
      <c r="AL76" s="84"/>
      <c r="AM76" s="55"/>
    </row>
    <row r="77" spans="1:39" ht="13.5" customHeight="1">
      <c r="A77" s="55"/>
      <c r="B77" s="80" t="str">
        <f t="shared" si="0"/>
        <v/>
      </c>
      <c r="C77" s="195"/>
      <c r="D77" s="197"/>
      <c r="E77" s="197"/>
      <c r="F77" s="197"/>
      <c r="G77" s="197"/>
      <c r="H77" s="197"/>
      <c r="I77" s="197"/>
      <c r="J77" s="197"/>
      <c r="K77" s="197"/>
      <c r="L77" s="197"/>
      <c r="M77" s="197"/>
      <c r="N77" s="197"/>
      <c r="O77" s="197"/>
      <c r="P77" s="197"/>
      <c r="Q77" s="197"/>
      <c r="R77" s="197"/>
      <c r="S77" s="197"/>
      <c r="T77" s="197"/>
      <c r="U77" s="197"/>
      <c r="V77" s="197"/>
      <c r="W77" s="197"/>
      <c r="X77" s="197"/>
      <c r="Y77" s="197"/>
      <c r="Z77" s="197"/>
      <c r="AA77" s="197"/>
      <c r="AB77" s="197"/>
      <c r="AC77" s="197"/>
      <c r="AD77" s="197"/>
      <c r="AE77" s="153"/>
      <c r="AF77" s="153"/>
      <c r="AG77" s="153"/>
      <c r="AH77" s="153"/>
      <c r="AI77" s="153"/>
      <c r="AJ77" s="153"/>
      <c r="AK77" s="154"/>
      <c r="AL77" s="84"/>
      <c r="AM77" s="55"/>
    </row>
    <row r="78" spans="1:39" ht="13.5" customHeight="1">
      <c r="A78" s="55"/>
      <c r="B78" s="80" t="str">
        <f t="shared" si="0"/>
        <v/>
      </c>
      <c r="C78" s="195"/>
      <c r="D78" s="197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53"/>
      <c r="AF78" s="153"/>
      <c r="AG78" s="153"/>
      <c r="AH78" s="153"/>
      <c r="AI78" s="153"/>
      <c r="AJ78" s="153"/>
      <c r="AK78" s="154"/>
      <c r="AL78" s="84"/>
      <c r="AM78" s="55"/>
    </row>
    <row r="79" spans="1:39" ht="13.5" customHeight="1">
      <c r="A79" s="55"/>
      <c r="B79" s="80" t="str">
        <f t="shared" ref="B79:B142" si="1">IF(Start_year+ROW(B79)-ROW($B$14)&gt;End_year,"",Start_year+ROW(B79)-ROW($B$14))</f>
        <v/>
      </c>
      <c r="C79" s="195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53"/>
      <c r="AF79" s="153"/>
      <c r="AG79" s="153"/>
      <c r="AH79" s="153"/>
      <c r="AI79" s="153"/>
      <c r="AJ79" s="153"/>
      <c r="AK79" s="154"/>
      <c r="AL79" s="84"/>
      <c r="AM79" s="55"/>
    </row>
    <row r="80" spans="1:39" ht="13.5" customHeight="1">
      <c r="A80" s="55"/>
      <c r="B80" s="80" t="str">
        <f t="shared" si="1"/>
        <v/>
      </c>
      <c r="C80" s="195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Y80" s="197"/>
      <c r="Z80" s="197"/>
      <c r="AA80" s="197"/>
      <c r="AB80" s="197"/>
      <c r="AC80" s="197"/>
      <c r="AD80" s="197"/>
      <c r="AE80" s="153"/>
      <c r="AF80" s="153"/>
      <c r="AG80" s="153"/>
      <c r="AH80" s="153"/>
      <c r="AI80" s="153"/>
      <c r="AJ80" s="153"/>
      <c r="AK80" s="154"/>
      <c r="AL80" s="84"/>
      <c r="AM80" s="55"/>
    </row>
    <row r="81" spans="1:39" ht="13.5" customHeight="1">
      <c r="A81" s="55"/>
      <c r="B81" s="80" t="str">
        <f t="shared" si="1"/>
        <v/>
      </c>
      <c r="C81" s="195"/>
      <c r="D81" s="197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Y81" s="197"/>
      <c r="Z81" s="197"/>
      <c r="AA81" s="197"/>
      <c r="AB81" s="197"/>
      <c r="AC81" s="197"/>
      <c r="AD81" s="197"/>
      <c r="AE81" s="153"/>
      <c r="AF81" s="153"/>
      <c r="AG81" s="153"/>
      <c r="AH81" s="153"/>
      <c r="AI81" s="153"/>
      <c r="AJ81" s="153"/>
      <c r="AK81" s="154"/>
      <c r="AL81" s="84"/>
      <c r="AM81" s="55"/>
    </row>
    <row r="82" spans="1:39" ht="13.5" customHeight="1">
      <c r="A82" s="55"/>
      <c r="B82" s="80" t="str">
        <f t="shared" si="1"/>
        <v/>
      </c>
      <c r="C82" s="195"/>
      <c r="D82" s="197"/>
      <c r="E82" s="197"/>
      <c r="F82" s="197"/>
      <c r="G82" s="197"/>
      <c r="H82" s="197"/>
      <c r="I82" s="197"/>
      <c r="J82" s="197"/>
      <c r="K82" s="197"/>
      <c r="L82" s="197"/>
      <c r="M82" s="197"/>
      <c r="N82" s="197"/>
      <c r="O82" s="197"/>
      <c r="P82" s="197"/>
      <c r="Q82" s="197"/>
      <c r="R82" s="197"/>
      <c r="S82" s="197"/>
      <c r="T82" s="197"/>
      <c r="U82" s="197"/>
      <c r="V82" s="197"/>
      <c r="W82" s="197"/>
      <c r="X82" s="197"/>
      <c r="Y82" s="197"/>
      <c r="Z82" s="197"/>
      <c r="AA82" s="197"/>
      <c r="AB82" s="197"/>
      <c r="AC82" s="197"/>
      <c r="AD82" s="197"/>
      <c r="AE82" s="153"/>
      <c r="AF82" s="153"/>
      <c r="AG82" s="153"/>
      <c r="AH82" s="153"/>
      <c r="AI82" s="153"/>
      <c r="AJ82" s="153"/>
      <c r="AK82" s="154"/>
      <c r="AL82" s="84"/>
      <c r="AM82" s="55"/>
    </row>
    <row r="83" spans="1:39" ht="13.5" customHeight="1">
      <c r="A83" s="55"/>
      <c r="B83" s="80" t="str">
        <f t="shared" si="1"/>
        <v/>
      </c>
      <c r="C83" s="195"/>
      <c r="D83" s="197"/>
      <c r="E83" s="197"/>
      <c r="F83" s="197"/>
      <c r="G83" s="197"/>
      <c r="H83" s="197"/>
      <c r="I83" s="197"/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7"/>
      <c r="Z83" s="197"/>
      <c r="AA83" s="197"/>
      <c r="AB83" s="197"/>
      <c r="AC83" s="197"/>
      <c r="AD83" s="197"/>
      <c r="AE83" s="153"/>
      <c r="AF83" s="153"/>
      <c r="AG83" s="153"/>
      <c r="AH83" s="153"/>
      <c r="AI83" s="153"/>
      <c r="AJ83" s="153"/>
      <c r="AK83" s="154"/>
      <c r="AL83" s="84"/>
      <c r="AM83" s="55"/>
    </row>
    <row r="84" spans="1:39" ht="13.5" customHeight="1">
      <c r="A84" s="55"/>
      <c r="B84" s="80" t="str">
        <f t="shared" si="1"/>
        <v/>
      </c>
      <c r="C84" s="195"/>
      <c r="D84" s="197"/>
      <c r="E84" s="197"/>
      <c r="F84" s="197"/>
      <c r="G84" s="197"/>
      <c r="H84" s="197"/>
      <c r="I84" s="197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53"/>
      <c r="AF84" s="153"/>
      <c r="AG84" s="153"/>
      <c r="AH84" s="153"/>
      <c r="AI84" s="153"/>
      <c r="AJ84" s="153"/>
      <c r="AK84" s="154"/>
      <c r="AL84" s="84"/>
      <c r="AM84" s="55"/>
    </row>
    <row r="85" spans="1:39" ht="13.5" customHeight="1">
      <c r="A85" s="55"/>
      <c r="B85" s="80" t="str">
        <f t="shared" si="1"/>
        <v/>
      </c>
      <c r="C85" s="20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4"/>
      <c r="AL85" s="84"/>
      <c r="AM85" s="55"/>
    </row>
    <row r="86" spans="1:39" ht="13.5" customHeight="1">
      <c r="A86" s="55"/>
      <c r="B86" s="80" t="str">
        <f t="shared" si="1"/>
        <v/>
      </c>
      <c r="C86" s="20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4"/>
      <c r="AL86" s="84"/>
      <c r="AM86" s="55"/>
    </row>
    <row r="87" spans="1:39" ht="13.5" customHeight="1">
      <c r="A87" s="55"/>
      <c r="B87" s="80" t="str">
        <f t="shared" si="1"/>
        <v/>
      </c>
      <c r="C87" s="20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4"/>
      <c r="AL87" s="84"/>
      <c r="AM87" s="55"/>
    </row>
    <row r="88" spans="1:39" ht="13.5" customHeight="1">
      <c r="A88" s="55"/>
      <c r="B88" s="80" t="str">
        <f t="shared" si="1"/>
        <v/>
      </c>
      <c r="C88" s="20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4"/>
      <c r="AL88" s="84"/>
      <c r="AM88" s="55"/>
    </row>
    <row r="89" spans="1:39" ht="13.5" customHeight="1">
      <c r="A89" s="55"/>
      <c r="B89" s="80" t="str">
        <f t="shared" si="1"/>
        <v/>
      </c>
      <c r="C89" s="20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4"/>
      <c r="AL89" s="84"/>
      <c r="AM89" s="55"/>
    </row>
    <row r="90" spans="1:39" ht="13.5" customHeight="1">
      <c r="A90" s="55"/>
      <c r="B90" s="80" t="str">
        <f t="shared" si="1"/>
        <v/>
      </c>
      <c r="C90" s="20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4"/>
      <c r="AL90" s="84"/>
      <c r="AM90" s="55"/>
    </row>
    <row r="91" spans="1:39" ht="13.5" customHeight="1">
      <c r="A91" s="55"/>
      <c r="B91" s="80" t="str">
        <f t="shared" si="1"/>
        <v/>
      </c>
      <c r="C91" s="20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4"/>
      <c r="AL91" s="84"/>
      <c r="AM91" s="55"/>
    </row>
    <row r="92" spans="1:39" ht="13.5" customHeight="1">
      <c r="A92" s="55"/>
      <c r="B92" s="80" t="str">
        <f t="shared" si="1"/>
        <v/>
      </c>
      <c r="C92" s="20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4"/>
      <c r="AL92" s="84"/>
      <c r="AM92" s="55"/>
    </row>
    <row r="93" spans="1:39" ht="13.5" customHeight="1">
      <c r="A93" s="55"/>
      <c r="B93" s="80" t="str">
        <f t="shared" si="1"/>
        <v/>
      </c>
      <c r="C93" s="20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4"/>
      <c r="AL93" s="84"/>
      <c r="AM93" s="55"/>
    </row>
    <row r="94" spans="1:39" ht="13.5" customHeight="1">
      <c r="A94" s="55"/>
      <c r="B94" s="80" t="str">
        <f t="shared" si="1"/>
        <v/>
      </c>
      <c r="C94" s="20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4"/>
      <c r="AL94" s="84"/>
      <c r="AM94" s="55"/>
    </row>
    <row r="95" spans="1:39" ht="13.5" customHeight="1">
      <c r="A95" s="55"/>
      <c r="B95" s="80" t="str">
        <f t="shared" si="1"/>
        <v/>
      </c>
      <c r="C95" s="20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4"/>
      <c r="AL95" s="84"/>
      <c r="AM95" s="55"/>
    </row>
    <row r="96" spans="1:39" ht="13.5" customHeight="1">
      <c r="A96" s="55"/>
      <c r="B96" s="80" t="str">
        <f t="shared" si="1"/>
        <v/>
      </c>
      <c r="C96" s="20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4"/>
      <c r="AL96" s="84"/>
      <c r="AM96" s="55"/>
    </row>
    <row r="97" spans="1:39" ht="13.5" customHeight="1">
      <c r="A97" s="55"/>
      <c r="B97" s="80" t="str">
        <f t="shared" si="1"/>
        <v/>
      </c>
      <c r="C97" s="20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4"/>
      <c r="AL97" s="84"/>
      <c r="AM97" s="55"/>
    </row>
    <row r="98" spans="1:39" ht="13.5" customHeight="1">
      <c r="A98" s="55"/>
      <c r="B98" s="80" t="str">
        <f t="shared" si="1"/>
        <v/>
      </c>
      <c r="C98" s="20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4"/>
      <c r="AL98" s="84"/>
      <c r="AM98" s="55"/>
    </row>
    <row r="99" spans="1:39" ht="13.5" customHeight="1">
      <c r="A99" s="55"/>
      <c r="B99" s="80" t="str">
        <f t="shared" si="1"/>
        <v/>
      </c>
      <c r="C99" s="20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4"/>
      <c r="AL99" s="84"/>
      <c r="AM99" s="55"/>
    </row>
    <row r="100" spans="1:39" ht="13.5" customHeight="1">
      <c r="A100" s="55"/>
      <c r="B100" s="80" t="str">
        <f t="shared" si="1"/>
        <v/>
      </c>
      <c r="C100" s="20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4"/>
      <c r="AL100" s="84"/>
      <c r="AM100" s="55"/>
    </row>
    <row r="101" spans="1:39" ht="13.5" customHeight="1">
      <c r="A101" s="55"/>
      <c r="B101" s="80" t="str">
        <f t="shared" si="1"/>
        <v/>
      </c>
      <c r="C101" s="20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4"/>
      <c r="AL101" s="84"/>
      <c r="AM101" s="55"/>
    </row>
    <row r="102" spans="1:39" ht="13.5" customHeight="1">
      <c r="A102" s="55"/>
      <c r="B102" s="80" t="str">
        <f t="shared" si="1"/>
        <v/>
      </c>
      <c r="C102" s="20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4"/>
      <c r="AL102" s="84"/>
      <c r="AM102" s="55"/>
    </row>
    <row r="103" spans="1:39" ht="13.5" customHeight="1">
      <c r="A103" s="55"/>
      <c r="B103" s="80" t="str">
        <f t="shared" si="1"/>
        <v/>
      </c>
      <c r="C103" s="20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4"/>
      <c r="AL103" s="84"/>
      <c r="AM103" s="55"/>
    </row>
    <row r="104" spans="1:39" ht="13.5" customHeight="1">
      <c r="A104" s="55"/>
      <c r="B104" s="80" t="str">
        <f t="shared" si="1"/>
        <v/>
      </c>
      <c r="C104" s="20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4"/>
      <c r="AL104" s="84"/>
      <c r="AM104" s="55"/>
    </row>
    <row r="105" spans="1:39" ht="13.5" customHeight="1">
      <c r="A105" s="55"/>
      <c r="B105" s="80" t="str">
        <f t="shared" si="1"/>
        <v/>
      </c>
      <c r="C105" s="20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4"/>
      <c r="AL105" s="84"/>
      <c r="AM105" s="55"/>
    </row>
    <row r="106" spans="1:39" ht="13.5" customHeight="1">
      <c r="A106" s="55"/>
      <c r="B106" s="80" t="str">
        <f t="shared" si="1"/>
        <v/>
      </c>
      <c r="C106" s="20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4"/>
      <c r="AL106" s="84"/>
      <c r="AM106" s="55"/>
    </row>
    <row r="107" spans="1:39" ht="13.5" customHeight="1">
      <c r="A107" s="55"/>
      <c r="B107" s="80" t="str">
        <f t="shared" si="1"/>
        <v/>
      </c>
      <c r="C107" s="20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4"/>
      <c r="AL107" s="84"/>
      <c r="AM107" s="55"/>
    </row>
    <row r="108" spans="1:39" ht="13.5" customHeight="1">
      <c r="A108" s="55"/>
      <c r="B108" s="80" t="str">
        <f t="shared" si="1"/>
        <v/>
      </c>
      <c r="C108" s="20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  <c r="AH108" s="153"/>
      <c r="AI108" s="153"/>
      <c r="AJ108" s="153"/>
      <c r="AK108" s="154"/>
      <c r="AL108" s="84"/>
      <c r="AM108" s="55"/>
    </row>
    <row r="109" spans="1:39" ht="13.5" customHeight="1">
      <c r="A109" s="55"/>
      <c r="B109" s="80" t="str">
        <f t="shared" si="1"/>
        <v/>
      </c>
      <c r="C109" s="20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4"/>
      <c r="AL109" s="84"/>
      <c r="AM109" s="55"/>
    </row>
    <row r="110" spans="1:39" ht="13.5" customHeight="1">
      <c r="A110" s="55"/>
      <c r="B110" s="80" t="str">
        <f t="shared" si="1"/>
        <v/>
      </c>
      <c r="C110" s="20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4"/>
      <c r="AL110" s="84"/>
      <c r="AM110" s="55"/>
    </row>
    <row r="111" spans="1:39" ht="13.5" customHeight="1">
      <c r="A111" s="55"/>
      <c r="B111" s="80" t="str">
        <f t="shared" si="1"/>
        <v/>
      </c>
      <c r="C111" s="20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4"/>
      <c r="AL111" s="84"/>
      <c r="AM111" s="55"/>
    </row>
    <row r="112" spans="1:39" ht="13.5" customHeight="1">
      <c r="A112" s="55"/>
      <c r="B112" s="80" t="str">
        <f t="shared" si="1"/>
        <v/>
      </c>
      <c r="C112" s="20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4"/>
      <c r="AL112" s="84"/>
      <c r="AM112" s="55"/>
    </row>
    <row r="113" spans="1:39" ht="13.5" customHeight="1">
      <c r="A113" s="55"/>
      <c r="B113" s="80" t="str">
        <f t="shared" si="1"/>
        <v/>
      </c>
      <c r="C113" s="20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4"/>
      <c r="AL113" s="84"/>
      <c r="AM113" s="55"/>
    </row>
    <row r="114" spans="1:39" ht="13.5" customHeight="1">
      <c r="A114" s="55"/>
      <c r="B114" s="80" t="str">
        <f t="shared" si="1"/>
        <v/>
      </c>
      <c r="C114" s="20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4"/>
      <c r="AL114" s="84"/>
      <c r="AM114" s="55"/>
    </row>
    <row r="115" spans="1:39" ht="13.5" customHeight="1">
      <c r="A115" s="55"/>
      <c r="B115" s="80" t="str">
        <f t="shared" si="1"/>
        <v/>
      </c>
      <c r="C115" s="20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4"/>
      <c r="AL115" s="84"/>
      <c r="AM115" s="55"/>
    </row>
    <row r="116" spans="1:39" ht="13.5" customHeight="1">
      <c r="A116" s="55"/>
      <c r="B116" s="80" t="str">
        <f t="shared" si="1"/>
        <v/>
      </c>
      <c r="C116" s="20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4"/>
      <c r="AL116" s="84"/>
      <c r="AM116" s="55"/>
    </row>
    <row r="117" spans="1:39" ht="13.5" customHeight="1">
      <c r="A117" s="55"/>
      <c r="B117" s="80" t="str">
        <f t="shared" si="1"/>
        <v/>
      </c>
      <c r="C117" s="20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4"/>
      <c r="AL117" s="84"/>
      <c r="AM117" s="55"/>
    </row>
    <row r="118" spans="1:39" ht="13.5" customHeight="1">
      <c r="A118" s="55"/>
      <c r="B118" s="80" t="str">
        <f t="shared" si="1"/>
        <v/>
      </c>
      <c r="C118" s="20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4"/>
      <c r="AL118" s="84"/>
      <c r="AM118" s="55"/>
    </row>
    <row r="119" spans="1:39" ht="13.5" customHeight="1">
      <c r="A119" s="55"/>
      <c r="B119" s="80" t="str">
        <f t="shared" si="1"/>
        <v/>
      </c>
      <c r="C119" s="20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4"/>
      <c r="AL119" s="84"/>
      <c r="AM119" s="55"/>
    </row>
    <row r="120" spans="1:39" ht="13.5" customHeight="1">
      <c r="A120" s="55"/>
      <c r="B120" s="80" t="str">
        <f t="shared" si="1"/>
        <v/>
      </c>
      <c r="C120" s="20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4"/>
      <c r="AL120" s="84"/>
      <c r="AM120" s="55"/>
    </row>
    <row r="121" spans="1:39" ht="13.5" customHeight="1">
      <c r="A121" s="55"/>
      <c r="B121" s="80" t="str">
        <f t="shared" si="1"/>
        <v/>
      </c>
      <c r="C121" s="20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4"/>
      <c r="AL121" s="84"/>
      <c r="AM121" s="55"/>
    </row>
    <row r="122" spans="1:39" ht="13.5" customHeight="1">
      <c r="A122" s="55"/>
      <c r="B122" s="80" t="str">
        <f t="shared" si="1"/>
        <v/>
      </c>
      <c r="C122" s="20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4"/>
      <c r="AL122" s="84"/>
      <c r="AM122" s="55"/>
    </row>
    <row r="123" spans="1:39" ht="13.5" customHeight="1">
      <c r="A123" s="55"/>
      <c r="B123" s="80" t="str">
        <f t="shared" si="1"/>
        <v/>
      </c>
      <c r="C123" s="20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4"/>
      <c r="AL123" s="84"/>
      <c r="AM123" s="55"/>
    </row>
    <row r="124" spans="1:39" ht="13.5" customHeight="1">
      <c r="A124" s="55"/>
      <c r="B124" s="80" t="str">
        <f t="shared" si="1"/>
        <v/>
      </c>
      <c r="C124" s="20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4"/>
      <c r="AL124" s="84"/>
      <c r="AM124" s="55"/>
    </row>
    <row r="125" spans="1:39" ht="13.5" customHeight="1">
      <c r="A125" s="55"/>
      <c r="B125" s="80" t="str">
        <f t="shared" si="1"/>
        <v/>
      </c>
      <c r="C125" s="20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4"/>
      <c r="AL125" s="84"/>
      <c r="AM125" s="55"/>
    </row>
    <row r="126" spans="1:39" ht="13.5" customHeight="1">
      <c r="A126" s="55"/>
      <c r="B126" s="80" t="str">
        <f t="shared" si="1"/>
        <v/>
      </c>
      <c r="C126" s="20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4"/>
      <c r="AL126" s="84"/>
      <c r="AM126" s="55"/>
    </row>
    <row r="127" spans="1:39" ht="13.5" customHeight="1">
      <c r="A127" s="55"/>
      <c r="B127" s="80" t="str">
        <f t="shared" si="1"/>
        <v/>
      </c>
      <c r="C127" s="20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4"/>
      <c r="AL127" s="84"/>
      <c r="AM127" s="55"/>
    </row>
    <row r="128" spans="1:39" ht="13.5" customHeight="1">
      <c r="A128" s="55"/>
      <c r="B128" s="80" t="str">
        <f t="shared" si="1"/>
        <v/>
      </c>
      <c r="C128" s="20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4"/>
      <c r="AL128" s="84"/>
      <c r="AM128" s="55"/>
    </row>
    <row r="129" spans="1:39" ht="13.5" customHeight="1">
      <c r="A129" s="55"/>
      <c r="B129" s="80" t="str">
        <f t="shared" si="1"/>
        <v/>
      </c>
      <c r="C129" s="20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4"/>
      <c r="AL129" s="84"/>
      <c r="AM129" s="55"/>
    </row>
    <row r="130" spans="1:39" ht="13.5" customHeight="1">
      <c r="A130" s="55"/>
      <c r="B130" s="80" t="str">
        <f t="shared" si="1"/>
        <v/>
      </c>
      <c r="C130" s="20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4"/>
      <c r="AL130" s="84"/>
      <c r="AM130" s="55"/>
    </row>
    <row r="131" spans="1:39" ht="13.5" customHeight="1">
      <c r="A131" s="55"/>
      <c r="B131" s="80" t="str">
        <f t="shared" si="1"/>
        <v/>
      </c>
      <c r="C131" s="20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4"/>
      <c r="AL131" s="84"/>
      <c r="AM131" s="55"/>
    </row>
    <row r="132" spans="1:39" ht="13.5" customHeight="1">
      <c r="A132" s="55"/>
      <c r="B132" s="80" t="str">
        <f t="shared" si="1"/>
        <v/>
      </c>
      <c r="C132" s="20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4"/>
      <c r="AL132" s="84"/>
      <c r="AM132" s="55"/>
    </row>
    <row r="133" spans="1:39" ht="13.5" customHeight="1">
      <c r="A133" s="55"/>
      <c r="B133" s="80" t="str">
        <f t="shared" si="1"/>
        <v/>
      </c>
      <c r="C133" s="20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4"/>
      <c r="AL133" s="84"/>
      <c r="AM133" s="55"/>
    </row>
    <row r="134" spans="1:39" ht="13.5" customHeight="1">
      <c r="A134" s="55"/>
      <c r="B134" s="80" t="str">
        <f t="shared" si="1"/>
        <v/>
      </c>
      <c r="C134" s="20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4"/>
      <c r="AL134" s="84"/>
      <c r="AM134" s="55"/>
    </row>
    <row r="135" spans="1:39" ht="13.5" customHeight="1">
      <c r="A135" s="55"/>
      <c r="B135" s="80" t="str">
        <f t="shared" si="1"/>
        <v/>
      </c>
      <c r="C135" s="20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4"/>
      <c r="AL135" s="84"/>
      <c r="AM135" s="55"/>
    </row>
    <row r="136" spans="1:39" ht="13.5" customHeight="1">
      <c r="A136" s="55"/>
      <c r="B136" s="80" t="str">
        <f t="shared" si="1"/>
        <v/>
      </c>
      <c r="C136" s="20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4"/>
      <c r="AL136" s="84"/>
      <c r="AM136" s="55"/>
    </row>
    <row r="137" spans="1:39" ht="13.5" customHeight="1">
      <c r="A137" s="55"/>
      <c r="B137" s="80" t="str">
        <f t="shared" si="1"/>
        <v/>
      </c>
      <c r="C137" s="20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4"/>
      <c r="AL137" s="84"/>
      <c r="AM137" s="55"/>
    </row>
    <row r="138" spans="1:39" ht="13.5" customHeight="1">
      <c r="A138" s="55"/>
      <c r="B138" s="80" t="str">
        <f t="shared" si="1"/>
        <v/>
      </c>
      <c r="C138" s="20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4"/>
      <c r="AL138" s="84"/>
      <c r="AM138" s="55"/>
    </row>
    <row r="139" spans="1:39" ht="13.5" customHeight="1">
      <c r="A139" s="55"/>
      <c r="B139" s="80" t="str">
        <f t="shared" si="1"/>
        <v/>
      </c>
      <c r="C139" s="20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4"/>
      <c r="AL139" s="84"/>
      <c r="AM139" s="55"/>
    </row>
    <row r="140" spans="1:39" ht="13.5" customHeight="1">
      <c r="A140" s="55"/>
      <c r="B140" s="80" t="str">
        <f t="shared" si="1"/>
        <v/>
      </c>
      <c r="C140" s="20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4"/>
      <c r="AL140" s="84"/>
      <c r="AM140" s="55"/>
    </row>
    <row r="141" spans="1:39" ht="13.5" customHeight="1">
      <c r="A141" s="55"/>
      <c r="B141" s="80" t="str">
        <f t="shared" si="1"/>
        <v/>
      </c>
      <c r="C141" s="20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4"/>
      <c r="AL141" s="84"/>
      <c r="AM141" s="55"/>
    </row>
    <row r="142" spans="1:39" ht="13.5" customHeight="1">
      <c r="A142" s="55"/>
      <c r="B142" s="80" t="str">
        <f t="shared" si="1"/>
        <v/>
      </c>
      <c r="C142" s="20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4"/>
      <c r="AL142" s="84"/>
      <c r="AM142" s="55"/>
    </row>
    <row r="143" spans="1:39" ht="13.5" customHeight="1">
      <c r="A143" s="55"/>
      <c r="B143" s="80" t="str">
        <f t="shared" ref="B143:B206" si="2">IF(Start_year+ROW(B143)-ROW($B$14)&gt;End_year,"",Start_year+ROW(B143)-ROW($B$14))</f>
        <v/>
      </c>
      <c r="C143" s="20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4"/>
      <c r="AL143" s="84"/>
      <c r="AM143" s="55"/>
    </row>
    <row r="144" spans="1:39" ht="13.5" customHeight="1">
      <c r="A144" s="55"/>
      <c r="B144" s="80" t="str">
        <f t="shared" si="2"/>
        <v/>
      </c>
      <c r="C144" s="20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4"/>
      <c r="AL144" s="84"/>
      <c r="AM144" s="55"/>
    </row>
    <row r="145" spans="1:39" ht="13.5" customHeight="1">
      <c r="A145" s="55"/>
      <c r="B145" s="80" t="str">
        <f t="shared" si="2"/>
        <v/>
      </c>
      <c r="C145" s="20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4"/>
      <c r="AL145" s="84"/>
      <c r="AM145" s="55"/>
    </row>
    <row r="146" spans="1:39" ht="13.5" customHeight="1">
      <c r="A146" s="55"/>
      <c r="B146" s="80" t="str">
        <f t="shared" si="2"/>
        <v/>
      </c>
      <c r="C146" s="20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4"/>
      <c r="AL146" s="84"/>
      <c r="AM146" s="55"/>
    </row>
    <row r="147" spans="1:39" ht="13.5" customHeight="1">
      <c r="A147" s="55"/>
      <c r="B147" s="80" t="str">
        <f t="shared" si="2"/>
        <v/>
      </c>
      <c r="C147" s="20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4"/>
      <c r="AL147" s="84"/>
      <c r="AM147" s="55"/>
    </row>
    <row r="148" spans="1:39" ht="13.5" customHeight="1">
      <c r="A148" s="55"/>
      <c r="B148" s="80" t="str">
        <f t="shared" si="2"/>
        <v/>
      </c>
      <c r="C148" s="20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4"/>
      <c r="AL148" s="84"/>
      <c r="AM148" s="55"/>
    </row>
    <row r="149" spans="1:39" ht="13.5" customHeight="1">
      <c r="A149" s="55"/>
      <c r="B149" s="80" t="str">
        <f t="shared" si="2"/>
        <v/>
      </c>
      <c r="C149" s="20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4"/>
      <c r="AL149" s="84"/>
      <c r="AM149" s="55"/>
    </row>
    <row r="150" spans="1:39" ht="13.5" customHeight="1">
      <c r="A150" s="55"/>
      <c r="B150" s="80" t="str">
        <f t="shared" si="2"/>
        <v/>
      </c>
      <c r="C150" s="20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4"/>
      <c r="AL150" s="84"/>
      <c r="AM150" s="55"/>
    </row>
    <row r="151" spans="1:39" ht="13.5" customHeight="1">
      <c r="A151" s="55"/>
      <c r="B151" s="80" t="str">
        <f t="shared" si="2"/>
        <v/>
      </c>
      <c r="C151" s="20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4"/>
      <c r="AL151" s="84"/>
      <c r="AM151" s="55"/>
    </row>
    <row r="152" spans="1:39" ht="13.5" customHeight="1">
      <c r="A152" s="55"/>
      <c r="B152" s="80" t="str">
        <f t="shared" si="2"/>
        <v/>
      </c>
      <c r="C152" s="20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4"/>
      <c r="AL152" s="84"/>
      <c r="AM152" s="55"/>
    </row>
    <row r="153" spans="1:39" ht="13.5" customHeight="1">
      <c r="A153" s="55"/>
      <c r="B153" s="80" t="str">
        <f t="shared" si="2"/>
        <v/>
      </c>
      <c r="C153" s="20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4"/>
      <c r="AL153" s="84"/>
      <c r="AM153" s="55"/>
    </row>
    <row r="154" spans="1:39" ht="13.5" customHeight="1">
      <c r="A154" s="55"/>
      <c r="B154" s="80" t="str">
        <f t="shared" si="2"/>
        <v/>
      </c>
      <c r="C154" s="20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4"/>
      <c r="AL154" s="84"/>
      <c r="AM154" s="55"/>
    </row>
    <row r="155" spans="1:39" ht="13.5" customHeight="1">
      <c r="A155" s="55"/>
      <c r="B155" s="80" t="str">
        <f t="shared" si="2"/>
        <v/>
      </c>
      <c r="C155" s="20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4"/>
      <c r="AL155" s="84"/>
      <c r="AM155" s="55"/>
    </row>
    <row r="156" spans="1:39" ht="13.5" customHeight="1">
      <c r="A156" s="55"/>
      <c r="B156" s="80" t="str">
        <f t="shared" si="2"/>
        <v/>
      </c>
      <c r="C156" s="20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4"/>
      <c r="AL156" s="84"/>
      <c r="AM156" s="55"/>
    </row>
    <row r="157" spans="1:39" ht="13.5" customHeight="1">
      <c r="A157" s="55"/>
      <c r="B157" s="80" t="str">
        <f t="shared" si="2"/>
        <v/>
      </c>
      <c r="C157" s="20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4"/>
      <c r="AL157" s="84"/>
      <c r="AM157" s="55"/>
    </row>
    <row r="158" spans="1:39" ht="13.5" customHeight="1">
      <c r="A158" s="55"/>
      <c r="B158" s="80" t="str">
        <f t="shared" si="2"/>
        <v/>
      </c>
      <c r="C158" s="20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4"/>
      <c r="AL158" s="84"/>
      <c r="AM158" s="55"/>
    </row>
    <row r="159" spans="1:39" ht="13.5" customHeight="1">
      <c r="A159" s="55"/>
      <c r="B159" s="80" t="str">
        <f t="shared" si="2"/>
        <v/>
      </c>
      <c r="C159" s="20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4"/>
      <c r="AL159" s="84"/>
      <c r="AM159" s="55"/>
    </row>
    <row r="160" spans="1:39" ht="13.5" customHeight="1">
      <c r="A160" s="55"/>
      <c r="B160" s="80" t="str">
        <f t="shared" si="2"/>
        <v/>
      </c>
      <c r="C160" s="20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4"/>
      <c r="AL160" s="84"/>
      <c r="AM160" s="55"/>
    </row>
    <row r="161" spans="1:39" ht="13.5" customHeight="1">
      <c r="A161" s="55"/>
      <c r="B161" s="80" t="str">
        <f t="shared" si="2"/>
        <v/>
      </c>
      <c r="C161" s="20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4"/>
      <c r="AL161" s="84"/>
      <c r="AM161" s="55"/>
    </row>
    <row r="162" spans="1:39" ht="13.5" customHeight="1">
      <c r="A162" s="55"/>
      <c r="B162" s="80" t="str">
        <f t="shared" si="2"/>
        <v/>
      </c>
      <c r="C162" s="20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4"/>
      <c r="AL162" s="84"/>
      <c r="AM162" s="55"/>
    </row>
    <row r="163" spans="1:39" ht="13.5" customHeight="1">
      <c r="A163" s="55"/>
      <c r="B163" s="80" t="str">
        <f t="shared" si="2"/>
        <v/>
      </c>
      <c r="C163" s="20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4"/>
      <c r="AL163" s="84"/>
      <c r="AM163" s="55"/>
    </row>
    <row r="164" spans="1:39" ht="13.5" customHeight="1">
      <c r="A164" s="55"/>
      <c r="B164" s="80" t="str">
        <f t="shared" si="2"/>
        <v/>
      </c>
      <c r="C164" s="20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4"/>
      <c r="AL164" s="84"/>
      <c r="AM164" s="55"/>
    </row>
    <row r="165" spans="1:39" ht="13.5" customHeight="1">
      <c r="A165" s="55"/>
      <c r="B165" s="80" t="str">
        <f t="shared" si="2"/>
        <v/>
      </c>
      <c r="C165" s="20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4"/>
      <c r="AL165" s="84"/>
      <c r="AM165" s="55"/>
    </row>
    <row r="166" spans="1:39" ht="13.5" customHeight="1">
      <c r="A166" s="55"/>
      <c r="B166" s="80" t="str">
        <f t="shared" si="2"/>
        <v/>
      </c>
      <c r="C166" s="20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4"/>
      <c r="AL166" s="84"/>
      <c r="AM166" s="55"/>
    </row>
    <row r="167" spans="1:39" ht="13.5" customHeight="1">
      <c r="A167" s="55"/>
      <c r="B167" s="80" t="str">
        <f t="shared" si="2"/>
        <v/>
      </c>
      <c r="C167" s="20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4"/>
      <c r="AL167" s="84"/>
      <c r="AM167" s="55"/>
    </row>
    <row r="168" spans="1:39" ht="13.5" customHeight="1">
      <c r="A168" s="55"/>
      <c r="B168" s="80" t="str">
        <f t="shared" si="2"/>
        <v/>
      </c>
      <c r="C168" s="20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4"/>
      <c r="AL168" s="84"/>
      <c r="AM168" s="55"/>
    </row>
    <row r="169" spans="1:39" ht="13.5" customHeight="1">
      <c r="A169" s="55"/>
      <c r="B169" s="80" t="str">
        <f t="shared" si="2"/>
        <v/>
      </c>
      <c r="C169" s="20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4"/>
      <c r="AL169" s="84"/>
      <c r="AM169" s="55"/>
    </row>
    <row r="170" spans="1:39" ht="13.5" customHeight="1">
      <c r="A170" s="55"/>
      <c r="B170" s="80" t="str">
        <f t="shared" si="2"/>
        <v/>
      </c>
      <c r="C170" s="20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4"/>
      <c r="AL170" s="84"/>
      <c r="AM170" s="55"/>
    </row>
    <row r="171" spans="1:39" ht="13.5" customHeight="1">
      <c r="A171" s="55"/>
      <c r="B171" s="80" t="str">
        <f t="shared" si="2"/>
        <v/>
      </c>
      <c r="C171" s="20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4"/>
      <c r="AL171" s="84"/>
      <c r="AM171" s="55"/>
    </row>
    <row r="172" spans="1:39" ht="13.5" customHeight="1">
      <c r="A172" s="55"/>
      <c r="B172" s="80" t="str">
        <f t="shared" si="2"/>
        <v/>
      </c>
      <c r="C172" s="20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4"/>
      <c r="AL172" s="84"/>
      <c r="AM172" s="55"/>
    </row>
    <row r="173" spans="1:39" ht="13.5" customHeight="1">
      <c r="A173" s="55"/>
      <c r="B173" s="80" t="str">
        <f t="shared" si="2"/>
        <v/>
      </c>
      <c r="C173" s="20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4"/>
      <c r="AL173" s="84"/>
      <c r="AM173" s="55"/>
    </row>
    <row r="174" spans="1:39" ht="13.5" customHeight="1">
      <c r="A174" s="55"/>
      <c r="B174" s="80" t="str">
        <f t="shared" si="2"/>
        <v/>
      </c>
      <c r="C174" s="20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4"/>
      <c r="AL174" s="84"/>
      <c r="AM174" s="55"/>
    </row>
    <row r="175" spans="1:39" ht="13.5" customHeight="1">
      <c r="A175" s="55"/>
      <c r="B175" s="80" t="str">
        <f t="shared" si="2"/>
        <v/>
      </c>
      <c r="C175" s="20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4"/>
      <c r="AL175" s="84"/>
      <c r="AM175" s="55"/>
    </row>
    <row r="176" spans="1:39" ht="13.5" customHeight="1">
      <c r="A176" s="55"/>
      <c r="B176" s="80" t="str">
        <f t="shared" si="2"/>
        <v/>
      </c>
      <c r="C176" s="20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4"/>
      <c r="AL176" s="84"/>
      <c r="AM176" s="55"/>
    </row>
    <row r="177" spans="1:39" ht="13.5" customHeight="1">
      <c r="A177" s="55"/>
      <c r="B177" s="80" t="str">
        <f t="shared" si="2"/>
        <v/>
      </c>
      <c r="C177" s="20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4"/>
      <c r="AL177" s="84"/>
      <c r="AM177" s="55"/>
    </row>
    <row r="178" spans="1:39" ht="13.5" customHeight="1">
      <c r="A178" s="55"/>
      <c r="B178" s="80" t="str">
        <f t="shared" si="2"/>
        <v/>
      </c>
      <c r="C178" s="20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4"/>
      <c r="AL178" s="84"/>
      <c r="AM178" s="55"/>
    </row>
    <row r="179" spans="1:39" ht="13.5" customHeight="1">
      <c r="A179" s="55"/>
      <c r="B179" s="80" t="str">
        <f t="shared" si="2"/>
        <v/>
      </c>
      <c r="C179" s="20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4"/>
      <c r="AL179" s="84"/>
      <c r="AM179" s="55"/>
    </row>
    <row r="180" spans="1:39" ht="13.5" customHeight="1">
      <c r="A180" s="55"/>
      <c r="B180" s="80" t="str">
        <f t="shared" si="2"/>
        <v/>
      </c>
      <c r="C180" s="20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4"/>
      <c r="AL180" s="84"/>
      <c r="AM180" s="55"/>
    </row>
    <row r="181" spans="1:39" ht="13.5" customHeight="1">
      <c r="A181" s="55"/>
      <c r="B181" s="80" t="str">
        <f t="shared" si="2"/>
        <v/>
      </c>
      <c r="C181" s="20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4"/>
      <c r="AL181" s="84"/>
      <c r="AM181" s="55"/>
    </row>
    <row r="182" spans="1:39" ht="13.5" customHeight="1">
      <c r="A182" s="55"/>
      <c r="B182" s="80" t="str">
        <f t="shared" si="2"/>
        <v/>
      </c>
      <c r="C182" s="20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4"/>
      <c r="AL182" s="84"/>
      <c r="AM182" s="55"/>
    </row>
    <row r="183" spans="1:39" ht="13.5" customHeight="1">
      <c r="A183" s="55"/>
      <c r="B183" s="80" t="str">
        <f t="shared" si="2"/>
        <v/>
      </c>
      <c r="C183" s="20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4"/>
      <c r="AL183" s="84"/>
      <c r="AM183" s="55"/>
    </row>
    <row r="184" spans="1:39" ht="13.5" customHeight="1">
      <c r="A184" s="55"/>
      <c r="B184" s="80" t="str">
        <f t="shared" si="2"/>
        <v/>
      </c>
      <c r="C184" s="20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4"/>
      <c r="AL184" s="84"/>
      <c r="AM184" s="55"/>
    </row>
    <row r="185" spans="1:39" ht="13.5" customHeight="1">
      <c r="A185" s="55"/>
      <c r="B185" s="80" t="str">
        <f t="shared" si="2"/>
        <v/>
      </c>
      <c r="C185" s="20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4"/>
      <c r="AL185" s="84"/>
      <c r="AM185" s="55"/>
    </row>
    <row r="186" spans="1:39" ht="13.5" customHeight="1">
      <c r="A186" s="55"/>
      <c r="B186" s="80" t="str">
        <f t="shared" si="2"/>
        <v/>
      </c>
      <c r="C186" s="20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4"/>
      <c r="AL186" s="84"/>
      <c r="AM186" s="55"/>
    </row>
    <row r="187" spans="1:39" ht="13.5" customHeight="1">
      <c r="A187" s="55"/>
      <c r="B187" s="80" t="str">
        <f t="shared" si="2"/>
        <v/>
      </c>
      <c r="C187" s="20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4"/>
      <c r="AL187" s="84"/>
      <c r="AM187" s="55"/>
    </row>
    <row r="188" spans="1:39" ht="13.5" customHeight="1">
      <c r="A188" s="55"/>
      <c r="B188" s="80" t="str">
        <f t="shared" si="2"/>
        <v/>
      </c>
      <c r="C188" s="20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4"/>
      <c r="AL188" s="84"/>
      <c r="AM188" s="55"/>
    </row>
    <row r="189" spans="1:39" ht="13.5" customHeight="1">
      <c r="A189" s="55"/>
      <c r="B189" s="80" t="str">
        <f t="shared" si="2"/>
        <v/>
      </c>
      <c r="C189" s="20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4"/>
      <c r="AL189" s="84"/>
      <c r="AM189" s="55"/>
    </row>
    <row r="190" spans="1:39" ht="13.5" customHeight="1">
      <c r="A190" s="55"/>
      <c r="B190" s="80" t="str">
        <f t="shared" si="2"/>
        <v/>
      </c>
      <c r="C190" s="20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4"/>
      <c r="AL190" s="84"/>
      <c r="AM190" s="55"/>
    </row>
    <row r="191" spans="1:39" ht="13.5" customHeight="1">
      <c r="A191" s="55"/>
      <c r="B191" s="80" t="str">
        <f t="shared" si="2"/>
        <v/>
      </c>
      <c r="C191" s="20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4"/>
      <c r="AL191" s="84"/>
      <c r="AM191" s="55"/>
    </row>
    <row r="192" spans="1:39" ht="13.5" customHeight="1">
      <c r="A192" s="55"/>
      <c r="B192" s="80" t="str">
        <f t="shared" si="2"/>
        <v/>
      </c>
      <c r="C192" s="20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4"/>
      <c r="AL192" s="84"/>
      <c r="AM192" s="55"/>
    </row>
    <row r="193" spans="1:39" ht="13.5" customHeight="1">
      <c r="A193" s="55"/>
      <c r="B193" s="80" t="str">
        <f t="shared" si="2"/>
        <v/>
      </c>
      <c r="C193" s="20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4"/>
      <c r="AL193" s="84"/>
      <c r="AM193" s="55"/>
    </row>
    <row r="194" spans="1:39" ht="13.5" customHeight="1">
      <c r="A194" s="55"/>
      <c r="B194" s="80" t="str">
        <f t="shared" si="2"/>
        <v/>
      </c>
      <c r="C194" s="20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4"/>
      <c r="AL194" s="84"/>
      <c r="AM194" s="55"/>
    </row>
    <row r="195" spans="1:39" ht="13.5" customHeight="1">
      <c r="A195" s="55"/>
      <c r="B195" s="80" t="str">
        <f t="shared" si="2"/>
        <v/>
      </c>
      <c r="C195" s="20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4"/>
      <c r="AL195" s="84"/>
      <c r="AM195" s="55"/>
    </row>
    <row r="196" spans="1:39" ht="13.5" customHeight="1">
      <c r="A196" s="55"/>
      <c r="B196" s="80" t="str">
        <f t="shared" si="2"/>
        <v/>
      </c>
      <c r="C196" s="20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4"/>
      <c r="AL196" s="84"/>
      <c r="AM196" s="55"/>
    </row>
    <row r="197" spans="1:39" ht="13.5" customHeight="1">
      <c r="A197" s="55"/>
      <c r="B197" s="80" t="str">
        <f t="shared" si="2"/>
        <v/>
      </c>
      <c r="C197" s="20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4"/>
      <c r="AL197" s="84"/>
      <c r="AM197" s="55"/>
    </row>
    <row r="198" spans="1:39" ht="13.5" customHeight="1">
      <c r="A198" s="55"/>
      <c r="B198" s="80" t="str">
        <f t="shared" si="2"/>
        <v/>
      </c>
      <c r="C198" s="20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4"/>
      <c r="AL198" s="84"/>
      <c r="AM198" s="55"/>
    </row>
    <row r="199" spans="1:39" ht="13.5" customHeight="1">
      <c r="A199" s="55"/>
      <c r="B199" s="80" t="str">
        <f t="shared" si="2"/>
        <v/>
      </c>
      <c r="C199" s="20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4"/>
      <c r="AL199" s="84"/>
      <c r="AM199" s="55"/>
    </row>
    <row r="200" spans="1:39" ht="13.5" customHeight="1">
      <c r="A200" s="55"/>
      <c r="B200" s="80" t="str">
        <f t="shared" si="2"/>
        <v/>
      </c>
      <c r="C200" s="20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4"/>
      <c r="AL200" s="84"/>
      <c r="AM200" s="55"/>
    </row>
    <row r="201" spans="1:39" ht="13.5" customHeight="1">
      <c r="A201" s="55"/>
      <c r="B201" s="80" t="str">
        <f t="shared" si="2"/>
        <v/>
      </c>
      <c r="C201" s="20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4"/>
      <c r="AL201" s="84"/>
      <c r="AM201" s="55"/>
    </row>
    <row r="202" spans="1:39" ht="13.5" customHeight="1">
      <c r="A202" s="55"/>
      <c r="B202" s="80" t="str">
        <f t="shared" si="2"/>
        <v/>
      </c>
      <c r="C202" s="20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4"/>
      <c r="AL202" s="84"/>
      <c r="AM202" s="55"/>
    </row>
    <row r="203" spans="1:39" ht="13.5" customHeight="1">
      <c r="A203" s="55"/>
      <c r="B203" s="80" t="str">
        <f t="shared" si="2"/>
        <v/>
      </c>
      <c r="C203" s="20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4"/>
      <c r="AL203" s="84"/>
      <c r="AM203" s="55"/>
    </row>
    <row r="204" spans="1:39" ht="13.5" customHeight="1">
      <c r="A204" s="55"/>
      <c r="B204" s="80" t="str">
        <f t="shared" si="2"/>
        <v/>
      </c>
      <c r="C204" s="20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4"/>
      <c r="AL204" s="84"/>
      <c r="AM204" s="55"/>
    </row>
    <row r="205" spans="1:39" ht="13.5" customHeight="1">
      <c r="A205" s="55"/>
      <c r="B205" s="80" t="str">
        <f t="shared" si="2"/>
        <v/>
      </c>
      <c r="C205" s="20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4"/>
      <c r="AL205" s="84"/>
      <c r="AM205" s="55"/>
    </row>
    <row r="206" spans="1:39" ht="13.5" customHeight="1">
      <c r="A206" s="55"/>
      <c r="B206" s="80" t="str">
        <f t="shared" si="2"/>
        <v/>
      </c>
      <c r="C206" s="20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4"/>
      <c r="AL206" s="84"/>
      <c r="AM206" s="55"/>
    </row>
    <row r="207" spans="1:39" ht="13.5" customHeight="1">
      <c r="A207" s="55"/>
      <c r="B207" s="80" t="str">
        <f t="shared" ref="B207:B214" si="3">IF(Start_year+ROW(B207)-ROW($B$14)&gt;End_year,"",Start_year+ROW(B207)-ROW($B$14))</f>
        <v/>
      </c>
      <c r="C207" s="20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4"/>
      <c r="AL207" s="84"/>
      <c r="AM207" s="55"/>
    </row>
    <row r="208" spans="1:39" ht="13.5" customHeight="1">
      <c r="A208" s="55"/>
      <c r="B208" s="80" t="str">
        <f t="shared" si="3"/>
        <v/>
      </c>
      <c r="C208" s="20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4"/>
      <c r="AL208" s="84"/>
      <c r="AM208" s="55"/>
    </row>
    <row r="209" spans="1:39" ht="13.5" customHeight="1">
      <c r="A209" s="55"/>
      <c r="B209" s="80" t="str">
        <f t="shared" si="3"/>
        <v/>
      </c>
      <c r="C209" s="20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4"/>
      <c r="AL209" s="84"/>
      <c r="AM209" s="55"/>
    </row>
    <row r="210" spans="1:39" ht="13.5" customHeight="1">
      <c r="A210" s="55"/>
      <c r="B210" s="80" t="str">
        <f t="shared" si="3"/>
        <v/>
      </c>
      <c r="C210" s="20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4"/>
      <c r="AL210" s="84"/>
      <c r="AM210" s="55"/>
    </row>
    <row r="211" spans="1:39" ht="13.5" customHeight="1">
      <c r="A211" s="55"/>
      <c r="B211" s="80" t="str">
        <f t="shared" si="3"/>
        <v/>
      </c>
      <c r="C211" s="20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4"/>
      <c r="AL211" s="84"/>
      <c r="AM211" s="55"/>
    </row>
    <row r="212" spans="1:39" ht="13.5" customHeight="1">
      <c r="A212" s="55"/>
      <c r="B212" s="80" t="str">
        <f t="shared" si="3"/>
        <v/>
      </c>
      <c r="C212" s="20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4"/>
      <c r="AL212" s="84"/>
      <c r="AM212" s="55"/>
    </row>
    <row r="213" spans="1:39" ht="13.5" customHeight="1">
      <c r="A213" s="55"/>
      <c r="B213" s="80" t="str">
        <f t="shared" si="3"/>
        <v/>
      </c>
      <c r="C213" s="20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4"/>
      <c r="AL213" s="84"/>
      <c r="AM213" s="55"/>
    </row>
    <row r="214" spans="1:39" ht="13.5" customHeight="1" thickBot="1">
      <c r="A214" s="55"/>
      <c r="B214" s="80" t="str">
        <f t="shared" si="3"/>
        <v/>
      </c>
      <c r="C214" s="22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5"/>
      <c r="O214" s="155"/>
      <c r="P214" s="155"/>
      <c r="Q214" s="155"/>
      <c r="R214" s="155"/>
      <c r="S214" s="155"/>
      <c r="T214" s="155"/>
      <c r="U214" s="155"/>
      <c r="V214" s="155"/>
      <c r="W214" s="155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6"/>
      <c r="AL214" s="84"/>
      <c r="AM214" s="55"/>
    </row>
    <row r="215" spans="1:39" ht="13.5" customHeight="1">
      <c r="A215" s="55"/>
      <c r="B215" s="55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55"/>
      <c r="AM215" s="55"/>
    </row>
    <row r="216" spans="1:39" ht="13.5" customHeight="1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</row>
    <row r="217" spans="1:39" ht="13.5" customHeight="1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</row>
    <row r="218" spans="1:39" ht="13.5" customHeight="1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</row>
  </sheetData>
  <sheetProtection algorithmName="SHA-512" hashValue="Tils/fxfDh3udliddwFrLMOD09R9o2xvjkXNwanGNHf5rApZdGTWYZe1Om6M8EhLxXFjS8IPyQjjSRjrQhZ65A==" saltValue="15sU5/FfqqO/7zoqGCp+Pg==" spinCount="100000" sheet="1" objects="1" scenarios="1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81E2"/>
  </sheetPr>
  <dimension ref="A1:AM219"/>
  <sheetViews>
    <sheetView zoomScale="90" zoomScaleNormal="9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14" sqref="C14"/>
    </sheetView>
  </sheetViews>
  <sheetFormatPr defaultColWidth="0" defaultRowHeight="13.15" zeroHeight="1"/>
  <cols>
    <col min="1" max="1" width="8.73046875" style="1" customWidth="1"/>
    <col min="2" max="2" width="19.265625" style="1" customWidth="1"/>
    <col min="3" max="39" width="8.73046875" style="1" customWidth="1"/>
    <col min="40" max="16384" width="0.86328125" style="1" hidden="1"/>
  </cols>
  <sheetData>
    <row r="1" spans="1:39" ht="24.95" customHeight="1">
      <c r="A1" s="38" t="s">
        <v>272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hidden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idden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hidden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hidden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hidden="1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s="47" customFormat="1" ht="13.9" thickBot="1">
      <c r="A9" s="56"/>
      <c r="B9" s="56"/>
      <c r="C9" s="56" t="str">
        <f>"Application1: "&amp;Products!D10</f>
        <v xml:space="preserve">Application1: </v>
      </c>
      <c r="D9" s="56"/>
      <c r="E9" s="56"/>
      <c r="F9" s="56"/>
      <c r="G9" s="56"/>
      <c r="H9" s="56"/>
      <c r="I9" s="56"/>
      <c r="J9" s="56" t="str">
        <f>"Application2: "&amp;Products!E10</f>
        <v xml:space="preserve">Application2: </v>
      </c>
      <c r="K9" s="56"/>
      <c r="L9" s="56"/>
      <c r="M9" s="56"/>
      <c r="N9" s="56"/>
      <c r="O9" s="56"/>
      <c r="P9" s="56"/>
      <c r="Q9" s="56" t="str">
        <f>"Application3: "&amp;Products!F10</f>
        <v xml:space="preserve">Application3: </v>
      </c>
      <c r="R9" s="56"/>
      <c r="S9" s="56"/>
      <c r="T9" s="56"/>
      <c r="U9" s="56"/>
      <c r="V9" s="56"/>
      <c r="W9" s="56"/>
      <c r="X9" s="56" t="str">
        <f>"Application4: "&amp;Products!G10</f>
        <v xml:space="preserve">Application4: </v>
      </c>
      <c r="Y9" s="56"/>
      <c r="Z9" s="56"/>
      <c r="AA9" s="56"/>
      <c r="AB9" s="56"/>
      <c r="AC9" s="56"/>
      <c r="AD9" s="56"/>
      <c r="AE9" s="56" t="str">
        <f>"Application5: "&amp;Products!H10</f>
        <v xml:space="preserve">Application5: </v>
      </c>
      <c r="AF9" s="56"/>
      <c r="AG9" s="56"/>
      <c r="AH9" s="56"/>
      <c r="AI9" s="56"/>
      <c r="AJ9" s="56"/>
      <c r="AK9" s="56"/>
      <c r="AL9" s="56"/>
      <c r="AM9" s="56"/>
    </row>
    <row r="10" spans="1:39" ht="13.5" thickBot="1">
      <c r="A10" s="55"/>
      <c r="B10" s="5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6" t="s">
        <v>261</v>
      </c>
      <c r="AL10" s="55"/>
      <c r="AM10" s="55"/>
    </row>
    <row r="11" spans="1:39">
      <c r="A11" s="55"/>
      <c r="B11" s="138" t="str">
        <f>Products!B39</f>
        <v>Lifespan distribution function</v>
      </c>
      <c r="C11" s="142">
        <f ca="1">OFFSET(Products!$D$40,MOD((COLUMN(Lifespan!C10)-COLUMN(Lifespan!$C$10)),7),INT((COLUMN(Lifespan!C10)-COLUMN(Lifespan!$C$10))/7))</f>
        <v>0</v>
      </c>
      <c r="D11" s="143">
        <f ca="1">OFFSET(Products!$D$40,MOD((COLUMN(Lifespan!D10)-COLUMN(Lifespan!$C$10)),7),INT((COLUMN(Lifespan!D10)-COLUMN(Lifespan!$C$10))/7))</f>
        <v>0</v>
      </c>
      <c r="E11" s="143">
        <f ca="1">OFFSET(Products!$D$40,MOD((COLUMN(Lifespan!E10)-COLUMN(Lifespan!$C$10)),7),INT((COLUMN(Lifespan!E10)-COLUMN(Lifespan!$C$10))/7))</f>
        <v>0</v>
      </c>
      <c r="F11" s="143">
        <f ca="1">OFFSET(Products!$D$40,MOD((COLUMN(Lifespan!F10)-COLUMN(Lifespan!$C$10)),7),INT((COLUMN(Lifespan!F10)-COLUMN(Lifespan!$C$10))/7))</f>
        <v>0</v>
      </c>
      <c r="G11" s="143">
        <f ca="1">OFFSET(Products!$D$40,MOD((COLUMN(Lifespan!G10)-COLUMN(Lifespan!$C$10)),7),INT((COLUMN(Lifespan!G10)-COLUMN(Lifespan!$C$10))/7))</f>
        <v>0</v>
      </c>
      <c r="H11" s="143">
        <f ca="1">OFFSET(Products!$D$40,MOD((COLUMN(Lifespan!H10)-COLUMN(Lifespan!$C$10)),7),INT((COLUMN(Lifespan!H10)-COLUMN(Lifespan!$C$10))/7))</f>
        <v>0</v>
      </c>
      <c r="I11" s="143">
        <f ca="1">OFFSET(Products!$D$40,MOD((COLUMN(Lifespan!I10)-COLUMN(Lifespan!$C$10)),7),INT((COLUMN(Lifespan!I10)-COLUMN(Lifespan!$C$10))/7))</f>
        <v>0</v>
      </c>
      <c r="J11" s="143">
        <f ca="1">OFFSET(Products!$D$40,MOD((COLUMN(Lifespan!J10)-COLUMN(Lifespan!$C$10)),7),INT((COLUMN(Lifespan!J10)-COLUMN(Lifespan!$C$10))/7))</f>
        <v>0</v>
      </c>
      <c r="K11" s="143">
        <f ca="1">OFFSET(Products!$D$40,MOD((COLUMN(Lifespan!K10)-COLUMN(Lifespan!$C$10)),7),INT((COLUMN(Lifespan!K10)-COLUMN(Lifespan!$C$10))/7))</f>
        <v>0</v>
      </c>
      <c r="L11" s="143">
        <f ca="1">OFFSET(Products!$D$40,MOD((COLUMN(Lifespan!L10)-COLUMN(Lifespan!$C$10)),7),INT((COLUMN(Lifespan!L10)-COLUMN(Lifespan!$C$10))/7))</f>
        <v>0</v>
      </c>
      <c r="M11" s="143">
        <f ca="1">OFFSET(Products!$D$40,MOD((COLUMN(Lifespan!M10)-COLUMN(Lifespan!$C$10)),7),INT((COLUMN(Lifespan!M10)-COLUMN(Lifespan!$C$10))/7))</f>
        <v>0</v>
      </c>
      <c r="N11" s="143">
        <f ca="1">OFFSET(Products!$D$40,MOD((COLUMN(Lifespan!N10)-COLUMN(Lifespan!$C$10)),7),INT((COLUMN(Lifespan!N10)-COLUMN(Lifespan!$C$10))/7))</f>
        <v>0</v>
      </c>
      <c r="O11" s="143">
        <f ca="1">OFFSET(Products!$D$40,MOD((COLUMN(Lifespan!O10)-COLUMN(Lifespan!$C$10)),7),INT((COLUMN(Lifespan!O10)-COLUMN(Lifespan!$C$10))/7))</f>
        <v>0</v>
      </c>
      <c r="P11" s="143">
        <f ca="1">OFFSET(Products!$D$40,MOD((COLUMN(Lifespan!P10)-COLUMN(Lifespan!$C$10)),7),INT((COLUMN(Lifespan!P10)-COLUMN(Lifespan!$C$10))/7))</f>
        <v>0</v>
      </c>
      <c r="Q11" s="143">
        <f ca="1">OFFSET(Products!$D$40,MOD((COLUMN(Lifespan!Q10)-COLUMN(Lifespan!$C$10)),7),INT((COLUMN(Lifespan!Q10)-COLUMN(Lifespan!$C$10))/7))</f>
        <v>0</v>
      </c>
      <c r="R11" s="143">
        <f ca="1">OFFSET(Products!$D$40,MOD((COLUMN(Lifespan!R10)-COLUMN(Lifespan!$C$10)),7),INT((COLUMN(Lifespan!R10)-COLUMN(Lifespan!$C$10))/7))</f>
        <v>0</v>
      </c>
      <c r="S11" s="143">
        <f ca="1">OFFSET(Products!$D$40,MOD((COLUMN(Lifespan!S10)-COLUMN(Lifespan!$C$10)),7),INT((COLUMN(Lifespan!S10)-COLUMN(Lifespan!$C$10))/7))</f>
        <v>0</v>
      </c>
      <c r="T11" s="143">
        <f ca="1">OFFSET(Products!$D$40,MOD((COLUMN(Lifespan!T10)-COLUMN(Lifespan!$C$10)),7),INT((COLUMN(Lifespan!T10)-COLUMN(Lifespan!$C$10))/7))</f>
        <v>0</v>
      </c>
      <c r="U11" s="143">
        <f ca="1">OFFSET(Products!$D$40,MOD((COLUMN(Lifespan!U10)-COLUMN(Lifespan!$C$10)),7),INT((COLUMN(Lifespan!U10)-COLUMN(Lifespan!$C$10))/7))</f>
        <v>0</v>
      </c>
      <c r="V11" s="143">
        <f ca="1">OFFSET(Products!$D$40,MOD((COLUMN(Lifespan!V10)-COLUMN(Lifespan!$C$10)),7),INT((COLUMN(Lifespan!V10)-COLUMN(Lifespan!$C$10))/7))</f>
        <v>0</v>
      </c>
      <c r="W11" s="143">
        <f ca="1">OFFSET(Products!$D$40,MOD((COLUMN(Lifespan!W10)-COLUMN(Lifespan!$C$10)),7),INT((COLUMN(Lifespan!W10)-COLUMN(Lifespan!$C$10))/7))</f>
        <v>0</v>
      </c>
      <c r="X11" s="143">
        <f ca="1">OFFSET(Products!$D$40,MOD((COLUMN(Lifespan!X10)-COLUMN(Lifespan!$C$10)),7),INT((COLUMN(Lifespan!X10)-COLUMN(Lifespan!$C$10))/7))</f>
        <v>0</v>
      </c>
      <c r="Y11" s="143">
        <f ca="1">OFFSET(Products!$D$40,MOD((COLUMN(Lifespan!Y10)-COLUMN(Lifespan!$C$10)),7),INT((COLUMN(Lifespan!Y10)-COLUMN(Lifespan!$C$10))/7))</f>
        <v>0</v>
      </c>
      <c r="Z11" s="143">
        <f ca="1">OFFSET(Products!$D$40,MOD((COLUMN(Lifespan!Z10)-COLUMN(Lifespan!$C$10)),7),INT((COLUMN(Lifespan!Z10)-COLUMN(Lifespan!$C$10))/7))</f>
        <v>0</v>
      </c>
      <c r="AA11" s="143">
        <f ca="1">OFFSET(Products!$D$40,MOD((COLUMN(Lifespan!AA10)-COLUMN(Lifespan!$C$10)),7),INT((COLUMN(Lifespan!AA10)-COLUMN(Lifespan!$C$10))/7))</f>
        <v>0</v>
      </c>
      <c r="AB11" s="143">
        <f ca="1">OFFSET(Products!$D$40,MOD((COLUMN(Lifespan!AB10)-COLUMN(Lifespan!$C$10)),7),INT((COLUMN(Lifespan!AB10)-COLUMN(Lifespan!$C$10))/7))</f>
        <v>0</v>
      </c>
      <c r="AC11" s="143">
        <f ca="1">OFFSET(Products!$D$40,MOD((COLUMN(Lifespan!AC10)-COLUMN(Lifespan!$C$10)),7),INT((COLUMN(Lifespan!AC10)-COLUMN(Lifespan!$C$10))/7))</f>
        <v>0</v>
      </c>
      <c r="AD11" s="143">
        <f ca="1">OFFSET(Products!$D$40,MOD((COLUMN(Lifespan!AD10)-COLUMN(Lifespan!$C$10)),7),INT((COLUMN(Lifespan!AD10)-COLUMN(Lifespan!$C$10))/7))</f>
        <v>0</v>
      </c>
      <c r="AE11" s="143">
        <f ca="1">OFFSET(Products!$D$40,MOD((COLUMN(Lifespan!AE10)-COLUMN(Lifespan!$C$10)),7),INT((COLUMN(Lifespan!AE10)-COLUMN(Lifespan!$C$10))/7))</f>
        <v>0</v>
      </c>
      <c r="AF11" s="143">
        <f ca="1">OFFSET(Products!$D$40,MOD((COLUMN(Lifespan!AF10)-COLUMN(Lifespan!$C$10)),7),INT((COLUMN(Lifespan!AF10)-COLUMN(Lifespan!$C$10))/7))</f>
        <v>0</v>
      </c>
      <c r="AG11" s="143">
        <f ca="1">OFFSET(Products!$D$40,MOD((COLUMN(Lifespan!AG10)-COLUMN(Lifespan!$C$10)),7),INT((COLUMN(Lifespan!AG10)-COLUMN(Lifespan!$C$10))/7))</f>
        <v>0</v>
      </c>
      <c r="AH11" s="143">
        <f ca="1">OFFSET(Products!$D$40,MOD((COLUMN(Lifespan!AH10)-COLUMN(Lifespan!$C$10)),7),INT((COLUMN(Lifespan!AH10)-COLUMN(Lifespan!$C$10))/7))</f>
        <v>0</v>
      </c>
      <c r="AI11" s="143">
        <f ca="1">OFFSET(Products!$D$40,MOD((COLUMN(Lifespan!AI10)-COLUMN(Lifespan!$C$10)),7),INT((COLUMN(Lifespan!AI10)-COLUMN(Lifespan!$C$10))/7))</f>
        <v>0</v>
      </c>
      <c r="AJ11" s="143">
        <f ca="1">OFFSET(Products!$D$40,MOD((COLUMN(Lifespan!AJ10)-COLUMN(Lifespan!$C$10)),7),INT((COLUMN(Lifespan!AJ10)-COLUMN(Lifespan!$C$10))/7))</f>
        <v>0</v>
      </c>
      <c r="AK11" s="144">
        <f ca="1">OFFSET(Products!$D$40,MOD((COLUMN(Lifespan!AK10)-COLUMN(Lifespan!$C$10)),7),INT((COLUMN(Lifespan!AK10)-COLUMN(Lifespan!$C$10))/7))</f>
        <v>0</v>
      </c>
      <c r="AL11" s="84"/>
      <c r="AM11" s="55"/>
    </row>
    <row r="12" spans="1:39">
      <c r="A12" s="55"/>
      <c r="B12" s="138" t="str">
        <f>Products!B49</f>
        <v>Center parameter</v>
      </c>
      <c r="C12" s="145">
        <f ca="1">OFFSET(Products!$D$50,MOD((COLUMN(Lifespan!C10)-COLUMN(Lifespan!$C$10)),7),INT((COLUMN(Lifespan!C10)-COLUMN(Lifespan!$C$10))/7))</f>
        <v>0</v>
      </c>
      <c r="D12" s="146">
        <f ca="1">OFFSET(Products!$D$50,MOD((COLUMN(Lifespan!D10)-COLUMN(Lifespan!$C$10)),7),INT((COLUMN(Lifespan!D10)-COLUMN(Lifespan!$C$10))/7))</f>
        <v>0</v>
      </c>
      <c r="E12" s="146">
        <f ca="1">OFFSET(Products!$D$50,MOD((COLUMN(Lifespan!E10)-COLUMN(Lifespan!$C$10)),7),INT((COLUMN(Lifespan!E10)-COLUMN(Lifespan!$C$10))/7))</f>
        <v>0</v>
      </c>
      <c r="F12" s="146">
        <f ca="1">OFFSET(Products!$D$50,MOD((COLUMN(Lifespan!F10)-COLUMN(Lifespan!$C$10)),7),INT((COLUMN(Lifespan!F10)-COLUMN(Lifespan!$C$10))/7))</f>
        <v>0</v>
      </c>
      <c r="G12" s="146">
        <f ca="1">OFFSET(Products!$D$50,MOD((COLUMN(Lifespan!G10)-COLUMN(Lifespan!$C$10)),7),INT((COLUMN(Lifespan!G10)-COLUMN(Lifespan!$C$10))/7))</f>
        <v>0</v>
      </c>
      <c r="H12" s="146">
        <f ca="1">OFFSET(Products!$D$50,MOD((COLUMN(Lifespan!H10)-COLUMN(Lifespan!$C$10)),7),INT((COLUMN(Lifespan!H10)-COLUMN(Lifespan!$C$10))/7))</f>
        <v>0</v>
      </c>
      <c r="I12" s="146">
        <f ca="1">OFFSET(Products!$D$50,MOD((COLUMN(Lifespan!I10)-COLUMN(Lifespan!$C$10)),7),INT((COLUMN(Lifespan!I10)-COLUMN(Lifespan!$C$10))/7))</f>
        <v>0</v>
      </c>
      <c r="J12" s="146">
        <f ca="1">OFFSET(Products!$D$50,MOD((COLUMN(Lifespan!J10)-COLUMN(Lifespan!$C$10)),7),INT((COLUMN(Lifespan!J10)-COLUMN(Lifespan!$C$10))/7))</f>
        <v>0</v>
      </c>
      <c r="K12" s="146">
        <f ca="1">OFFSET(Products!$D$50,MOD((COLUMN(Lifespan!K10)-COLUMN(Lifespan!$C$10)),7),INT((COLUMN(Lifespan!K10)-COLUMN(Lifespan!$C$10))/7))</f>
        <v>0</v>
      </c>
      <c r="L12" s="146">
        <f ca="1">OFFSET(Products!$D$50,MOD((COLUMN(Lifespan!L10)-COLUMN(Lifespan!$C$10)),7),INT((COLUMN(Lifespan!L10)-COLUMN(Lifespan!$C$10))/7))</f>
        <v>0</v>
      </c>
      <c r="M12" s="146">
        <f ca="1">OFFSET(Products!$D$50,MOD((COLUMN(Lifespan!M10)-COLUMN(Lifespan!$C$10)),7),INT((COLUMN(Lifespan!M10)-COLUMN(Lifespan!$C$10))/7))</f>
        <v>0</v>
      </c>
      <c r="N12" s="146">
        <f ca="1">OFFSET(Products!$D$50,MOD((COLUMN(Lifespan!N10)-COLUMN(Lifespan!$C$10)),7),INT((COLUMN(Lifespan!N10)-COLUMN(Lifespan!$C$10))/7))</f>
        <v>0</v>
      </c>
      <c r="O12" s="146">
        <f ca="1">OFFSET(Products!$D$50,MOD((COLUMN(Lifespan!O10)-COLUMN(Lifespan!$C$10)),7),INT((COLUMN(Lifespan!O10)-COLUMN(Lifespan!$C$10))/7))</f>
        <v>0</v>
      </c>
      <c r="P12" s="146">
        <f ca="1">OFFSET(Products!$D$50,MOD((COLUMN(Lifespan!P10)-COLUMN(Lifespan!$C$10)),7),INT((COLUMN(Lifespan!P10)-COLUMN(Lifespan!$C$10))/7))</f>
        <v>0</v>
      </c>
      <c r="Q12" s="146">
        <f ca="1">OFFSET(Products!$D$50,MOD((COLUMN(Lifespan!Q10)-COLUMN(Lifespan!$C$10)),7),INT((COLUMN(Lifespan!Q10)-COLUMN(Lifespan!$C$10))/7))</f>
        <v>0</v>
      </c>
      <c r="R12" s="146">
        <f ca="1">OFFSET(Products!$D$50,MOD((COLUMN(Lifespan!R10)-COLUMN(Lifespan!$C$10)),7),INT((COLUMN(Lifespan!R10)-COLUMN(Lifespan!$C$10))/7))</f>
        <v>0</v>
      </c>
      <c r="S12" s="146">
        <f ca="1">OFFSET(Products!$D$50,MOD((COLUMN(Lifespan!S10)-COLUMN(Lifespan!$C$10)),7),INT((COLUMN(Lifespan!S10)-COLUMN(Lifespan!$C$10))/7))</f>
        <v>0</v>
      </c>
      <c r="T12" s="146">
        <f ca="1">OFFSET(Products!$D$50,MOD((COLUMN(Lifespan!T10)-COLUMN(Lifespan!$C$10)),7),INT((COLUMN(Lifespan!T10)-COLUMN(Lifespan!$C$10))/7))</f>
        <v>0</v>
      </c>
      <c r="U12" s="146">
        <f ca="1">OFFSET(Products!$D$50,MOD((COLUMN(Lifespan!U10)-COLUMN(Lifespan!$C$10)),7),INT((COLUMN(Lifespan!U10)-COLUMN(Lifespan!$C$10))/7))</f>
        <v>0</v>
      </c>
      <c r="V12" s="146">
        <f ca="1">OFFSET(Products!$D$50,MOD((COLUMN(Lifespan!V10)-COLUMN(Lifespan!$C$10)),7),INT((COLUMN(Lifespan!V10)-COLUMN(Lifespan!$C$10))/7))</f>
        <v>0</v>
      </c>
      <c r="W12" s="146">
        <f ca="1">OFFSET(Products!$D$50,MOD((COLUMN(Lifespan!W10)-COLUMN(Lifespan!$C$10)),7),INT((COLUMN(Lifespan!W10)-COLUMN(Lifespan!$C$10))/7))</f>
        <v>0</v>
      </c>
      <c r="X12" s="146">
        <f ca="1">OFFSET(Products!$D$50,MOD((COLUMN(Lifespan!X10)-COLUMN(Lifespan!$C$10)),7),INT((COLUMN(Lifespan!X10)-COLUMN(Lifespan!$C$10))/7))</f>
        <v>0</v>
      </c>
      <c r="Y12" s="146">
        <f ca="1">OFFSET(Products!$D$50,MOD((COLUMN(Lifespan!Y10)-COLUMN(Lifespan!$C$10)),7),INT((COLUMN(Lifespan!Y10)-COLUMN(Lifespan!$C$10))/7))</f>
        <v>0</v>
      </c>
      <c r="Z12" s="146">
        <f ca="1">OFFSET(Products!$D$50,MOD((COLUMN(Lifespan!Z10)-COLUMN(Lifespan!$C$10)),7),INT((COLUMN(Lifespan!Z10)-COLUMN(Lifespan!$C$10))/7))</f>
        <v>0</v>
      </c>
      <c r="AA12" s="146">
        <f ca="1">OFFSET(Products!$D$50,MOD((COLUMN(Lifespan!AA10)-COLUMN(Lifespan!$C$10)),7),INT((COLUMN(Lifespan!AA10)-COLUMN(Lifespan!$C$10))/7))</f>
        <v>0</v>
      </c>
      <c r="AB12" s="146">
        <f ca="1">OFFSET(Products!$D$50,MOD((COLUMN(Lifespan!AB10)-COLUMN(Lifespan!$C$10)),7),INT((COLUMN(Lifespan!AB10)-COLUMN(Lifespan!$C$10))/7))</f>
        <v>0</v>
      </c>
      <c r="AC12" s="146">
        <f ca="1">OFFSET(Products!$D$50,MOD((COLUMN(Lifespan!AC10)-COLUMN(Lifespan!$C$10)),7),INT((COLUMN(Lifespan!AC10)-COLUMN(Lifespan!$C$10))/7))</f>
        <v>0</v>
      </c>
      <c r="AD12" s="146">
        <f ca="1">OFFSET(Products!$D$50,MOD((COLUMN(Lifespan!AD10)-COLUMN(Lifespan!$C$10)),7),INT((COLUMN(Lifespan!AD10)-COLUMN(Lifespan!$C$10))/7))</f>
        <v>0</v>
      </c>
      <c r="AE12" s="146">
        <f ca="1">OFFSET(Products!$D$50,MOD((COLUMN(Lifespan!AE10)-COLUMN(Lifespan!$C$10)),7),INT((COLUMN(Lifespan!AE10)-COLUMN(Lifespan!$C$10))/7))</f>
        <v>0</v>
      </c>
      <c r="AF12" s="146">
        <f ca="1">OFFSET(Products!$D$50,MOD((COLUMN(Lifespan!AF10)-COLUMN(Lifespan!$C$10)),7),INT((COLUMN(Lifespan!AF10)-COLUMN(Lifespan!$C$10))/7))</f>
        <v>0</v>
      </c>
      <c r="AG12" s="146">
        <f ca="1">OFFSET(Products!$D$50,MOD((COLUMN(Lifespan!AG10)-COLUMN(Lifespan!$C$10)),7),INT((COLUMN(Lifespan!AG10)-COLUMN(Lifespan!$C$10))/7))</f>
        <v>0</v>
      </c>
      <c r="AH12" s="146">
        <f ca="1">OFFSET(Products!$D$50,MOD((COLUMN(Lifespan!AH10)-COLUMN(Lifespan!$C$10)),7),INT((COLUMN(Lifespan!AH10)-COLUMN(Lifespan!$C$10))/7))</f>
        <v>0</v>
      </c>
      <c r="AI12" s="146">
        <f ca="1">OFFSET(Products!$D$50,MOD((COLUMN(Lifespan!AI10)-COLUMN(Lifespan!$C$10)),7),INT((COLUMN(Lifespan!AI10)-COLUMN(Lifespan!$C$10))/7))</f>
        <v>0</v>
      </c>
      <c r="AJ12" s="146">
        <f ca="1">OFFSET(Products!$D$50,MOD((COLUMN(Lifespan!AJ10)-COLUMN(Lifespan!$C$10)),7),INT((COLUMN(Lifespan!AJ10)-COLUMN(Lifespan!$C$10))/7))</f>
        <v>0</v>
      </c>
      <c r="AK12" s="147">
        <f ca="1">OFFSET(Products!$D$50,MOD((COLUMN(Lifespan!AK10)-COLUMN(Lifespan!$C$10)),7),INT((COLUMN(Lifespan!AK10)-COLUMN(Lifespan!$C$10))/7))</f>
        <v>0</v>
      </c>
      <c r="AL12" s="84"/>
      <c r="AM12" s="55"/>
    </row>
    <row r="13" spans="1:39" ht="13.5" thickBot="1">
      <c r="A13" s="55"/>
      <c r="B13" s="138" t="str">
        <f>Products!B59</f>
        <v>Deviation parameter</v>
      </c>
      <c r="C13" s="148">
        <f ca="1">OFFSET(Products!$D$60,MOD((COLUMN(Lifespan!C10)-COLUMN(Lifespan!$C$10)),7),INT((COLUMN(Lifespan!C10)-COLUMN(Lifespan!$C$10))/7))</f>
        <v>0</v>
      </c>
      <c r="D13" s="149">
        <f ca="1">OFFSET(Products!$D$60,MOD((COLUMN(Lifespan!D10)-COLUMN(Lifespan!$C$10)),7),INT((COLUMN(Lifespan!D10)-COLUMN(Lifespan!$C$10))/7))</f>
        <v>0</v>
      </c>
      <c r="E13" s="149">
        <f ca="1">OFFSET(Products!$D$60,MOD((COLUMN(Lifespan!E10)-COLUMN(Lifespan!$C$10)),7),INT((COLUMN(Lifespan!E10)-COLUMN(Lifespan!$C$10))/7))</f>
        <v>0</v>
      </c>
      <c r="F13" s="149">
        <f ca="1">OFFSET(Products!$D$60,MOD((COLUMN(Lifespan!F10)-COLUMN(Lifespan!$C$10)),7),INT((COLUMN(Lifespan!F10)-COLUMN(Lifespan!$C$10))/7))</f>
        <v>0</v>
      </c>
      <c r="G13" s="149">
        <f ca="1">OFFSET(Products!$D$60,MOD((COLUMN(Lifespan!G10)-COLUMN(Lifespan!$C$10)),7),INT((COLUMN(Lifespan!G10)-COLUMN(Lifespan!$C$10))/7))</f>
        <v>0</v>
      </c>
      <c r="H13" s="149">
        <f ca="1">OFFSET(Products!$D$60,MOD((COLUMN(Lifespan!H10)-COLUMN(Lifespan!$C$10)),7),INT((COLUMN(Lifespan!H10)-COLUMN(Lifespan!$C$10))/7))</f>
        <v>0</v>
      </c>
      <c r="I13" s="149">
        <f ca="1">OFFSET(Products!$D$60,MOD((COLUMN(Lifespan!I10)-COLUMN(Lifespan!$C$10)),7),INT((COLUMN(Lifespan!I10)-COLUMN(Lifespan!$C$10))/7))</f>
        <v>0</v>
      </c>
      <c r="J13" s="149">
        <f ca="1">OFFSET(Products!$D$60,MOD((COLUMN(Lifespan!J10)-COLUMN(Lifespan!$C$10)),7),INT((COLUMN(Lifespan!J10)-COLUMN(Lifespan!$C$10))/7))</f>
        <v>0</v>
      </c>
      <c r="K13" s="149">
        <f ca="1">OFFSET(Products!$D$60,MOD((COLUMN(Lifespan!K10)-COLUMN(Lifespan!$C$10)),7),INT((COLUMN(Lifespan!K10)-COLUMN(Lifespan!$C$10))/7))</f>
        <v>0</v>
      </c>
      <c r="L13" s="149">
        <f ca="1">OFFSET(Products!$D$60,MOD((COLUMN(Lifespan!L10)-COLUMN(Lifespan!$C$10)),7),INT((COLUMN(Lifespan!L10)-COLUMN(Lifespan!$C$10))/7))</f>
        <v>0</v>
      </c>
      <c r="M13" s="149">
        <f ca="1">OFFSET(Products!$D$60,MOD((COLUMN(Lifespan!M10)-COLUMN(Lifespan!$C$10)),7),INT((COLUMN(Lifespan!M10)-COLUMN(Lifespan!$C$10))/7))</f>
        <v>0</v>
      </c>
      <c r="N13" s="149">
        <f ca="1">OFFSET(Products!$D$60,MOD((COLUMN(Lifespan!N10)-COLUMN(Lifespan!$C$10)),7),INT((COLUMN(Lifespan!N10)-COLUMN(Lifespan!$C$10))/7))</f>
        <v>0</v>
      </c>
      <c r="O13" s="149">
        <f ca="1">OFFSET(Products!$D$60,MOD((COLUMN(Lifespan!O10)-COLUMN(Lifespan!$C$10)),7),INT((COLUMN(Lifespan!O10)-COLUMN(Lifespan!$C$10))/7))</f>
        <v>0</v>
      </c>
      <c r="P13" s="149">
        <f ca="1">OFFSET(Products!$D$60,MOD((COLUMN(Lifespan!P10)-COLUMN(Lifespan!$C$10)),7),INT((COLUMN(Lifespan!P10)-COLUMN(Lifespan!$C$10))/7))</f>
        <v>0</v>
      </c>
      <c r="Q13" s="149">
        <f ca="1">OFFSET(Products!$D$60,MOD((COLUMN(Lifespan!Q10)-COLUMN(Lifespan!$C$10)),7),INT((COLUMN(Lifespan!Q10)-COLUMN(Lifespan!$C$10))/7))</f>
        <v>0</v>
      </c>
      <c r="R13" s="149">
        <f ca="1">OFFSET(Products!$D$60,MOD((COLUMN(Lifespan!R10)-COLUMN(Lifespan!$C$10)),7),INT((COLUMN(Lifespan!R10)-COLUMN(Lifespan!$C$10))/7))</f>
        <v>0</v>
      </c>
      <c r="S13" s="149">
        <f ca="1">OFFSET(Products!$D$60,MOD((COLUMN(Lifespan!S10)-COLUMN(Lifespan!$C$10)),7),INT((COLUMN(Lifespan!S10)-COLUMN(Lifespan!$C$10))/7))</f>
        <v>0</v>
      </c>
      <c r="T13" s="149">
        <f ca="1">OFFSET(Products!$D$60,MOD((COLUMN(Lifespan!T10)-COLUMN(Lifespan!$C$10)),7),INT((COLUMN(Lifespan!T10)-COLUMN(Lifespan!$C$10))/7))</f>
        <v>0</v>
      </c>
      <c r="U13" s="149">
        <f ca="1">OFFSET(Products!$D$60,MOD((COLUMN(Lifespan!U10)-COLUMN(Lifespan!$C$10)),7),INT((COLUMN(Lifespan!U10)-COLUMN(Lifespan!$C$10))/7))</f>
        <v>0</v>
      </c>
      <c r="V13" s="149">
        <f ca="1">OFFSET(Products!$D$60,MOD((COLUMN(Lifespan!V10)-COLUMN(Lifespan!$C$10)),7),INT((COLUMN(Lifespan!V10)-COLUMN(Lifespan!$C$10))/7))</f>
        <v>0</v>
      </c>
      <c r="W13" s="149">
        <f ca="1">OFFSET(Products!$D$60,MOD((COLUMN(Lifespan!W10)-COLUMN(Lifespan!$C$10)),7),INT((COLUMN(Lifespan!W10)-COLUMN(Lifespan!$C$10))/7))</f>
        <v>0</v>
      </c>
      <c r="X13" s="149">
        <f ca="1">OFFSET(Products!$D$60,MOD((COLUMN(Lifespan!X10)-COLUMN(Lifespan!$C$10)),7),INT((COLUMN(Lifespan!X10)-COLUMN(Lifespan!$C$10))/7))</f>
        <v>0</v>
      </c>
      <c r="Y13" s="149">
        <f ca="1">OFFSET(Products!$D$60,MOD((COLUMN(Lifespan!Y10)-COLUMN(Lifespan!$C$10)),7),INT((COLUMN(Lifespan!Y10)-COLUMN(Lifespan!$C$10))/7))</f>
        <v>0</v>
      </c>
      <c r="Z13" s="149">
        <f ca="1">OFFSET(Products!$D$60,MOD((COLUMN(Lifespan!Z10)-COLUMN(Lifespan!$C$10)),7),INT((COLUMN(Lifespan!Z10)-COLUMN(Lifespan!$C$10))/7))</f>
        <v>0</v>
      </c>
      <c r="AA13" s="149">
        <f ca="1">OFFSET(Products!$D$60,MOD((COLUMN(Lifespan!AA10)-COLUMN(Lifespan!$C$10)),7),INT((COLUMN(Lifespan!AA10)-COLUMN(Lifespan!$C$10))/7))</f>
        <v>0</v>
      </c>
      <c r="AB13" s="149">
        <f ca="1">OFFSET(Products!$D$60,MOD((COLUMN(Lifespan!AB10)-COLUMN(Lifespan!$C$10)),7),INT((COLUMN(Lifespan!AB10)-COLUMN(Lifespan!$C$10))/7))</f>
        <v>0</v>
      </c>
      <c r="AC13" s="149">
        <f ca="1">OFFSET(Products!$D$60,MOD((COLUMN(Lifespan!AC10)-COLUMN(Lifespan!$C$10)),7),INT((COLUMN(Lifespan!AC10)-COLUMN(Lifespan!$C$10))/7))</f>
        <v>0</v>
      </c>
      <c r="AD13" s="149">
        <f ca="1">OFFSET(Products!$D$60,MOD((COLUMN(Lifespan!AD10)-COLUMN(Lifespan!$C$10)),7),INT((COLUMN(Lifespan!AD10)-COLUMN(Lifespan!$C$10))/7))</f>
        <v>0</v>
      </c>
      <c r="AE13" s="149">
        <f ca="1">OFFSET(Products!$D$60,MOD((COLUMN(Lifespan!AE10)-COLUMN(Lifespan!$C$10)),7),INT((COLUMN(Lifespan!AE10)-COLUMN(Lifespan!$C$10))/7))</f>
        <v>0</v>
      </c>
      <c r="AF13" s="149">
        <f ca="1">OFFSET(Products!$D$60,MOD((COLUMN(Lifespan!AF10)-COLUMN(Lifespan!$C$10)),7),INT((COLUMN(Lifespan!AF10)-COLUMN(Lifespan!$C$10))/7))</f>
        <v>0</v>
      </c>
      <c r="AG13" s="149">
        <f ca="1">OFFSET(Products!$D$60,MOD((COLUMN(Lifespan!AG10)-COLUMN(Lifespan!$C$10)),7),INT((COLUMN(Lifespan!AG10)-COLUMN(Lifespan!$C$10))/7))</f>
        <v>0</v>
      </c>
      <c r="AH13" s="149">
        <f ca="1">OFFSET(Products!$D$60,MOD((COLUMN(Lifespan!AH10)-COLUMN(Lifespan!$C$10)),7),INT((COLUMN(Lifespan!AH10)-COLUMN(Lifespan!$C$10))/7))</f>
        <v>0</v>
      </c>
      <c r="AI13" s="149">
        <f ca="1">OFFSET(Products!$D$60,MOD((COLUMN(Lifespan!AI10)-COLUMN(Lifespan!$C$10)),7),INT((COLUMN(Lifespan!AI10)-COLUMN(Lifespan!$C$10))/7))</f>
        <v>0</v>
      </c>
      <c r="AJ13" s="149">
        <f ca="1">OFFSET(Products!$D$60,MOD((COLUMN(Lifespan!AJ10)-COLUMN(Lifespan!$C$10)),7),INT((COLUMN(Lifespan!AJ10)-COLUMN(Lifespan!$C$10))/7))</f>
        <v>0</v>
      </c>
      <c r="AK13" s="150">
        <f ca="1">OFFSET(Products!$D$60,MOD((COLUMN(Lifespan!AK10)-COLUMN(Lifespan!$C$10)),7),INT((COLUMN(Lifespan!AK10)-COLUMN(Lifespan!$C$10))/7))</f>
        <v>0</v>
      </c>
      <c r="AL13" s="84"/>
      <c r="AM13" s="55"/>
    </row>
    <row r="14" spans="1:39">
      <c r="A14" s="55"/>
      <c r="B14" s="80">
        <f>IF(Start_year+ROW(B14)-ROW($B$14)&gt;End_year,"",Start_year+ROW(B14)-ROW($B$14))</f>
        <v>1930</v>
      </c>
      <c r="C14" s="19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2"/>
      <c r="AL14" s="84"/>
      <c r="AM14" s="55"/>
    </row>
    <row r="15" spans="1:39">
      <c r="A15" s="55"/>
      <c r="B15" s="80">
        <f t="shared" ref="B15:B77" si="0">IF(Start_year+ROW(B15)-ROW($B$14)&gt;End_year,"",Start_year+ROW(B15)-ROW($B$14))</f>
        <v>1931</v>
      </c>
      <c r="C15" s="20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4"/>
      <c r="AL15" s="84"/>
      <c r="AM15" s="55"/>
    </row>
    <row r="16" spans="1:39">
      <c r="A16" s="55"/>
      <c r="B16" s="80">
        <f t="shared" si="0"/>
        <v>1932</v>
      </c>
      <c r="C16" s="20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4"/>
      <c r="AL16" s="84"/>
      <c r="AM16" s="55"/>
    </row>
    <row r="17" spans="1:39">
      <c r="A17" s="55"/>
      <c r="B17" s="80">
        <f t="shared" si="0"/>
        <v>1933</v>
      </c>
      <c r="C17" s="20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  <c r="AI17" s="153"/>
      <c r="AJ17" s="153"/>
      <c r="AK17" s="154"/>
      <c r="AL17" s="84"/>
      <c r="AM17" s="55"/>
    </row>
    <row r="18" spans="1:39">
      <c r="A18" s="55"/>
      <c r="B18" s="80">
        <f t="shared" si="0"/>
        <v>1934</v>
      </c>
      <c r="C18" s="20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  <c r="AI18" s="153"/>
      <c r="AJ18" s="153"/>
      <c r="AK18" s="154"/>
      <c r="AL18" s="84"/>
      <c r="AM18" s="55"/>
    </row>
    <row r="19" spans="1:39">
      <c r="A19" s="55"/>
      <c r="B19" s="80">
        <f t="shared" si="0"/>
        <v>1935</v>
      </c>
      <c r="C19" s="20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4"/>
      <c r="AL19" s="84"/>
      <c r="AM19" s="55"/>
    </row>
    <row r="20" spans="1:39">
      <c r="A20" s="55"/>
      <c r="B20" s="80">
        <f t="shared" si="0"/>
        <v>1936</v>
      </c>
      <c r="C20" s="20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4"/>
      <c r="AL20" s="84"/>
      <c r="AM20" s="55"/>
    </row>
    <row r="21" spans="1:39">
      <c r="A21" s="55"/>
      <c r="B21" s="80">
        <f t="shared" si="0"/>
        <v>1937</v>
      </c>
      <c r="C21" s="20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4"/>
      <c r="AL21" s="84"/>
      <c r="AM21" s="55"/>
    </row>
    <row r="22" spans="1:39">
      <c r="A22" s="55"/>
      <c r="B22" s="80">
        <f t="shared" si="0"/>
        <v>1938</v>
      </c>
      <c r="C22" s="20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4"/>
      <c r="AL22" s="84"/>
      <c r="AM22" s="55"/>
    </row>
    <row r="23" spans="1:39">
      <c r="A23" s="55"/>
      <c r="B23" s="80">
        <f t="shared" si="0"/>
        <v>1939</v>
      </c>
      <c r="C23" s="20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4"/>
      <c r="AL23" s="84"/>
      <c r="AM23" s="55"/>
    </row>
    <row r="24" spans="1:39">
      <c r="A24" s="55"/>
      <c r="B24" s="80">
        <f t="shared" si="0"/>
        <v>1940</v>
      </c>
      <c r="C24" s="20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4"/>
      <c r="AL24" s="84"/>
      <c r="AM24" s="55"/>
    </row>
    <row r="25" spans="1:39">
      <c r="A25" s="55"/>
      <c r="B25" s="80">
        <f t="shared" si="0"/>
        <v>1941</v>
      </c>
      <c r="C25" s="20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4"/>
      <c r="AL25" s="84"/>
      <c r="AM25" s="55"/>
    </row>
    <row r="26" spans="1:39">
      <c r="A26" s="55"/>
      <c r="B26" s="80">
        <f t="shared" si="0"/>
        <v>1942</v>
      </c>
      <c r="C26" s="20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4"/>
      <c r="AL26" s="84"/>
      <c r="AM26" s="55"/>
    </row>
    <row r="27" spans="1:39">
      <c r="A27" s="55"/>
      <c r="B27" s="80">
        <f t="shared" si="0"/>
        <v>1943</v>
      </c>
      <c r="C27" s="20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F27" s="153"/>
      <c r="AG27" s="153"/>
      <c r="AH27" s="153"/>
      <c r="AI27" s="153"/>
      <c r="AJ27" s="153"/>
      <c r="AK27" s="154"/>
      <c r="AL27" s="84"/>
      <c r="AM27" s="55"/>
    </row>
    <row r="28" spans="1:39">
      <c r="A28" s="55"/>
      <c r="B28" s="80">
        <f t="shared" si="0"/>
        <v>1944</v>
      </c>
      <c r="C28" s="20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4"/>
      <c r="AL28" s="84"/>
      <c r="AM28" s="55"/>
    </row>
    <row r="29" spans="1:39">
      <c r="A29" s="55"/>
      <c r="B29" s="80">
        <f t="shared" si="0"/>
        <v>1945</v>
      </c>
      <c r="C29" s="20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/>
      <c r="AD29" s="153"/>
      <c r="AE29" s="153"/>
      <c r="AF29" s="153"/>
      <c r="AG29" s="153"/>
      <c r="AH29" s="153"/>
      <c r="AI29" s="153"/>
      <c r="AJ29" s="153"/>
      <c r="AK29" s="154"/>
      <c r="AL29" s="84"/>
      <c r="AM29" s="55"/>
    </row>
    <row r="30" spans="1:39">
      <c r="A30" s="55"/>
      <c r="B30" s="80">
        <f t="shared" si="0"/>
        <v>1946</v>
      </c>
      <c r="C30" s="20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4"/>
      <c r="AL30" s="84"/>
      <c r="AM30" s="55"/>
    </row>
    <row r="31" spans="1:39">
      <c r="A31" s="55"/>
      <c r="B31" s="80">
        <f t="shared" si="0"/>
        <v>1947</v>
      </c>
      <c r="C31" s="20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4"/>
      <c r="AL31" s="84"/>
      <c r="AM31" s="55"/>
    </row>
    <row r="32" spans="1:39">
      <c r="A32" s="55"/>
      <c r="B32" s="80">
        <f t="shared" si="0"/>
        <v>1948</v>
      </c>
      <c r="C32" s="20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  <c r="AH32" s="153"/>
      <c r="AI32" s="153"/>
      <c r="AJ32" s="153"/>
      <c r="AK32" s="154"/>
      <c r="AL32" s="84"/>
      <c r="AM32" s="55"/>
    </row>
    <row r="33" spans="1:39">
      <c r="A33" s="55"/>
      <c r="B33" s="80">
        <f t="shared" si="0"/>
        <v>1949</v>
      </c>
      <c r="C33" s="20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  <c r="AH33" s="153"/>
      <c r="AI33" s="153"/>
      <c r="AJ33" s="153"/>
      <c r="AK33" s="154"/>
      <c r="AL33" s="84"/>
      <c r="AM33" s="55"/>
    </row>
    <row r="34" spans="1:39">
      <c r="A34" s="55"/>
      <c r="B34" s="80">
        <f t="shared" si="0"/>
        <v>1950</v>
      </c>
      <c r="C34" s="20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4"/>
      <c r="AL34" s="84"/>
      <c r="AM34" s="55"/>
    </row>
    <row r="35" spans="1:39">
      <c r="A35" s="55"/>
      <c r="B35" s="80">
        <f t="shared" si="0"/>
        <v>1951</v>
      </c>
      <c r="C35" s="20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4"/>
      <c r="AL35" s="84"/>
      <c r="AM35" s="55"/>
    </row>
    <row r="36" spans="1:39">
      <c r="A36" s="55"/>
      <c r="B36" s="80">
        <f t="shared" si="0"/>
        <v>1952</v>
      </c>
      <c r="C36" s="20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4"/>
      <c r="AL36" s="84"/>
      <c r="AM36" s="55"/>
    </row>
    <row r="37" spans="1:39">
      <c r="A37" s="55"/>
      <c r="B37" s="80">
        <f t="shared" si="0"/>
        <v>1953</v>
      </c>
      <c r="C37" s="20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4"/>
      <c r="AL37" s="84"/>
      <c r="AM37" s="55"/>
    </row>
    <row r="38" spans="1:39">
      <c r="A38" s="55"/>
      <c r="B38" s="80">
        <f t="shared" si="0"/>
        <v>1954</v>
      </c>
      <c r="C38" s="20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4"/>
      <c r="AL38" s="84"/>
      <c r="AM38" s="55"/>
    </row>
    <row r="39" spans="1:39">
      <c r="A39" s="55"/>
      <c r="B39" s="80">
        <f t="shared" si="0"/>
        <v>1955</v>
      </c>
      <c r="C39" s="20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4"/>
      <c r="AL39" s="84"/>
      <c r="AM39" s="55"/>
    </row>
    <row r="40" spans="1:39">
      <c r="A40" s="55"/>
      <c r="B40" s="80">
        <f t="shared" si="0"/>
        <v>1956</v>
      </c>
      <c r="C40" s="20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4"/>
      <c r="AL40" s="84"/>
      <c r="AM40" s="55"/>
    </row>
    <row r="41" spans="1:39">
      <c r="A41" s="55"/>
      <c r="B41" s="80">
        <f t="shared" si="0"/>
        <v>1957</v>
      </c>
      <c r="C41" s="20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4"/>
      <c r="AL41" s="84"/>
      <c r="AM41" s="55"/>
    </row>
    <row r="42" spans="1:39">
      <c r="A42" s="55"/>
      <c r="B42" s="80">
        <f t="shared" si="0"/>
        <v>1958</v>
      </c>
      <c r="C42" s="20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  <c r="AH42" s="153"/>
      <c r="AI42" s="153"/>
      <c r="AJ42" s="153"/>
      <c r="AK42" s="154"/>
      <c r="AL42" s="84"/>
      <c r="AM42" s="55"/>
    </row>
    <row r="43" spans="1:39">
      <c r="A43" s="55"/>
      <c r="B43" s="80">
        <f t="shared" si="0"/>
        <v>1959</v>
      </c>
      <c r="C43" s="20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4"/>
      <c r="AL43" s="84"/>
      <c r="AM43" s="55"/>
    </row>
    <row r="44" spans="1:39">
      <c r="A44" s="55"/>
      <c r="B44" s="80">
        <f t="shared" si="0"/>
        <v>1960</v>
      </c>
      <c r="C44" s="20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4"/>
      <c r="AL44" s="84"/>
      <c r="AM44" s="55"/>
    </row>
    <row r="45" spans="1:39">
      <c r="A45" s="55"/>
      <c r="B45" s="80">
        <f t="shared" si="0"/>
        <v>1961</v>
      </c>
      <c r="C45" s="20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  <c r="AH45" s="153"/>
      <c r="AI45" s="153"/>
      <c r="AJ45" s="153"/>
      <c r="AK45" s="154"/>
      <c r="AL45" s="84"/>
      <c r="AM45" s="55"/>
    </row>
    <row r="46" spans="1:39">
      <c r="A46" s="55"/>
      <c r="B46" s="80">
        <f t="shared" si="0"/>
        <v>1962</v>
      </c>
      <c r="C46" s="20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4"/>
      <c r="AL46" s="84"/>
      <c r="AM46" s="55"/>
    </row>
    <row r="47" spans="1:39">
      <c r="A47" s="55"/>
      <c r="B47" s="80">
        <f t="shared" si="0"/>
        <v>1963</v>
      </c>
      <c r="C47" s="20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4"/>
      <c r="AL47" s="84"/>
      <c r="AM47" s="55"/>
    </row>
    <row r="48" spans="1:39">
      <c r="A48" s="55"/>
      <c r="B48" s="80">
        <f t="shared" si="0"/>
        <v>1964</v>
      </c>
      <c r="C48" s="20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  <c r="AH48" s="153"/>
      <c r="AI48" s="153"/>
      <c r="AJ48" s="153"/>
      <c r="AK48" s="154"/>
      <c r="AL48" s="84"/>
      <c r="AM48" s="55"/>
    </row>
    <row r="49" spans="1:39">
      <c r="A49" s="55"/>
      <c r="B49" s="80">
        <f t="shared" si="0"/>
        <v>1965</v>
      </c>
      <c r="C49" s="20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4"/>
      <c r="AL49" s="84"/>
      <c r="AM49" s="55"/>
    </row>
    <row r="50" spans="1:39">
      <c r="A50" s="55"/>
      <c r="B50" s="80">
        <f t="shared" si="0"/>
        <v>1966</v>
      </c>
      <c r="C50" s="20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4"/>
      <c r="AL50" s="84"/>
      <c r="AM50" s="55"/>
    </row>
    <row r="51" spans="1:39">
      <c r="A51" s="55"/>
      <c r="B51" s="80">
        <f t="shared" si="0"/>
        <v>1967</v>
      </c>
      <c r="C51" s="20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4"/>
      <c r="AL51" s="84"/>
      <c r="AM51" s="55"/>
    </row>
    <row r="52" spans="1:39">
      <c r="A52" s="55"/>
      <c r="B52" s="80">
        <f t="shared" si="0"/>
        <v>1968</v>
      </c>
      <c r="C52" s="20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4"/>
      <c r="AL52" s="84"/>
      <c r="AM52" s="55"/>
    </row>
    <row r="53" spans="1:39">
      <c r="A53" s="55"/>
      <c r="B53" s="80">
        <f t="shared" si="0"/>
        <v>1969</v>
      </c>
      <c r="C53" s="20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  <c r="AH53" s="153"/>
      <c r="AI53" s="153"/>
      <c r="AJ53" s="153"/>
      <c r="AK53" s="154"/>
      <c r="AL53" s="84"/>
      <c r="AM53" s="55"/>
    </row>
    <row r="54" spans="1:39">
      <c r="A54" s="55"/>
      <c r="B54" s="80">
        <f t="shared" si="0"/>
        <v>1970</v>
      </c>
      <c r="C54" s="20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4"/>
      <c r="AL54" s="84"/>
      <c r="AM54" s="55"/>
    </row>
    <row r="55" spans="1:39">
      <c r="A55" s="55"/>
      <c r="B55" s="80">
        <f t="shared" si="0"/>
        <v>1971</v>
      </c>
      <c r="C55" s="20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  <c r="AH55" s="153"/>
      <c r="AI55" s="153"/>
      <c r="AJ55" s="153"/>
      <c r="AK55" s="154"/>
      <c r="AL55" s="84"/>
      <c r="AM55" s="55"/>
    </row>
    <row r="56" spans="1:39">
      <c r="A56" s="55"/>
      <c r="B56" s="80">
        <f t="shared" si="0"/>
        <v>1972</v>
      </c>
      <c r="C56" s="20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4"/>
      <c r="AL56" s="84"/>
      <c r="AM56" s="55"/>
    </row>
    <row r="57" spans="1:39">
      <c r="A57" s="55"/>
      <c r="B57" s="80">
        <f t="shared" si="0"/>
        <v>1973</v>
      </c>
      <c r="C57" s="20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  <c r="AH57" s="153"/>
      <c r="AI57" s="153"/>
      <c r="AJ57" s="153"/>
      <c r="AK57" s="154"/>
      <c r="AL57" s="84"/>
      <c r="AM57" s="55"/>
    </row>
    <row r="58" spans="1:39">
      <c r="A58" s="55"/>
      <c r="B58" s="80">
        <f t="shared" si="0"/>
        <v>1974</v>
      </c>
      <c r="C58" s="20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  <c r="AH58" s="153"/>
      <c r="AI58" s="153"/>
      <c r="AJ58" s="153"/>
      <c r="AK58" s="154"/>
      <c r="AL58" s="84"/>
      <c r="AM58" s="55"/>
    </row>
    <row r="59" spans="1:39">
      <c r="A59" s="55"/>
      <c r="B59" s="80">
        <f t="shared" si="0"/>
        <v>1975</v>
      </c>
      <c r="C59" s="20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  <c r="AH59" s="153"/>
      <c r="AI59" s="153"/>
      <c r="AJ59" s="153"/>
      <c r="AK59" s="154"/>
      <c r="AL59" s="84"/>
      <c r="AM59" s="55"/>
    </row>
    <row r="60" spans="1:39">
      <c r="A60" s="55"/>
      <c r="B60" s="80">
        <f t="shared" si="0"/>
        <v>1976</v>
      </c>
      <c r="C60" s="20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  <c r="AH60" s="153"/>
      <c r="AI60" s="153"/>
      <c r="AJ60" s="153"/>
      <c r="AK60" s="154"/>
      <c r="AL60" s="84"/>
      <c r="AM60" s="55"/>
    </row>
    <row r="61" spans="1:39">
      <c r="A61" s="55"/>
      <c r="B61" s="80">
        <f t="shared" si="0"/>
        <v>1977</v>
      </c>
      <c r="C61" s="20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  <c r="AH61" s="153"/>
      <c r="AI61" s="153"/>
      <c r="AJ61" s="153"/>
      <c r="AK61" s="154"/>
      <c r="AL61" s="84"/>
      <c r="AM61" s="55"/>
    </row>
    <row r="62" spans="1:39">
      <c r="A62" s="55"/>
      <c r="B62" s="80">
        <f t="shared" si="0"/>
        <v>1978</v>
      </c>
      <c r="C62" s="20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  <c r="AH62" s="153"/>
      <c r="AI62" s="153"/>
      <c r="AJ62" s="153"/>
      <c r="AK62" s="154"/>
      <c r="AL62" s="84"/>
      <c r="AM62" s="55"/>
    </row>
    <row r="63" spans="1:39">
      <c r="A63" s="55"/>
      <c r="B63" s="80">
        <f t="shared" si="0"/>
        <v>1979</v>
      </c>
      <c r="C63" s="20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3"/>
      <c r="AJ63" s="153"/>
      <c r="AK63" s="154"/>
      <c r="AL63" s="84"/>
      <c r="AM63" s="55"/>
    </row>
    <row r="64" spans="1:39">
      <c r="A64" s="55"/>
      <c r="B64" s="80">
        <f t="shared" si="0"/>
        <v>1980</v>
      </c>
      <c r="C64" s="20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  <c r="AH64" s="153"/>
      <c r="AI64" s="153"/>
      <c r="AJ64" s="153"/>
      <c r="AK64" s="154"/>
      <c r="AL64" s="84"/>
      <c r="AM64" s="55"/>
    </row>
    <row r="65" spans="1:39">
      <c r="A65" s="55"/>
      <c r="B65" s="80" t="str">
        <f t="shared" si="0"/>
        <v/>
      </c>
      <c r="C65" s="20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  <c r="AH65" s="153"/>
      <c r="AI65" s="153"/>
      <c r="AJ65" s="153"/>
      <c r="AK65" s="154"/>
      <c r="AL65" s="84"/>
      <c r="AM65" s="55"/>
    </row>
    <row r="66" spans="1:39">
      <c r="A66" s="55"/>
      <c r="B66" s="80" t="str">
        <f t="shared" si="0"/>
        <v/>
      </c>
      <c r="C66" s="20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  <c r="AH66" s="153"/>
      <c r="AI66" s="153"/>
      <c r="AJ66" s="153"/>
      <c r="AK66" s="154"/>
      <c r="AL66" s="84"/>
      <c r="AM66" s="55"/>
    </row>
    <row r="67" spans="1:39">
      <c r="A67" s="55"/>
      <c r="B67" s="80" t="str">
        <f t="shared" si="0"/>
        <v/>
      </c>
      <c r="C67" s="20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  <c r="AH67" s="153"/>
      <c r="AI67" s="153"/>
      <c r="AJ67" s="153"/>
      <c r="AK67" s="154"/>
      <c r="AL67" s="84"/>
      <c r="AM67" s="55"/>
    </row>
    <row r="68" spans="1:39">
      <c r="A68" s="55"/>
      <c r="B68" s="80" t="str">
        <f t="shared" si="0"/>
        <v/>
      </c>
      <c r="C68" s="20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  <c r="AH68" s="153"/>
      <c r="AI68" s="153"/>
      <c r="AJ68" s="153"/>
      <c r="AK68" s="154"/>
      <c r="AL68" s="84"/>
      <c r="AM68" s="55"/>
    </row>
    <row r="69" spans="1:39">
      <c r="A69" s="55"/>
      <c r="B69" s="80" t="str">
        <f t="shared" si="0"/>
        <v/>
      </c>
      <c r="C69" s="20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  <c r="AH69" s="153"/>
      <c r="AI69" s="153"/>
      <c r="AJ69" s="153"/>
      <c r="AK69" s="154"/>
      <c r="AL69" s="84"/>
      <c r="AM69" s="55"/>
    </row>
    <row r="70" spans="1:39">
      <c r="A70" s="55"/>
      <c r="B70" s="80" t="str">
        <f t="shared" si="0"/>
        <v/>
      </c>
      <c r="C70" s="20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  <c r="AH70" s="153"/>
      <c r="AI70" s="153"/>
      <c r="AJ70" s="153"/>
      <c r="AK70" s="154"/>
      <c r="AL70" s="84"/>
      <c r="AM70" s="55"/>
    </row>
    <row r="71" spans="1:39">
      <c r="A71" s="55"/>
      <c r="B71" s="80" t="str">
        <f t="shared" si="0"/>
        <v/>
      </c>
      <c r="C71" s="20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4"/>
      <c r="AL71" s="84"/>
      <c r="AM71" s="55"/>
    </row>
    <row r="72" spans="1:39">
      <c r="A72" s="55"/>
      <c r="B72" s="80" t="str">
        <f t="shared" si="0"/>
        <v/>
      </c>
      <c r="C72" s="20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  <c r="AH72" s="153"/>
      <c r="AI72" s="153"/>
      <c r="AJ72" s="153"/>
      <c r="AK72" s="154"/>
      <c r="AL72" s="84"/>
      <c r="AM72" s="55"/>
    </row>
    <row r="73" spans="1:39">
      <c r="A73" s="55"/>
      <c r="B73" s="80" t="str">
        <f t="shared" si="0"/>
        <v/>
      </c>
      <c r="C73" s="20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  <c r="AH73" s="153"/>
      <c r="AI73" s="153"/>
      <c r="AJ73" s="153"/>
      <c r="AK73" s="154"/>
      <c r="AL73" s="84"/>
      <c r="AM73" s="55"/>
    </row>
    <row r="74" spans="1:39">
      <c r="A74" s="55"/>
      <c r="B74" s="80" t="str">
        <f t="shared" si="0"/>
        <v/>
      </c>
      <c r="C74" s="20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  <c r="AH74" s="153"/>
      <c r="AI74" s="153"/>
      <c r="AJ74" s="153"/>
      <c r="AK74" s="154"/>
      <c r="AL74" s="84"/>
      <c r="AM74" s="55"/>
    </row>
    <row r="75" spans="1:39">
      <c r="A75" s="55"/>
      <c r="B75" s="80" t="str">
        <f t="shared" si="0"/>
        <v/>
      </c>
      <c r="C75" s="20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  <c r="AH75" s="153"/>
      <c r="AI75" s="153"/>
      <c r="AJ75" s="153"/>
      <c r="AK75" s="154"/>
      <c r="AL75" s="84"/>
      <c r="AM75" s="55"/>
    </row>
    <row r="76" spans="1:39">
      <c r="A76" s="55"/>
      <c r="B76" s="80" t="str">
        <f t="shared" si="0"/>
        <v/>
      </c>
      <c r="C76" s="20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  <c r="AH76" s="153"/>
      <c r="AI76" s="153"/>
      <c r="AJ76" s="153"/>
      <c r="AK76" s="154"/>
      <c r="AL76" s="84"/>
      <c r="AM76" s="55"/>
    </row>
    <row r="77" spans="1:39">
      <c r="A77" s="55"/>
      <c r="B77" s="80" t="str">
        <f t="shared" si="0"/>
        <v/>
      </c>
      <c r="C77" s="20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153"/>
      <c r="AK77" s="154"/>
      <c r="AL77" s="84"/>
      <c r="AM77" s="55"/>
    </row>
    <row r="78" spans="1:39">
      <c r="A78" s="55"/>
      <c r="B78" s="80" t="str">
        <f t="shared" ref="B78:B141" si="1">IF(Start_year+ROW(B78)-ROW($B$14)&gt;End_year,"",Start_year+ROW(B78)-ROW($B$14))</f>
        <v/>
      </c>
      <c r="C78" s="20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  <c r="AH78" s="153"/>
      <c r="AI78" s="153"/>
      <c r="AJ78" s="153"/>
      <c r="AK78" s="154"/>
      <c r="AL78" s="84"/>
      <c r="AM78" s="55"/>
    </row>
    <row r="79" spans="1:39">
      <c r="A79" s="55"/>
      <c r="B79" s="80" t="str">
        <f t="shared" si="1"/>
        <v/>
      </c>
      <c r="C79" s="20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  <c r="AH79" s="153"/>
      <c r="AI79" s="153"/>
      <c r="AJ79" s="153"/>
      <c r="AK79" s="154"/>
      <c r="AL79" s="84"/>
      <c r="AM79" s="55"/>
    </row>
    <row r="80" spans="1:39">
      <c r="A80" s="55"/>
      <c r="B80" s="80" t="str">
        <f t="shared" si="1"/>
        <v/>
      </c>
      <c r="C80" s="20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  <c r="AH80" s="153"/>
      <c r="AI80" s="153"/>
      <c r="AJ80" s="153"/>
      <c r="AK80" s="154"/>
      <c r="AL80" s="84"/>
      <c r="AM80" s="55"/>
    </row>
    <row r="81" spans="1:39">
      <c r="A81" s="55"/>
      <c r="B81" s="80" t="str">
        <f t="shared" si="1"/>
        <v/>
      </c>
      <c r="C81" s="20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4"/>
      <c r="AL81" s="84"/>
      <c r="AM81" s="55"/>
    </row>
    <row r="82" spans="1:39">
      <c r="A82" s="55"/>
      <c r="B82" s="80" t="str">
        <f t="shared" si="1"/>
        <v/>
      </c>
      <c r="C82" s="20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4"/>
      <c r="AL82" s="84"/>
      <c r="AM82" s="55"/>
    </row>
    <row r="83" spans="1:39">
      <c r="A83" s="55"/>
      <c r="B83" s="80" t="str">
        <f t="shared" si="1"/>
        <v/>
      </c>
      <c r="C83" s="20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4"/>
      <c r="AL83" s="84"/>
      <c r="AM83" s="55"/>
    </row>
    <row r="84" spans="1:39">
      <c r="A84" s="55"/>
      <c r="B84" s="80" t="str">
        <f t="shared" si="1"/>
        <v/>
      </c>
      <c r="C84" s="20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  <c r="AH84" s="153"/>
      <c r="AI84" s="153"/>
      <c r="AJ84" s="153"/>
      <c r="AK84" s="154"/>
      <c r="AL84" s="84"/>
      <c r="AM84" s="55"/>
    </row>
    <row r="85" spans="1:39">
      <c r="A85" s="55"/>
      <c r="B85" s="80" t="str">
        <f t="shared" si="1"/>
        <v/>
      </c>
      <c r="C85" s="20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4"/>
      <c r="AL85" s="84"/>
      <c r="AM85" s="55"/>
    </row>
    <row r="86" spans="1:39">
      <c r="A86" s="55"/>
      <c r="B86" s="80" t="str">
        <f t="shared" si="1"/>
        <v/>
      </c>
      <c r="C86" s="20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4"/>
      <c r="AL86" s="84"/>
      <c r="AM86" s="55"/>
    </row>
    <row r="87" spans="1:39">
      <c r="A87" s="55"/>
      <c r="B87" s="80" t="str">
        <f t="shared" si="1"/>
        <v/>
      </c>
      <c r="C87" s="20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4"/>
      <c r="AL87" s="84"/>
      <c r="AM87" s="55"/>
    </row>
    <row r="88" spans="1:39">
      <c r="A88" s="55"/>
      <c r="B88" s="80" t="str">
        <f t="shared" si="1"/>
        <v/>
      </c>
      <c r="C88" s="20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4"/>
      <c r="AL88" s="84"/>
      <c r="AM88" s="55"/>
    </row>
    <row r="89" spans="1:39">
      <c r="A89" s="55"/>
      <c r="B89" s="80" t="str">
        <f t="shared" si="1"/>
        <v/>
      </c>
      <c r="C89" s="20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4"/>
      <c r="AL89" s="84"/>
      <c r="AM89" s="55"/>
    </row>
    <row r="90" spans="1:39">
      <c r="A90" s="55"/>
      <c r="B90" s="80" t="str">
        <f t="shared" si="1"/>
        <v/>
      </c>
      <c r="C90" s="20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4"/>
      <c r="AL90" s="84"/>
      <c r="AM90" s="55"/>
    </row>
    <row r="91" spans="1:39">
      <c r="A91" s="55"/>
      <c r="B91" s="80" t="str">
        <f t="shared" si="1"/>
        <v/>
      </c>
      <c r="C91" s="20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4"/>
      <c r="AL91" s="84"/>
      <c r="AM91" s="55"/>
    </row>
    <row r="92" spans="1:39">
      <c r="A92" s="55"/>
      <c r="B92" s="80" t="str">
        <f t="shared" si="1"/>
        <v/>
      </c>
      <c r="C92" s="20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4"/>
      <c r="AL92" s="84"/>
      <c r="AM92" s="55"/>
    </row>
    <row r="93" spans="1:39">
      <c r="A93" s="55"/>
      <c r="B93" s="80" t="str">
        <f t="shared" si="1"/>
        <v/>
      </c>
      <c r="C93" s="20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4"/>
      <c r="AL93" s="84"/>
      <c r="AM93" s="55"/>
    </row>
    <row r="94" spans="1:39">
      <c r="A94" s="55"/>
      <c r="B94" s="80" t="str">
        <f t="shared" si="1"/>
        <v/>
      </c>
      <c r="C94" s="20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4"/>
      <c r="AL94" s="84"/>
      <c r="AM94" s="55"/>
    </row>
    <row r="95" spans="1:39">
      <c r="A95" s="55"/>
      <c r="B95" s="80" t="str">
        <f t="shared" si="1"/>
        <v/>
      </c>
      <c r="C95" s="20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4"/>
      <c r="AL95" s="84"/>
      <c r="AM95" s="55"/>
    </row>
    <row r="96" spans="1:39">
      <c r="A96" s="55"/>
      <c r="B96" s="80" t="str">
        <f t="shared" si="1"/>
        <v/>
      </c>
      <c r="C96" s="20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4"/>
      <c r="AL96" s="84"/>
      <c r="AM96" s="55"/>
    </row>
    <row r="97" spans="1:39">
      <c r="A97" s="55"/>
      <c r="B97" s="80" t="str">
        <f t="shared" si="1"/>
        <v/>
      </c>
      <c r="C97" s="20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4"/>
      <c r="AL97" s="84"/>
      <c r="AM97" s="55"/>
    </row>
    <row r="98" spans="1:39">
      <c r="A98" s="55"/>
      <c r="B98" s="80" t="str">
        <f t="shared" si="1"/>
        <v/>
      </c>
      <c r="C98" s="20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4"/>
      <c r="AL98" s="84"/>
      <c r="AM98" s="55"/>
    </row>
    <row r="99" spans="1:39">
      <c r="A99" s="55"/>
      <c r="B99" s="80" t="str">
        <f t="shared" si="1"/>
        <v/>
      </c>
      <c r="C99" s="20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4"/>
      <c r="AL99" s="84"/>
      <c r="AM99" s="55"/>
    </row>
    <row r="100" spans="1:39">
      <c r="A100" s="55"/>
      <c r="B100" s="80" t="str">
        <f t="shared" si="1"/>
        <v/>
      </c>
      <c r="C100" s="20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4"/>
      <c r="AL100" s="84"/>
      <c r="AM100" s="55"/>
    </row>
    <row r="101" spans="1:39">
      <c r="A101" s="55"/>
      <c r="B101" s="80" t="str">
        <f t="shared" si="1"/>
        <v/>
      </c>
      <c r="C101" s="20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4"/>
      <c r="AL101" s="84"/>
      <c r="AM101" s="55"/>
    </row>
    <row r="102" spans="1:39">
      <c r="A102" s="55"/>
      <c r="B102" s="80" t="str">
        <f t="shared" si="1"/>
        <v/>
      </c>
      <c r="C102" s="20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4"/>
      <c r="AL102" s="84"/>
      <c r="AM102" s="55"/>
    </row>
    <row r="103" spans="1:39">
      <c r="A103" s="55"/>
      <c r="B103" s="80" t="str">
        <f t="shared" si="1"/>
        <v/>
      </c>
      <c r="C103" s="20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4"/>
      <c r="AL103" s="84"/>
      <c r="AM103" s="55"/>
    </row>
    <row r="104" spans="1:39">
      <c r="A104" s="55"/>
      <c r="B104" s="80" t="str">
        <f t="shared" si="1"/>
        <v/>
      </c>
      <c r="C104" s="20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4"/>
      <c r="AL104" s="84"/>
      <c r="AM104" s="55"/>
    </row>
    <row r="105" spans="1:39">
      <c r="A105" s="55"/>
      <c r="B105" s="80" t="str">
        <f t="shared" si="1"/>
        <v/>
      </c>
      <c r="C105" s="20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4"/>
      <c r="AL105" s="84"/>
      <c r="AM105" s="55"/>
    </row>
    <row r="106" spans="1:39">
      <c r="A106" s="55"/>
      <c r="B106" s="80" t="str">
        <f t="shared" si="1"/>
        <v/>
      </c>
      <c r="C106" s="20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4"/>
      <c r="AL106" s="84"/>
      <c r="AM106" s="55"/>
    </row>
    <row r="107" spans="1:39">
      <c r="A107" s="55"/>
      <c r="B107" s="80" t="str">
        <f t="shared" si="1"/>
        <v/>
      </c>
      <c r="C107" s="20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4"/>
      <c r="AL107" s="84"/>
      <c r="AM107" s="55"/>
    </row>
    <row r="108" spans="1:39">
      <c r="A108" s="55"/>
      <c r="B108" s="80" t="str">
        <f t="shared" si="1"/>
        <v/>
      </c>
      <c r="C108" s="20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  <c r="AH108" s="153"/>
      <c r="AI108" s="153"/>
      <c r="AJ108" s="153"/>
      <c r="AK108" s="154"/>
      <c r="AL108" s="84"/>
      <c r="AM108" s="55"/>
    </row>
    <row r="109" spans="1:39">
      <c r="A109" s="55"/>
      <c r="B109" s="80" t="str">
        <f t="shared" si="1"/>
        <v/>
      </c>
      <c r="C109" s="20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4"/>
      <c r="AL109" s="84"/>
      <c r="AM109" s="55"/>
    </row>
    <row r="110" spans="1:39">
      <c r="A110" s="55"/>
      <c r="B110" s="80" t="str">
        <f t="shared" si="1"/>
        <v/>
      </c>
      <c r="C110" s="20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4"/>
      <c r="AL110" s="84"/>
      <c r="AM110" s="55"/>
    </row>
    <row r="111" spans="1:39">
      <c r="A111" s="55"/>
      <c r="B111" s="80" t="str">
        <f t="shared" si="1"/>
        <v/>
      </c>
      <c r="C111" s="20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4"/>
      <c r="AL111" s="84"/>
      <c r="AM111" s="55"/>
    </row>
    <row r="112" spans="1:39">
      <c r="A112" s="55"/>
      <c r="B112" s="80" t="str">
        <f t="shared" si="1"/>
        <v/>
      </c>
      <c r="C112" s="20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4"/>
      <c r="AL112" s="84"/>
      <c r="AM112" s="55"/>
    </row>
    <row r="113" spans="1:39">
      <c r="A113" s="55"/>
      <c r="B113" s="80" t="str">
        <f t="shared" si="1"/>
        <v/>
      </c>
      <c r="C113" s="20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4"/>
      <c r="AL113" s="84"/>
      <c r="AM113" s="55"/>
    </row>
    <row r="114" spans="1:39">
      <c r="A114" s="55"/>
      <c r="B114" s="80" t="str">
        <f t="shared" si="1"/>
        <v/>
      </c>
      <c r="C114" s="20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4"/>
      <c r="AL114" s="84"/>
      <c r="AM114" s="55"/>
    </row>
    <row r="115" spans="1:39">
      <c r="A115" s="55"/>
      <c r="B115" s="80" t="str">
        <f t="shared" si="1"/>
        <v/>
      </c>
      <c r="C115" s="20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4"/>
      <c r="AL115" s="84"/>
      <c r="AM115" s="55"/>
    </row>
    <row r="116" spans="1:39">
      <c r="A116" s="55"/>
      <c r="B116" s="80" t="str">
        <f t="shared" si="1"/>
        <v/>
      </c>
      <c r="C116" s="20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4"/>
      <c r="AL116" s="84"/>
      <c r="AM116" s="55"/>
    </row>
    <row r="117" spans="1:39">
      <c r="A117" s="55"/>
      <c r="B117" s="80" t="str">
        <f t="shared" si="1"/>
        <v/>
      </c>
      <c r="C117" s="20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4"/>
      <c r="AL117" s="84"/>
      <c r="AM117" s="55"/>
    </row>
    <row r="118" spans="1:39">
      <c r="A118" s="55"/>
      <c r="B118" s="80" t="str">
        <f t="shared" si="1"/>
        <v/>
      </c>
      <c r="C118" s="20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4"/>
      <c r="AL118" s="84"/>
      <c r="AM118" s="55"/>
    </row>
    <row r="119" spans="1:39">
      <c r="A119" s="55"/>
      <c r="B119" s="80" t="str">
        <f t="shared" si="1"/>
        <v/>
      </c>
      <c r="C119" s="20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4"/>
      <c r="AL119" s="84"/>
      <c r="AM119" s="55"/>
    </row>
    <row r="120" spans="1:39">
      <c r="A120" s="55"/>
      <c r="B120" s="80" t="str">
        <f t="shared" si="1"/>
        <v/>
      </c>
      <c r="C120" s="20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4"/>
      <c r="AL120" s="84"/>
      <c r="AM120" s="55"/>
    </row>
    <row r="121" spans="1:39">
      <c r="A121" s="55"/>
      <c r="B121" s="80" t="str">
        <f t="shared" si="1"/>
        <v/>
      </c>
      <c r="C121" s="20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4"/>
      <c r="AL121" s="84"/>
      <c r="AM121" s="55"/>
    </row>
    <row r="122" spans="1:39">
      <c r="A122" s="55"/>
      <c r="B122" s="80" t="str">
        <f t="shared" si="1"/>
        <v/>
      </c>
      <c r="C122" s="20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4"/>
      <c r="AL122" s="84"/>
      <c r="AM122" s="55"/>
    </row>
    <row r="123" spans="1:39">
      <c r="A123" s="55"/>
      <c r="B123" s="80" t="str">
        <f t="shared" si="1"/>
        <v/>
      </c>
      <c r="C123" s="20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4"/>
      <c r="AL123" s="84"/>
      <c r="AM123" s="55"/>
    </row>
    <row r="124" spans="1:39">
      <c r="A124" s="55"/>
      <c r="B124" s="80" t="str">
        <f t="shared" si="1"/>
        <v/>
      </c>
      <c r="C124" s="20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4"/>
      <c r="AL124" s="84"/>
      <c r="AM124" s="55"/>
    </row>
    <row r="125" spans="1:39">
      <c r="A125" s="55"/>
      <c r="B125" s="80" t="str">
        <f t="shared" si="1"/>
        <v/>
      </c>
      <c r="C125" s="20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4"/>
      <c r="AL125" s="84"/>
      <c r="AM125" s="55"/>
    </row>
    <row r="126" spans="1:39">
      <c r="A126" s="55"/>
      <c r="B126" s="80" t="str">
        <f t="shared" si="1"/>
        <v/>
      </c>
      <c r="C126" s="20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4"/>
      <c r="AL126" s="84"/>
      <c r="AM126" s="55"/>
    </row>
    <row r="127" spans="1:39">
      <c r="A127" s="55"/>
      <c r="B127" s="80" t="str">
        <f t="shared" si="1"/>
        <v/>
      </c>
      <c r="C127" s="20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4"/>
      <c r="AL127" s="84"/>
      <c r="AM127" s="55"/>
    </row>
    <row r="128" spans="1:39">
      <c r="A128" s="55"/>
      <c r="B128" s="80" t="str">
        <f t="shared" si="1"/>
        <v/>
      </c>
      <c r="C128" s="20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4"/>
      <c r="AL128" s="84"/>
      <c r="AM128" s="55"/>
    </row>
    <row r="129" spans="1:39">
      <c r="A129" s="55"/>
      <c r="B129" s="80" t="str">
        <f t="shared" si="1"/>
        <v/>
      </c>
      <c r="C129" s="20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4"/>
      <c r="AL129" s="84"/>
      <c r="AM129" s="55"/>
    </row>
    <row r="130" spans="1:39">
      <c r="A130" s="55"/>
      <c r="B130" s="80" t="str">
        <f t="shared" si="1"/>
        <v/>
      </c>
      <c r="C130" s="20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4"/>
      <c r="AL130" s="84"/>
      <c r="AM130" s="55"/>
    </row>
    <row r="131" spans="1:39">
      <c r="A131" s="55"/>
      <c r="B131" s="80" t="str">
        <f t="shared" si="1"/>
        <v/>
      </c>
      <c r="C131" s="20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4"/>
      <c r="AL131" s="84"/>
      <c r="AM131" s="55"/>
    </row>
    <row r="132" spans="1:39">
      <c r="A132" s="55"/>
      <c r="B132" s="80" t="str">
        <f t="shared" si="1"/>
        <v/>
      </c>
      <c r="C132" s="20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4"/>
      <c r="AL132" s="84"/>
      <c r="AM132" s="55"/>
    </row>
    <row r="133" spans="1:39">
      <c r="A133" s="55"/>
      <c r="B133" s="80" t="str">
        <f t="shared" si="1"/>
        <v/>
      </c>
      <c r="C133" s="20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4"/>
      <c r="AL133" s="84"/>
      <c r="AM133" s="55"/>
    </row>
    <row r="134" spans="1:39">
      <c r="A134" s="55"/>
      <c r="B134" s="80" t="str">
        <f t="shared" si="1"/>
        <v/>
      </c>
      <c r="C134" s="20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4"/>
      <c r="AL134" s="84"/>
      <c r="AM134" s="55"/>
    </row>
    <row r="135" spans="1:39">
      <c r="A135" s="55"/>
      <c r="B135" s="80" t="str">
        <f t="shared" si="1"/>
        <v/>
      </c>
      <c r="C135" s="20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4"/>
      <c r="AL135" s="84"/>
      <c r="AM135" s="55"/>
    </row>
    <row r="136" spans="1:39">
      <c r="A136" s="55"/>
      <c r="B136" s="80" t="str">
        <f t="shared" si="1"/>
        <v/>
      </c>
      <c r="C136" s="20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4"/>
      <c r="AL136" s="84"/>
      <c r="AM136" s="55"/>
    </row>
    <row r="137" spans="1:39">
      <c r="A137" s="55"/>
      <c r="B137" s="80" t="str">
        <f t="shared" si="1"/>
        <v/>
      </c>
      <c r="C137" s="20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4"/>
      <c r="AL137" s="84"/>
      <c r="AM137" s="55"/>
    </row>
    <row r="138" spans="1:39">
      <c r="A138" s="55"/>
      <c r="B138" s="80" t="str">
        <f t="shared" si="1"/>
        <v/>
      </c>
      <c r="C138" s="20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4"/>
      <c r="AL138" s="84"/>
      <c r="AM138" s="55"/>
    </row>
    <row r="139" spans="1:39">
      <c r="A139" s="55"/>
      <c r="B139" s="80" t="str">
        <f t="shared" si="1"/>
        <v/>
      </c>
      <c r="C139" s="20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4"/>
      <c r="AL139" s="84"/>
      <c r="AM139" s="55"/>
    </row>
    <row r="140" spans="1:39">
      <c r="A140" s="55"/>
      <c r="B140" s="80" t="str">
        <f t="shared" si="1"/>
        <v/>
      </c>
      <c r="C140" s="20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4"/>
      <c r="AL140" s="84"/>
      <c r="AM140" s="55"/>
    </row>
    <row r="141" spans="1:39">
      <c r="A141" s="55"/>
      <c r="B141" s="80" t="str">
        <f t="shared" si="1"/>
        <v/>
      </c>
      <c r="C141" s="20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4"/>
      <c r="AL141" s="84"/>
      <c r="AM141" s="55"/>
    </row>
    <row r="142" spans="1:39">
      <c r="A142" s="55"/>
      <c r="B142" s="80" t="str">
        <f t="shared" ref="B142:B205" si="2">IF(Start_year+ROW(B142)-ROW($B$14)&gt;End_year,"",Start_year+ROW(B142)-ROW($B$14))</f>
        <v/>
      </c>
      <c r="C142" s="20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4"/>
      <c r="AL142" s="84"/>
      <c r="AM142" s="55"/>
    </row>
    <row r="143" spans="1:39">
      <c r="A143" s="55"/>
      <c r="B143" s="80" t="str">
        <f t="shared" si="2"/>
        <v/>
      </c>
      <c r="C143" s="20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4"/>
      <c r="AL143" s="84"/>
      <c r="AM143" s="55"/>
    </row>
    <row r="144" spans="1:39">
      <c r="A144" s="55"/>
      <c r="B144" s="80" t="str">
        <f t="shared" si="2"/>
        <v/>
      </c>
      <c r="C144" s="20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4"/>
      <c r="AL144" s="84"/>
      <c r="AM144" s="55"/>
    </row>
    <row r="145" spans="1:39">
      <c r="A145" s="55"/>
      <c r="B145" s="80" t="str">
        <f t="shared" si="2"/>
        <v/>
      </c>
      <c r="C145" s="20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4"/>
      <c r="AL145" s="84"/>
      <c r="AM145" s="55"/>
    </row>
    <row r="146" spans="1:39">
      <c r="A146" s="55"/>
      <c r="B146" s="80" t="str">
        <f t="shared" si="2"/>
        <v/>
      </c>
      <c r="C146" s="20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4"/>
      <c r="AL146" s="84"/>
      <c r="AM146" s="55"/>
    </row>
    <row r="147" spans="1:39">
      <c r="A147" s="55"/>
      <c r="B147" s="80" t="str">
        <f t="shared" si="2"/>
        <v/>
      </c>
      <c r="C147" s="20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4"/>
      <c r="AL147" s="84"/>
      <c r="AM147" s="55"/>
    </row>
    <row r="148" spans="1:39">
      <c r="A148" s="55"/>
      <c r="B148" s="80" t="str">
        <f t="shared" si="2"/>
        <v/>
      </c>
      <c r="C148" s="20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4"/>
      <c r="AL148" s="84"/>
      <c r="AM148" s="55"/>
    </row>
    <row r="149" spans="1:39">
      <c r="A149" s="55"/>
      <c r="B149" s="80" t="str">
        <f t="shared" si="2"/>
        <v/>
      </c>
      <c r="C149" s="20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4"/>
      <c r="AL149" s="84"/>
      <c r="AM149" s="55"/>
    </row>
    <row r="150" spans="1:39">
      <c r="A150" s="55"/>
      <c r="B150" s="80" t="str">
        <f t="shared" si="2"/>
        <v/>
      </c>
      <c r="C150" s="20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4"/>
      <c r="AL150" s="84"/>
      <c r="AM150" s="55"/>
    </row>
    <row r="151" spans="1:39">
      <c r="A151" s="55"/>
      <c r="B151" s="80" t="str">
        <f t="shared" si="2"/>
        <v/>
      </c>
      <c r="C151" s="20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4"/>
      <c r="AL151" s="84"/>
      <c r="AM151" s="55"/>
    </row>
    <row r="152" spans="1:39">
      <c r="A152" s="55"/>
      <c r="B152" s="80" t="str">
        <f t="shared" si="2"/>
        <v/>
      </c>
      <c r="C152" s="20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4"/>
      <c r="AL152" s="84"/>
      <c r="AM152" s="55"/>
    </row>
    <row r="153" spans="1:39">
      <c r="A153" s="55"/>
      <c r="B153" s="80" t="str">
        <f t="shared" si="2"/>
        <v/>
      </c>
      <c r="C153" s="20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4"/>
      <c r="AL153" s="84"/>
      <c r="AM153" s="55"/>
    </row>
    <row r="154" spans="1:39">
      <c r="A154" s="55"/>
      <c r="B154" s="80" t="str">
        <f t="shared" si="2"/>
        <v/>
      </c>
      <c r="C154" s="20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4"/>
      <c r="AL154" s="84"/>
      <c r="AM154" s="55"/>
    </row>
    <row r="155" spans="1:39">
      <c r="A155" s="55"/>
      <c r="B155" s="80" t="str">
        <f t="shared" si="2"/>
        <v/>
      </c>
      <c r="C155" s="20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4"/>
      <c r="AL155" s="84"/>
      <c r="AM155" s="55"/>
    </row>
    <row r="156" spans="1:39">
      <c r="A156" s="55"/>
      <c r="B156" s="80" t="str">
        <f t="shared" si="2"/>
        <v/>
      </c>
      <c r="C156" s="20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4"/>
      <c r="AL156" s="84"/>
      <c r="AM156" s="55"/>
    </row>
    <row r="157" spans="1:39">
      <c r="A157" s="55"/>
      <c r="B157" s="80" t="str">
        <f t="shared" si="2"/>
        <v/>
      </c>
      <c r="C157" s="20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4"/>
      <c r="AL157" s="84"/>
      <c r="AM157" s="55"/>
    </row>
    <row r="158" spans="1:39">
      <c r="A158" s="55"/>
      <c r="B158" s="80" t="str">
        <f t="shared" si="2"/>
        <v/>
      </c>
      <c r="C158" s="20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4"/>
      <c r="AL158" s="84"/>
      <c r="AM158" s="55"/>
    </row>
    <row r="159" spans="1:39">
      <c r="A159" s="55"/>
      <c r="B159" s="80" t="str">
        <f t="shared" si="2"/>
        <v/>
      </c>
      <c r="C159" s="20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4"/>
      <c r="AL159" s="84"/>
      <c r="AM159" s="55"/>
    </row>
    <row r="160" spans="1:39">
      <c r="A160" s="55"/>
      <c r="B160" s="80" t="str">
        <f t="shared" si="2"/>
        <v/>
      </c>
      <c r="C160" s="20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4"/>
      <c r="AL160" s="84"/>
      <c r="AM160" s="55"/>
    </row>
    <row r="161" spans="1:39">
      <c r="A161" s="55"/>
      <c r="B161" s="80" t="str">
        <f t="shared" si="2"/>
        <v/>
      </c>
      <c r="C161" s="20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4"/>
      <c r="AL161" s="84"/>
      <c r="AM161" s="55"/>
    </row>
    <row r="162" spans="1:39">
      <c r="A162" s="55"/>
      <c r="B162" s="80" t="str">
        <f t="shared" si="2"/>
        <v/>
      </c>
      <c r="C162" s="20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4"/>
      <c r="AL162" s="84"/>
      <c r="AM162" s="55"/>
    </row>
    <row r="163" spans="1:39">
      <c r="A163" s="55"/>
      <c r="B163" s="80" t="str">
        <f t="shared" si="2"/>
        <v/>
      </c>
      <c r="C163" s="20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4"/>
      <c r="AL163" s="84"/>
      <c r="AM163" s="55"/>
    </row>
    <row r="164" spans="1:39">
      <c r="A164" s="55"/>
      <c r="B164" s="80" t="str">
        <f t="shared" si="2"/>
        <v/>
      </c>
      <c r="C164" s="20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4"/>
      <c r="AL164" s="84"/>
      <c r="AM164" s="55"/>
    </row>
    <row r="165" spans="1:39">
      <c r="A165" s="55"/>
      <c r="B165" s="80" t="str">
        <f t="shared" si="2"/>
        <v/>
      </c>
      <c r="C165" s="20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4"/>
      <c r="AL165" s="84"/>
      <c r="AM165" s="55"/>
    </row>
    <row r="166" spans="1:39">
      <c r="A166" s="55"/>
      <c r="B166" s="80" t="str">
        <f t="shared" si="2"/>
        <v/>
      </c>
      <c r="C166" s="20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4"/>
      <c r="AL166" s="84"/>
      <c r="AM166" s="55"/>
    </row>
    <row r="167" spans="1:39">
      <c r="A167" s="55"/>
      <c r="B167" s="80" t="str">
        <f t="shared" si="2"/>
        <v/>
      </c>
      <c r="C167" s="20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4"/>
      <c r="AL167" s="84"/>
      <c r="AM167" s="55"/>
    </row>
    <row r="168" spans="1:39">
      <c r="A168" s="55"/>
      <c r="B168" s="80" t="str">
        <f t="shared" si="2"/>
        <v/>
      </c>
      <c r="C168" s="20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4"/>
      <c r="AL168" s="84"/>
      <c r="AM168" s="55"/>
    </row>
    <row r="169" spans="1:39">
      <c r="A169" s="55"/>
      <c r="B169" s="80" t="str">
        <f t="shared" si="2"/>
        <v/>
      </c>
      <c r="C169" s="20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4"/>
      <c r="AL169" s="84"/>
      <c r="AM169" s="55"/>
    </row>
    <row r="170" spans="1:39">
      <c r="A170" s="55"/>
      <c r="B170" s="80" t="str">
        <f t="shared" si="2"/>
        <v/>
      </c>
      <c r="C170" s="20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4"/>
      <c r="AL170" s="84"/>
      <c r="AM170" s="55"/>
    </row>
    <row r="171" spans="1:39">
      <c r="A171" s="55"/>
      <c r="B171" s="80" t="str">
        <f t="shared" si="2"/>
        <v/>
      </c>
      <c r="C171" s="20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4"/>
      <c r="AL171" s="84"/>
      <c r="AM171" s="55"/>
    </row>
    <row r="172" spans="1:39">
      <c r="A172" s="55"/>
      <c r="B172" s="80" t="str">
        <f t="shared" si="2"/>
        <v/>
      </c>
      <c r="C172" s="20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4"/>
      <c r="AL172" s="84"/>
      <c r="AM172" s="55"/>
    </row>
    <row r="173" spans="1:39">
      <c r="A173" s="55"/>
      <c r="B173" s="80" t="str">
        <f t="shared" si="2"/>
        <v/>
      </c>
      <c r="C173" s="20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4"/>
      <c r="AL173" s="84"/>
      <c r="AM173" s="55"/>
    </row>
    <row r="174" spans="1:39">
      <c r="A174" s="55"/>
      <c r="B174" s="80" t="str">
        <f t="shared" si="2"/>
        <v/>
      </c>
      <c r="C174" s="20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4"/>
      <c r="AL174" s="84"/>
      <c r="AM174" s="55"/>
    </row>
    <row r="175" spans="1:39">
      <c r="A175" s="55"/>
      <c r="B175" s="80" t="str">
        <f t="shared" si="2"/>
        <v/>
      </c>
      <c r="C175" s="20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4"/>
      <c r="AL175" s="84"/>
      <c r="AM175" s="55"/>
    </row>
    <row r="176" spans="1:39">
      <c r="A176" s="55"/>
      <c r="B176" s="80" t="str">
        <f t="shared" si="2"/>
        <v/>
      </c>
      <c r="C176" s="20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4"/>
      <c r="AL176" s="84"/>
      <c r="AM176" s="55"/>
    </row>
    <row r="177" spans="1:39">
      <c r="A177" s="55"/>
      <c r="B177" s="80" t="str">
        <f t="shared" si="2"/>
        <v/>
      </c>
      <c r="C177" s="20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4"/>
      <c r="AL177" s="84"/>
      <c r="AM177" s="55"/>
    </row>
    <row r="178" spans="1:39">
      <c r="A178" s="55"/>
      <c r="B178" s="80" t="str">
        <f t="shared" si="2"/>
        <v/>
      </c>
      <c r="C178" s="20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4"/>
      <c r="AL178" s="84"/>
      <c r="AM178" s="55"/>
    </row>
    <row r="179" spans="1:39">
      <c r="A179" s="55"/>
      <c r="B179" s="80" t="str">
        <f t="shared" si="2"/>
        <v/>
      </c>
      <c r="C179" s="20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4"/>
      <c r="AL179" s="84"/>
      <c r="AM179" s="55"/>
    </row>
    <row r="180" spans="1:39">
      <c r="A180" s="55"/>
      <c r="B180" s="80" t="str">
        <f t="shared" si="2"/>
        <v/>
      </c>
      <c r="C180" s="20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4"/>
      <c r="AL180" s="84"/>
      <c r="AM180" s="55"/>
    </row>
    <row r="181" spans="1:39">
      <c r="A181" s="55"/>
      <c r="B181" s="80" t="str">
        <f t="shared" si="2"/>
        <v/>
      </c>
      <c r="C181" s="20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4"/>
      <c r="AL181" s="84"/>
      <c r="AM181" s="55"/>
    </row>
    <row r="182" spans="1:39">
      <c r="A182" s="55"/>
      <c r="B182" s="80" t="str">
        <f t="shared" si="2"/>
        <v/>
      </c>
      <c r="C182" s="20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4"/>
      <c r="AL182" s="84"/>
      <c r="AM182" s="55"/>
    </row>
    <row r="183" spans="1:39">
      <c r="A183" s="55"/>
      <c r="B183" s="80" t="str">
        <f t="shared" si="2"/>
        <v/>
      </c>
      <c r="C183" s="20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4"/>
      <c r="AL183" s="84"/>
      <c r="AM183" s="55"/>
    </row>
    <row r="184" spans="1:39">
      <c r="A184" s="55"/>
      <c r="B184" s="80" t="str">
        <f t="shared" si="2"/>
        <v/>
      </c>
      <c r="C184" s="20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4"/>
      <c r="AL184" s="84"/>
      <c r="AM184" s="55"/>
    </row>
    <row r="185" spans="1:39">
      <c r="A185" s="55"/>
      <c r="B185" s="80" t="str">
        <f t="shared" si="2"/>
        <v/>
      </c>
      <c r="C185" s="20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4"/>
      <c r="AL185" s="84"/>
      <c r="AM185" s="55"/>
    </row>
    <row r="186" spans="1:39">
      <c r="A186" s="55"/>
      <c r="B186" s="80" t="str">
        <f t="shared" si="2"/>
        <v/>
      </c>
      <c r="C186" s="20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4"/>
      <c r="AL186" s="84"/>
      <c r="AM186" s="55"/>
    </row>
    <row r="187" spans="1:39">
      <c r="A187" s="55"/>
      <c r="B187" s="80" t="str">
        <f t="shared" si="2"/>
        <v/>
      </c>
      <c r="C187" s="20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4"/>
      <c r="AL187" s="84"/>
      <c r="AM187" s="55"/>
    </row>
    <row r="188" spans="1:39">
      <c r="A188" s="55"/>
      <c r="B188" s="80" t="str">
        <f t="shared" si="2"/>
        <v/>
      </c>
      <c r="C188" s="20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4"/>
      <c r="AL188" s="84"/>
      <c r="AM188" s="55"/>
    </row>
    <row r="189" spans="1:39">
      <c r="A189" s="55"/>
      <c r="B189" s="80" t="str">
        <f t="shared" si="2"/>
        <v/>
      </c>
      <c r="C189" s="20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4"/>
      <c r="AL189" s="84"/>
      <c r="AM189" s="55"/>
    </row>
    <row r="190" spans="1:39">
      <c r="A190" s="55"/>
      <c r="B190" s="80" t="str">
        <f t="shared" si="2"/>
        <v/>
      </c>
      <c r="C190" s="20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4"/>
      <c r="AL190" s="84"/>
      <c r="AM190" s="55"/>
    </row>
    <row r="191" spans="1:39">
      <c r="A191" s="55"/>
      <c r="B191" s="80" t="str">
        <f t="shared" si="2"/>
        <v/>
      </c>
      <c r="C191" s="20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4"/>
      <c r="AL191" s="84"/>
      <c r="AM191" s="55"/>
    </row>
    <row r="192" spans="1:39">
      <c r="A192" s="55"/>
      <c r="B192" s="80" t="str">
        <f t="shared" si="2"/>
        <v/>
      </c>
      <c r="C192" s="20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4"/>
      <c r="AL192" s="84"/>
      <c r="AM192" s="55"/>
    </row>
    <row r="193" spans="1:39">
      <c r="A193" s="55"/>
      <c r="B193" s="80" t="str">
        <f t="shared" si="2"/>
        <v/>
      </c>
      <c r="C193" s="20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4"/>
      <c r="AL193" s="84"/>
      <c r="AM193" s="55"/>
    </row>
    <row r="194" spans="1:39">
      <c r="A194" s="55"/>
      <c r="B194" s="80" t="str">
        <f t="shared" si="2"/>
        <v/>
      </c>
      <c r="C194" s="20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4"/>
      <c r="AL194" s="84"/>
      <c r="AM194" s="55"/>
    </row>
    <row r="195" spans="1:39">
      <c r="A195" s="55"/>
      <c r="B195" s="80" t="str">
        <f t="shared" si="2"/>
        <v/>
      </c>
      <c r="C195" s="20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4"/>
      <c r="AL195" s="84"/>
      <c r="AM195" s="55"/>
    </row>
    <row r="196" spans="1:39">
      <c r="A196" s="55"/>
      <c r="B196" s="80" t="str">
        <f t="shared" si="2"/>
        <v/>
      </c>
      <c r="C196" s="20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4"/>
      <c r="AL196" s="84"/>
      <c r="AM196" s="55"/>
    </row>
    <row r="197" spans="1:39">
      <c r="A197" s="55"/>
      <c r="B197" s="80" t="str">
        <f t="shared" si="2"/>
        <v/>
      </c>
      <c r="C197" s="20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4"/>
      <c r="AL197" s="84"/>
      <c r="AM197" s="55"/>
    </row>
    <row r="198" spans="1:39">
      <c r="A198" s="55"/>
      <c r="B198" s="80" t="str">
        <f t="shared" si="2"/>
        <v/>
      </c>
      <c r="C198" s="20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4"/>
      <c r="AL198" s="84"/>
      <c r="AM198" s="55"/>
    </row>
    <row r="199" spans="1:39">
      <c r="A199" s="55"/>
      <c r="B199" s="80" t="str">
        <f t="shared" si="2"/>
        <v/>
      </c>
      <c r="C199" s="20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4"/>
      <c r="AL199" s="84"/>
      <c r="AM199" s="55"/>
    </row>
    <row r="200" spans="1:39">
      <c r="A200" s="55"/>
      <c r="B200" s="80" t="str">
        <f t="shared" si="2"/>
        <v/>
      </c>
      <c r="C200" s="20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4"/>
      <c r="AL200" s="84"/>
      <c r="AM200" s="55"/>
    </row>
    <row r="201" spans="1:39">
      <c r="A201" s="55"/>
      <c r="B201" s="80" t="str">
        <f t="shared" si="2"/>
        <v/>
      </c>
      <c r="C201" s="20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4"/>
      <c r="AL201" s="84"/>
      <c r="AM201" s="55"/>
    </row>
    <row r="202" spans="1:39">
      <c r="A202" s="55"/>
      <c r="B202" s="80" t="str">
        <f t="shared" si="2"/>
        <v/>
      </c>
      <c r="C202" s="20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4"/>
      <c r="AL202" s="84"/>
      <c r="AM202" s="55"/>
    </row>
    <row r="203" spans="1:39">
      <c r="A203" s="55"/>
      <c r="B203" s="80" t="str">
        <f t="shared" si="2"/>
        <v/>
      </c>
      <c r="C203" s="20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4"/>
      <c r="AL203" s="84"/>
      <c r="AM203" s="55"/>
    </row>
    <row r="204" spans="1:39">
      <c r="A204" s="55"/>
      <c r="B204" s="80" t="str">
        <f t="shared" si="2"/>
        <v/>
      </c>
      <c r="C204" s="20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4"/>
      <c r="AL204" s="84"/>
      <c r="AM204" s="55"/>
    </row>
    <row r="205" spans="1:39">
      <c r="A205" s="55"/>
      <c r="B205" s="80" t="str">
        <f t="shared" si="2"/>
        <v/>
      </c>
      <c r="C205" s="20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4"/>
      <c r="AL205" s="84"/>
      <c r="AM205" s="55"/>
    </row>
    <row r="206" spans="1:39">
      <c r="A206" s="55"/>
      <c r="B206" s="80" t="str">
        <f t="shared" ref="B206:B214" si="3">IF(Start_year+ROW(B206)-ROW($B$14)&gt;End_year,"",Start_year+ROW(B206)-ROW($B$14))</f>
        <v/>
      </c>
      <c r="C206" s="20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4"/>
      <c r="AL206" s="84"/>
      <c r="AM206" s="55"/>
    </row>
    <row r="207" spans="1:39">
      <c r="A207" s="55"/>
      <c r="B207" s="80" t="str">
        <f t="shared" si="3"/>
        <v/>
      </c>
      <c r="C207" s="20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4"/>
      <c r="AL207" s="84"/>
      <c r="AM207" s="55"/>
    </row>
    <row r="208" spans="1:39">
      <c r="A208" s="55"/>
      <c r="B208" s="80" t="str">
        <f t="shared" si="3"/>
        <v/>
      </c>
      <c r="C208" s="20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4"/>
      <c r="AL208" s="84"/>
      <c r="AM208" s="55"/>
    </row>
    <row r="209" spans="1:39">
      <c r="A209" s="55"/>
      <c r="B209" s="80" t="str">
        <f t="shared" si="3"/>
        <v/>
      </c>
      <c r="C209" s="20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4"/>
      <c r="AL209" s="84"/>
      <c r="AM209" s="55"/>
    </row>
    <row r="210" spans="1:39">
      <c r="A210" s="55"/>
      <c r="B210" s="80" t="str">
        <f t="shared" si="3"/>
        <v/>
      </c>
      <c r="C210" s="20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4"/>
      <c r="AL210" s="84"/>
      <c r="AM210" s="55"/>
    </row>
    <row r="211" spans="1:39">
      <c r="A211" s="55"/>
      <c r="B211" s="80" t="str">
        <f t="shared" si="3"/>
        <v/>
      </c>
      <c r="C211" s="20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4"/>
      <c r="AL211" s="84"/>
      <c r="AM211" s="55"/>
    </row>
    <row r="212" spans="1:39">
      <c r="A212" s="55"/>
      <c r="B212" s="80" t="str">
        <f t="shared" si="3"/>
        <v/>
      </c>
      <c r="C212" s="20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4"/>
      <c r="AL212" s="84"/>
      <c r="AM212" s="55"/>
    </row>
    <row r="213" spans="1:39">
      <c r="A213" s="55"/>
      <c r="B213" s="80" t="str">
        <f t="shared" si="3"/>
        <v/>
      </c>
      <c r="C213" s="20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4"/>
      <c r="AL213" s="84"/>
      <c r="AM213" s="55"/>
    </row>
    <row r="214" spans="1:39" ht="13.5" thickBot="1">
      <c r="A214" s="55"/>
      <c r="B214" s="80" t="str">
        <f t="shared" si="3"/>
        <v/>
      </c>
      <c r="C214" s="22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5"/>
      <c r="O214" s="155"/>
      <c r="P214" s="155"/>
      <c r="Q214" s="155"/>
      <c r="R214" s="155"/>
      <c r="S214" s="155"/>
      <c r="T214" s="155"/>
      <c r="U214" s="155"/>
      <c r="V214" s="155"/>
      <c r="W214" s="155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6"/>
      <c r="AL214" s="84"/>
      <c r="AM214" s="55"/>
    </row>
    <row r="215" spans="1:39">
      <c r="A215" s="55"/>
      <c r="B215" s="55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55"/>
      <c r="AM215" s="55"/>
    </row>
    <row r="216" spans="1:39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</row>
    <row r="217" spans="1:39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</row>
    <row r="218" spans="1:39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</row>
    <row r="219" spans="1:39"/>
  </sheetData>
  <sheetProtection algorithmName="SHA-512" hashValue="f1DZnvJdYUAU2mEuCVuxnZvrXrRqphu6xfqS/oOU12W2G5e7sXhcSuqWBhRg5rsZOsCkU3PiXcuZdOQLqso6OA==" saltValue="NP/KfqoyWf4jqgO0s1TEMg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81E2"/>
  </sheetPr>
  <dimension ref="A1:Y50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F33" sqref="F33"/>
    </sheetView>
  </sheetViews>
  <sheetFormatPr defaultColWidth="0" defaultRowHeight="13.15"/>
  <cols>
    <col min="1" max="1" width="30.265625" style="1" customWidth="1"/>
    <col min="2" max="2" width="5" style="1" bestFit="1" customWidth="1"/>
    <col min="3" max="7" width="14.59765625" style="1" customWidth="1"/>
    <col min="8" max="14" width="12.265625" style="1" customWidth="1"/>
    <col min="15" max="15" width="30.86328125" style="1" customWidth="1"/>
    <col min="16" max="16" width="20.265625" style="1" customWidth="1"/>
    <col min="17" max="24" width="8.73046875" style="1" customWidth="1"/>
    <col min="25" max="25" width="8.86328125" style="1" customWidth="1"/>
    <col min="26" max="16384" width="8.73046875" style="1" hidden="1"/>
  </cols>
  <sheetData>
    <row r="1" spans="1:25" ht="25.5" customHeight="1">
      <c r="A1" s="38" t="s">
        <v>277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 ht="14.45" customHeight="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 ht="14.4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ht="14.45" hidden="1" customHeigh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14.45" hidden="1" customHeigh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4.45" hidden="1" customHeigh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4.45" hidden="1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8" spans="1:25" ht="14.45" customHeigh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40" t="s">
        <v>464</v>
      </c>
      <c r="Q8" s="39"/>
      <c r="R8" s="39"/>
      <c r="S8" s="39"/>
      <c r="T8" s="39"/>
      <c r="U8" s="39"/>
      <c r="V8" s="39"/>
      <c r="W8" s="39"/>
      <c r="X8" s="39"/>
      <c r="Y8" s="39"/>
    </row>
    <row r="9" spans="1:25" s="58" customFormat="1" ht="14.45" customHeight="1">
      <c r="A9" s="55"/>
      <c r="B9" s="55"/>
      <c r="C9" s="56" t="s">
        <v>36</v>
      </c>
      <c r="D9" s="55"/>
      <c r="E9" s="55"/>
      <c r="F9" s="55"/>
      <c r="G9" s="55"/>
      <c r="H9" s="56" t="s">
        <v>37</v>
      </c>
      <c r="I9" s="55"/>
      <c r="J9" s="55"/>
      <c r="K9" s="55"/>
      <c r="L9" s="55"/>
      <c r="M9" s="55"/>
      <c r="N9" s="55"/>
      <c r="O9" s="56" t="s">
        <v>38</v>
      </c>
      <c r="P9" s="57" t="s">
        <v>463</v>
      </c>
      <c r="Q9" s="335" t="s">
        <v>462</v>
      </c>
      <c r="R9" s="335"/>
      <c r="S9" s="335"/>
      <c r="T9" s="335"/>
      <c r="U9" s="335"/>
      <c r="V9" s="335"/>
      <c r="W9" s="335"/>
      <c r="X9" s="55"/>
      <c r="Y9" s="39"/>
    </row>
    <row r="10" spans="1:25" ht="14.45" customHeight="1" thickBot="1">
      <c r="A10" s="39"/>
      <c r="B10" s="39"/>
      <c r="C10" s="42" t="str" cm="1">
        <f t="array" ref="C10">INDEX(Start!$H$60:$H$64,COLUMN(Factors!C10)-COLUMN(Factors!$C$10)+1)</f>
        <v>Ambient air</v>
      </c>
      <c r="D10" s="42" t="str" cm="1">
        <f t="array" ref="D10">INDEX(Start!$H$60:$H$64,COLUMN(Factors!D10)-COLUMN(Factors!$C$10)+1)</f>
        <v>Surface water</v>
      </c>
      <c r="E10" s="42" t="str" cm="1">
        <f t="array" ref="E10">INDEX(Start!$H$60:$H$64,COLUMN(Factors!E10)-COLUMN(Factors!$C$10)+1)</f>
        <v>Non-industrial soil</v>
      </c>
      <c r="F10" s="42" t="str" cm="1">
        <f t="array" ref="F10">INDEX(Start!$H$60:$H$64,COLUMN(Factors!F10)-COLUMN(Factors!$C$10)+1)</f>
        <v>Indoor air</v>
      </c>
      <c r="G10" s="42" t="str" cm="1">
        <f t="array" ref="G10">INDEX(Start!$H$60:$H$64,COLUMN(Factors!G10)-COLUMN(Factors!$C$10)+1)</f>
        <v>Human skin</v>
      </c>
      <c r="H10" s="43" t="s">
        <v>29</v>
      </c>
      <c r="I10" s="43" t="s">
        <v>30</v>
      </c>
      <c r="J10" s="43" t="s">
        <v>31</v>
      </c>
      <c r="K10" s="43" t="s">
        <v>32</v>
      </c>
      <c r="L10" s="43" t="s">
        <v>33</v>
      </c>
      <c r="M10" s="43" t="s">
        <v>34</v>
      </c>
      <c r="N10" s="43" t="s">
        <v>35</v>
      </c>
      <c r="O10" s="42" t="s">
        <v>465</v>
      </c>
      <c r="P10" s="44"/>
      <c r="Q10" s="44" t="s">
        <v>237</v>
      </c>
      <c r="R10" s="44" t="s">
        <v>1</v>
      </c>
      <c r="S10" s="44" t="s">
        <v>2</v>
      </c>
      <c r="T10" s="44" t="s">
        <v>3</v>
      </c>
      <c r="U10" s="44" t="s">
        <v>4</v>
      </c>
      <c r="V10" s="44" t="s">
        <v>5</v>
      </c>
      <c r="W10" s="44" t="s">
        <v>6</v>
      </c>
      <c r="X10" s="39"/>
      <c r="Y10" s="39"/>
    </row>
    <row r="11" spans="1:25" ht="14.45" customHeight="1" thickBot="1">
      <c r="A11" s="40" t="str">
        <f>"LC1-"&amp;Start!F60</f>
        <v>LC1-Production</v>
      </c>
      <c r="B11" s="45"/>
      <c r="C11" s="290"/>
      <c r="D11" s="282"/>
      <c r="E11" s="282"/>
      <c r="F11" s="282"/>
      <c r="G11" s="291"/>
      <c r="H11" s="290"/>
      <c r="I11" s="282"/>
      <c r="J11" s="282"/>
      <c r="K11" s="282"/>
      <c r="L11" s="282"/>
      <c r="M11" s="282"/>
      <c r="N11" s="292"/>
      <c r="O11" s="293"/>
      <c r="P11" s="294"/>
      <c r="Q11" s="295"/>
      <c r="R11" s="296"/>
      <c r="S11" s="296"/>
      <c r="T11" s="296"/>
      <c r="U11" s="296"/>
      <c r="V11" s="296"/>
      <c r="W11" s="297"/>
      <c r="X11" s="46"/>
      <c r="Y11" s="39"/>
    </row>
    <row r="12" spans="1:25" ht="14.45" customHeight="1">
      <c r="A12" s="40" t="str">
        <f>"LC2-"&amp;Start!F61</f>
        <v>LC2-Industrial processes</v>
      </c>
      <c r="B12" s="45" t="s">
        <v>19</v>
      </c>
      <c r="C12" s="286"/>
      <c r="D12" s="283"/>
      <c r="E12" s="283"/>
      <c r="F12" s="283"/>
      <c r="G12" s="298"/>
      <c r="H12" s="299"/>
      <c r="I12" s="287"/>
      <c r="J12" s="287"/>
      <c r="K12" s="287"/>
      <c r="L12" s="287"/>
      <c r="M12" s="287"/>
      <c r="N12" s="300"/>
      <c r="O12" s="301"/>
      <c r="P12" s="302"/>
      <c r="Q12" s="303"/>
      <c r="R12" s="304"/>
      <c r="S12" s="304"/>
      <c r="T12" s="304"/>
      <c r="U12" s="304"/>
      <c r="V12" s="304"/>
      <c r="W12" s="305"/>
      <c r="X12" s="46"/>
      <c r="Y12" s="39"/>
    </row>
    <row r="13" spans="1:25" ht="14.45" customHeight="1">
      <c r="A13" s="40"/>
      <c r="B13" s="45" t="s">
        <v>20</v>
      </c>
      <c r="C13" s="288"/>
      <c r="D13" s="284"/>
      <c r="E13" s="284"/>
      <c r="F13" s="284"/>
      <c r="G13" s="306"/>
      <c r="H13" s="288"/>
      <c r="I13" s="284"/>
      <c r="J13" s="284"/>
      <c r="K13" s="284"/>
      <c r="L13" s="284"/>
      <c r="M13" s="284"/>
      <c r="N13" s="307"/>
      <c r="O13" s="308"/>
      <c r="P13" s="309"/>
      <c r="Q13" s="310"/>
      <c r="R13" s="311"/>
      <c r="S13" s="311"/>
      <c r="T13" s="311"/>
      <c r="U13" s="311"/>
      <c r="V13" s="311"/>
      <c r="W13" s="312"/>
      <c r="X13" s="46"/>
      <c r="Y13" s="39"/>
    </row>
    <row r="14" spans="1:25" ht="14.45" customHeight="1">
      <c r="A14" s="40"/>
      <c r="B14" s="45" t="s">
        <v>7</v>
      </c>
      <c r="C14" s="288"/>
      <c r="D14" s="284"/>
      <c r="E14" s="284"/>
      <c r="F14" s="284"/>
      <c r="G14" s="306"/>
      <c r="H14" s="288"/>
      <c r="I14" s="284"/>
      <c r="J14" s="284"/>
      <c r="K14" s="284"/>
      <c r="L14" s="284"/>
      <c r="M14" s="284"/>
      <c r="N14" s="307"/>
      <c r="O14" s="308"/>
      <c r="P14" s="309"/>
      <c r="Q14" s="310"/>
      <c r="R14" s="311"/>
      <c r="S14" s="311"/>
      <c r="T14" s="311"/>
      <c r="U14" s="311"/>
      <c r="V14" s="311"/>
      <c r="W14" s="312"/>
      <c r="X14" s="46"/>
      <c r="Y14" s="39"/>
    </row>
    <row r="15" spans="1:25" ht="14.45" customHeight="1">
      <c r="A15" s="40"/>
      <c r="B15" s="45" t="s">
        <v>8</v>
      </c>
      <c r="C15" s="288"/>
      <c r="D15" s="284"/>
      <c r="E15" s="284"/>
      <c r="F15" s="284"/>
      <c r="G15" s="306"/>
      <c r="H15" s="288"/>
      <c r="I15" s="284"/>
      <c r="J15" s="284"/>
      <c r="K15" s="284"/>
      <c r="L15" s="284"/>
      <c r="M15" s="284"/>
      <c r="N15" s="307"/>
      <c r="O15" s="308"/>
      <c r="P15" s="309"/>
      <c r="Q15" s="310"/>
      <c r="R15" s="311"/>
      <c r="S15" s="311"/>
      <c r="T15" s="311"/>
      <c r="U15" s="311"/>
      <c r="V15" s="311"/>
      <c r="W15" s="312"/>
      <c r="X15" s="46"/>
      <c r="Y15" s="39"/>
    </row>
    <row r="16" spans="1:25" ht="14.45" customHeight="1" thickBot="1">
      <c r="A16" s="40"/>
      <c r="B16" s="45" t="s">
        <v>9</v>
      </c>
      <c r="C16" s="289"/>
      <c r="D16" s="285"/>
      <c r="E16" s="285"/>
      <c r="F16" s="285"/>
      <c r="G16" s="313"/>
      <c r="H16" s="289"/>
      <c r="I16" s="285"/>
      <c r="J16" s="285"/>
      <c r="K16" s="285"/>
      <c r="L16" s="285"/>
      <c r="M16" s="285"/>
      <c r="N16" s="314"/>
      <c r="O16" s="315"/>
      <c r="P16" s="316"/>
      <c r="Q16" s="317"/>
      <c r="R16" s="318"/>
      <c r="S16" s="318"/>
      <c r="T16" s="318"/>
      <c r="U16" s="318"/>
      <c r="V16" s="318"/>
      <c r="W16" s="319"/>
      <c r="X16" s="46"/>
      <c r="Y16" s="39"/>
    </row>
    <row r="17" spans="1:25" ht="14.45" customHeight="1">
      <c r="A17" s="40" t="str">
        <f>"LC3-"&amp;Start!F62</f>
        <v>LC3-Instantaneous use</v>
      </c>
      <c r="B17" s="45" t="s">
        <v>19</v>
      </c>
      <c r="C17" s="286"/>
      <c r="D17" s="283"/>
      <c r="E17" s="283"/>
      <c r="F17" s="283"/>
      <c r="G17" s="298"/>
      <c r="H17" s="286"/>
      <c r="I17" s="283"/>
      <c r="J17" s="283"/>
      <c r="K17" s="283"/>
      <c r="L17" s="283"/>
      <c r="M17" s="283"/>
      <c r="N17" s="320"/>
      <c r="O17" s="321"/>
      <c r="P17" s="322"/>
      <c r="Q17" s="323"/>
      <c r="R17" s="324"/>
      <c r="S17" s="324"/>
      <c r="T17" s="324"/>
      <c r="U17" s="324"/>
      <c r="V17" s="324"/>
      <c r="W17" s="325"/>
      <c r="X17" s="46"/>
      <c r="Y17" s="39"/>
    </row>
    <row r="18" spans="1:25" ht="14.45" customHeight="1">
      <c r="A18" s="39" t="s">
        <v>269</v>
      </c>
      <c r="B18" s="45" t="s">
        <v>20</v>
      </c>
      <c r="C18" s="288"/>
      <c r="D18" s="284"/>
      <c r="E18" s="284"/>
      <c r="F18" s="284"/>
      <c r="G18" s="306"/>
      <c r="H18" s="288"/>
      <c r="I18" s="284"/>
      <c r="J18" s="284"/>
      <c r="K18" s="284"/>
      <c r="L18" s="284"/>
      <c r="M18" s="284"/>
      <c r="N18" s="307"/>
      <c r="O18" s="308"/>
      <c r="P18" s="309"/>
      <c r="Q18" s="310"/>
      <c r="R18" s="311"/>
      <c r="S18" s="311"/>
      <c r="T18" s="311"/>
      <c r="U18" s="311"/>
      <c r="V18" s="311"/>
      <c r="W18" s="312"/>
      <c r="X18" s="46"/>
      <c r="Y18" s="39"/>
    </row>
    <row r="19" spans="1:25" ht="14.45" customHeight="1">
      <c r="A19" s="40"/>
      <c r="B19" s="45" t="s">
        <v>7</v>
      </c>
      <c r="C19" s="288"/>
      <c r="D19" s="284"/>
      <c r="E19" s="284"/>
      <c r="F19" s="284"/>
      <c r="G19" s="306"/>
      <c r="H19" s="288"/>
      <c r="I19" s="284"/>
      <c r="J19" s="284"/>
      <c r="K19" s="284"/>
      <c r="L19" s="284"/>
      <c r="M19" s="284"/>
      <c r="N19" s="307"/>
      <c r="O19" s="308"/>
      <c r="P19" s="309"/>
      <c r="Q19" s="310"/>
      <c r="R19" s="311"/>
      <c r="S19" s="311"/>
      <c r="T19" s="311"/>
      <c r="U19" s="311"/>
      <c r="V19" s="311"/>
      <c r="W19" s="312"/>
      <c r="X19" s="46"/>
      <c r="Y19" s="39"/>
    </row>
    <row r="20" spans="1:25" ht="14.45" customHeight="1">
      <c r="A20" s="40"/>
      <c r="B20" s="45" t="s">
        <v>8</v>
      </c>
      <c r="C20" s="288"/>
      <c r="D20" s="284"/>
      <c r="E20" s="284"/>
      <c r="F20" s="284"/>
      <c r="G20" s="306"/>
      <c r="H20" s="288"/>
      <c r="I20" s="284"/>
      <c r="J20" s="284"/>
      <c r="K20" s="284"/>
      <c r="L20" s="284"/>
      <c r="M20" s="284"/>
      <c r="N20" s="307"/>
      <c r="O20" s="308"/>
      <c r="P20" s="309"/>
      <c r="Q20" s="310"/>
      <c r="R20" s="311"/>
      <c r="S20" s="311"/>
      <c r="T20" s="311"/>
      <c r="U20" s="311"/>
      <c r="V20" s="311"/>
      <c r="W20" s="312"/>
      <c r="X20" s="46"/>
      <c r="Y20" s="39"/>
    </row>
    <row r="21" spans="1:25" ht="14.45" customHeight="1" thickBot="1">
      <c r="A21" s="40"/>
      <c r="B21" s="45" t="s">
        <v>9</v>
      </c>
      <c r="C21" s="289"/>
      <c r="D21" s="285"/>
      <c r="E21" s="285"/>
      <c r="F21" s="285"/>
      <c r="G21" s="313"/>
      <c r="H21" s="289"/>
      <c r="I21" s="285"/>
      <c r="J21" s="285"/>
      <c r="K21" s="285"/>
      <c r="L21" s="285"/>
      <c r="M21" s="285"/>
      <c r="N21" s="314"/>
      <c r="O21" s="315"/>
      <c r="P21" s="316"/>
      <c r="Q21" s="317"/>
      <c r="R21" s="318"/>
      <c r="S21" s="318"/>
      <c r="T21" s="318"/>
      <c r="U21" s="318"/>
      <c r="V21" s="318"/>
      <c r="W21" s="319"/>
      <c r="X21" s="46"/>
      <c r="Y21" s="39"/>
    </row>
    <row r="22" spans="1:25" ht="14.45" customHeight="1">
      <c r="A22" s="40" t="str">
        <f>"LC4-"&amp;Start!F63</f>
        <v>LC4-In service</v>
      </c>
      <c r="B22" s="45" t="s">
        <v>19</v>
      </c>
      <c r="C22" s="326"/>
      <c r="D22" s="327"/>
      <c r="E22" s="327"/>
      <c r="F22" s="327"/>
      <c r="G22" s="328"/>
      <c r="H22" s="286"/>
      <c r="I22" s="283"/>
      <c r="J22" s="283"/>
      <c r="K22" s="283"/>
      <c r="L22" s="283"/>
      <c r="M22" s="283"/>
      <c r="N22" s="320"/>
      <c r="O22" s="321"/>
      <c r="P22" s="322"/>
      <c r="Q22" s="323"/>
      <c r="R22" s="324"/>
      <c r="S22" s="324"/>
      <c r="T22" s="324"/>
      <c r="U22" s="324"/>
      <c r="V22" s="324"/>
      <c r="W22" s="325"/>
      <c r="X22" s="46"/>
      <c r="Y22" s="39"/>
    </row>
    <row r="23" spans="1:25" ht="14.45" customHeight="1">
      <c r="A23" s="47"/>
      <c r="B23" s="45" t="s">
        <v>20</v>
      </c>
      <c r="C23" s="329"/>
      <c r="D23" s="330"/>
      <c r="E23" s="330"/>
      <c r="F23" s="330"/>
      <c r="G23" s="331"/>
      <c r="H23" s="288"/>
      <c r="I23" s="284"/>
      <c r="J23" s="284"/>
      <c r="K23" s="284"/>
      <c r="L23" s="284"/>
      <c r="M23" s="284"/>
      <c r="N23" s="307"/>
      <c r="O23" s="308"/>
      <c r="P23" s="309"/>
      <c r="Q23" s="310"/>
      <c r="R23" s="311"/>
      <c r="S23" s="311"/>
      <c r="T23" s="311"/>
      <c r="U23" s="311"/>
      <c r="V23" s="311"/>
      <c r="W23" s="312"/>
      <c r="X23" s="46"/>
      <c r="Y23" s="39"/>
    </row>
    <row r="24" spans="1:25" ht="14.45" customHeight="1">
      <c r="A24" s="40"/>
      <c r="B24" s="45" t="s">
        <v>7</v>
      </c>
      <c r="C24" s="329"/>
      <c r="D24" s="330"/>
      <c r="E24" s="330"/>
      <c r="F24" s="330"/>
      <c r="G24" s="331"/>
      <c r="H24" s="288"/>
      <c r="I24" s="284"/>
      <c r="J24" s="284"/>
      <c r="K24" s="284"/>
      <c r="L24" s="284"/>
      <c r="M24" s="284"/>
      <c r="N24" s="307"/>
      <c r="O24" s="308"/>
      <c r="P24" s="309"/>
      <c r="Q24" s="310"/>
      <c r="R24" s="311"/>
      <c r="S24" s="311"/>
      <c r="T24" s="311"/>
      <c r="U24" s="311"/>
      <c r="V24" s="311"/>
      <c r="W24" s="312"/>
      <c r="X24" s="46"/>
      <c r="Y24" s="39"/>
    </row>
    <row r="25" spans="1:25" ht="14.45" customHeight="1">
      <c r="A25" s="40"/>
      <c r="B25" s="45" t="s">
        <v>8</v>
      </c>
      <c r="C25" s="329"/>
      <c r="D25" s="330"/>
      <c r="E25" s="330"/>
      <c r="F25" s="330"/>
      <c r="G25" s="331"/>
      <c r="H25" s="288"/>
      <c r="I25" s="284"/>
      <c r="J25" s="284"/>
      <c r="K25" s="284"/>
      <c r="L25" s="284"/>
      <c r="M25" s="284"/>
      <c r="N25" s="307"/>
      <c r="O25" s="308"/>
      <c r="P25" s="309"/>
      <c r="Q25" s="310"/>
      <c r="R25" s="311"/>
      <c r="S25" s="311"/>
      <c r="T25" s="311"/>
      <c r="U25" s="311"/>
      <c r="V25" s="311"/>
      <c r="W25" s="312"/>
      <c r="X25" s="46"/>
      <c r="Y25" s="39"/>
    </row>
    <row r="26" spans="1:25" ht="14.45" customHeight="1" thickBot="1">
      <c r="A26" s="40"/>
      <c r="B26" s="45" t="s">
        <v>9</v>
      </c>
      <c r="C26" s="332"/>
      <c r="D26" s="333"/>
      <c r="E26" s="333"/>
      <c r="F26" s="333"/>
      <c r="G26" s="334"/>
      <c r="H26" s="289"/>
      <c r="I26" s="285"/>
      <c r="J26" s="285"/>
      <c r="K26" s="285"/>
      <c r="L26" s="285"/>
      <c r="M26" s="285"/>
      <c r="N26" s="314"/>
      <c r="O26" s="315"/>
      <c r="P26" s="316"/>
      <c r="Q26" s="317"/>
      <c r="R26" s="318"/>
      <c r="S26" s="318"/>
      <c r="T26" s="318"/>
      <c r="U26" s="318"/>
      <c r="V26" s="318"/>
      <c r="W26" s="319"/>
      <c r="X26" s="46"/>
      <c r="Y26" s="39"/>
    </row>
    <row r="27" spans="1:25" ht="14.45" customHeight="1">
      <c r="A27" s="40" t="str">
        <f>"LC5-"&amp;Start!F64</f>
        <v>LC5-Obsoleting and discarding</v>
      </c>
      <c r="B27" s="45" t="s">
        <v>19</v>
      </c>
      <c r="C27" s="286"/>
      <c r="D27" s="283"/>
      <c r="E27" s="283"/>
      <c r="F27" s="283"/>
      <c r="G27" s="298"/>
      <c r="H27" s="286"/>
      <c r="I27" s="283"/>
      <c r="J27" s="283"/>
      <c r="K27" s="283"/>
      <c r="L27" s="283"/>
      <c r="M27" s="283"/>
      <c r="N27" s="320"/>
      <c r="O27" s="321"/>
      <c r="P27" s="322"/>
      <c r="Q27" s="323"/>
      <c r="R27" s="324"/>
      <c r="S27" s="324"/>
      <c r="T27" s="324"/>
      <c r="U27" s="324"/>
      <c r="V27" s="324"/>
      <c r="W27" s="325"/>
      <c r="X27" s="46"/>
      <c r="Y27" s="39"/>
    </row>
    <row r="28" spans="1:25" ht="14.45" customHeight="1">
      <c r="A28" s="40"/>
      <c r="B28" s="45" t="s">
        <v>20</v>
      </c>
      <c r="C28" s="288"/>
      <c r="D28" s="284"/>
      <c r="E28" s="284"/>
      <c r="F28" s="284"/>
      <c r="G28" s="306"/>
      <c r="H28" s="288"/>
      <c r="I28" s="284"/>
      <c r="J28" s="284"/>
      <c r="K28" s="284"/>
      <c r="L28" s="284"/>
      <c r="M28" s="284"/>
      <c r="N28" s="307"/>
      <c r="O28" s="308"/>
      <c r="P28" s="309"/>
      <c r="Q28" s="310"/>
      <c r="R28" s="311"/>
      <c r="S28" s="311"/>
      <c r="T28" s="311"/>
      <c r="U28" s="311"/>
      <c r="V28" s="311"/>
      <c r="W28" s="312"/>
      <c r="X28" s="46"/>
      <c r="Y28" s="39"/>
    </row>
    <row r="29" spans="1:25" ht="14.45" customHeight="1">
      <c r="A29" s="40"/>
      <c r="B29" s="45" t="s">
        <v>7</v>
      </c>
      <c r="C29" s="288"/>
      <c r="D29" s="284"/>
      <c r="E29" s="284"/>
      <c r="F29" s="284"/>
      <c r="G29" s="306"/>
      <c r="H29" s="288"/>
      <c r="I29" s="284"/>
      <c r="J29" s="284"/>
      <c r="K29" s="284"/>
      <c r="L29" s="284"/>
      <c r="M29" s="284"/>
      <c r="N29" s="307"/>
      <c r="O29" s="308"/>
      <c r="P29" s="309"/>
      <c r="Q29" s="310"/>
      <c r="R29" s="311"/>
      <c r="S29" s="311"/>
      <c r="T29" s="311"/>
      <c r="U29" s="311"/>
      <c r="V29" s="311"/>
      <c r="W29" s="312"/>
      <c r="X29" s="46"/>
      <c r="Y29" s="39"/>
    </row>
    <row r="30" spans="1:25" ht="14.45" customHeight="1">
      <c r="A30" s="40"/>
      <c r="B30" s="45" t="s">
        <v>8</v>
      </c>
      <c r="C30" s="288"/>
      <c r="D30" s="284"/>
      <c r="E30" s="284"/>
      <c r="F30" s="284"/>
      <c r="G30" s="306"/>
      <c r="H30" s="288"/>
      <c r="I30" s="284"/>
      <c r="J30" s="284"/>
      <c r="K30" s="284"/>
      <c r="L30" s="284"/>
      <c r="M30" s="284"/>
      <c r="N30" s="307"/>
      <c r="O30" s="308"/>
      <c r="P30" s="309"/>
      <c r="Q30" s="310"/>
      <c r="R30" s="311"/>
      <c r="S30" s="311"/>
      <c r="T30" s="311"/>
      <c r="U30" s="311"/>
      <c r="V30" s="311"/>
      <c r="W30" s="312"/>
      <c r="X30" s="46"/>
      <c r="Y30" s="39"/>
    </row>
    <row r="31" spans="1:25" ht="14.45" customHeight="1" thickBot="1">
      <c r="A31" s="40"/>
      <c r="B31" s="45" t="s">
        <v>9</v>
      </c>
      <c r="C31" s="289"/>
      <c r="D31" s="285"/>
      <c r="E31" s="285"/>
      <c r="F31" s="285"/>
      <c r="G31" s="313"/>
      <c r="H31" s="289"/>
      <c r="I31" s="285"/>
      <c r="J31" s="285"/>
      <c r="K31" s="285"/>
      <c r="L31" s="285"/>
      <c r="M31" s="285"/>
      <c r="N31" s="314"/>
      <c r="O31" s="315"/>
      <c r="P31" s="316"/>
      <c r="Q31" s="317"/>
      <c r="R31" s="318"/>
      <c r="S31" s="318"/>
      <c r="T31" s="318"/>
      <c r="U31" s="318"/>
      <c r="V31" s="318"/>
      <c r="W31" s="319"/>
      <c r="X31" s="46"/>
      <c r="Y31" s="39"/>
    </row>
    <row r="32" spans="1:25" ht="14.45" customHeight="1">
      <c r="A32" s="40" t="str">
        <f>"WD"&amp;(ROW(A32)-ROW($A$32)+1)&amp;"-"&amp;Start!G60</f>
        <v>WD1-Landfill</v>
      </c>
      <c r="B32" s="45" t="s">
        <v>216</v>
      </c>
      <c r="C32" s="31"/>
      <c r="D32" s="32"/>
      <c r="E32" s="35"/>
      <c r="F32" s="48"/>
      <c r="G32" s="49"/>
      <c r="H32" s="49"/>
      <c r="I32" s="49"/>
      <c r="J32" s="49"/>
      <c r="K32" s="49"/>
      <c r="L32" s="49"/>
      <c r="M32" s="49"/>
      <c r="N32" s="49"/>
      <c r="O32" s="37"/>
      <c r="P32" s="24"/>
      <c r="Q32" s="50"/>
      <c r="R32" s="51"/>
      <c r="S32" s="51"/>
      <c r="T32" s="51"/>
      <c r="U32" s="51"/>
      <c r="V32" s="51"/>
      <c r="W32" s="51"/>
      <c r="X32" s="39"/>
      <c r="Y32" s="39"/>
    </row>
    <row r="33" spans="1:25" ht="14.45" customHeight="1">
      <c r="A33" s="40" t="str">
        <f>"WD"&amp;(ROW(A33)-ROW($A$32)+1)&amp;"-"&amp;Start!G61</f>
        <v>WD2-Wastewater treatment</v>
      </c>
      <c r="B33" s="45" t="s">
        <v>216</v>
      </c>
      <c r="C33" s="33"/>
      <c r="D33" s="34"/>
      <c r="E33" s="36"/>
      <c r="F33" s="52"/>
      <c r="G33" s="53"/>
      <c r="H33" s="53"/>
      <c r="I33" s="53"/>
      <c r="J33" s="53"/>
      <c r="K33" s="53"/>
      <c r="L33" s="53"/>
      <c r="M33" s="53"/>
      <c r="N33" s="53"/>
      <c r="O33" s="37"/>
      <c r="P33" s="21"/>
      <c r="Q33" s="46"/>
      <c r="R33" s="39"/>
      <c r="S33" s="39"/>
      <c r="T33" s="39"/>
      <c r="U33" s="39"/>
      <c r="V33" s="39"/>
      <c r="W33" s="39"/>
      <c r="X33" s="39"/>
      <c r="Y33" s="39"/>
    </row>
    <row r="34" spans="1:25" ht="14.45" customHeight="1">
      <c r="A34" s="40" t="str">
        <f>"WD"&amp;(ROW(A34)-ROW($A$32)+1)&amp;"-"&amp;Start!G62</f>
        <v>WD3-Dumping and simple landfill</v>
      </c>
      <c r="B34" s="45" t="s">
        <v>216</v>
      </c>
      <c r="C34" s="33"/>
      <c r="D34" s="34"/>
      <c r="E34" s="36"/>
      <c r="F34" s="52"/>
      <c r="G34" s="53"/>
      <c r="H34" s="53"/>
      <c r="I34" s="53"/>
      <c r="J34" s="53"/>
      <c r="K34" s="53"/>
      <c r="L34" s="53"/>
      <c r="M34" s="53"/>
      <c r="N34" s="53"/>
      <c r="O34" s="37"/>
      <c r="P34" s="21"/>
      <c r="Q34" s="46"/>
      <c r="R34" s="39"/>
      <c r="S34" s="39"/>
      <c r="T34" s="39"/>
      <c r="U34" s="39"/>
      <c r="V34" s="39"/>
      <c r="W34" s="39"/>
      <c r="X34" s="39"/>
      <c r="Y34" s="39"/>
    </row>
    <row r="35" spans="1:25" ht="14.45" customHeight="1">
      <c r="A35" s="40" t="str">
        <f>"WD"&amp;(ROW(A35)-ROW($A$32)+1)&amp;"-"&amp;Start!G63</f>
        <v>WD4-Incineration</v>
      </c>
      <c r="B35" s="45" t="s">
        <v>216</v>
      </c>
      <c r="C35" s="33"/>
      <c r="D35" s="34"/>
      <c r="E35" s="36"/>
      <c r="F35" s="52"/>
      <c r="G35" s="53"/>
      <c r="H35" s="53"/>
      <c r="I35" s="53"/>
      <c r="J35" s="53"/>
      <c r="K35" s="53"/>
      <c r="L35" s="53"/>
      <c r="M35" s="53"/>
      <c r="N35" s="53"/>
      <c r="O35" s="37"/>
      <c r="P35" s="21"/>
      <c r="Q35" s="46"/>
      <c r="R35" s="39"/>
      <c r="S35" s="39"/>
      <c r="T35" s="39"/>
      <c r="U35" s="39"/>
      <c r="V35" s="39"/>
      <c r="W35" s="39"/>
      <c r="X35" s="39"/>
      <c r="Y35" s="39"/>
    </row>
    <row r="36" spans="1:25" ht="14.45" customHeight="1">
      <c r="A36" s="40" t="str">
        <f>"WD"&amp;(ROW(A36)-ROW($A$32)+1)&amp;"-"&amp;Start!G64</f>
        <v>WD5-Recycling and reuse</v>
      </c>
      <c r="B36" s="45" t="s">
        <v>216</v>
      </c>
      <c r="C36" s="25"/>
      <c r="D36" s="26"/>
      <c r="E36" s="27"/>
      <c r="F36" s="52"/>
      <c r="G36" s="53"/>
      <c r="H36" s="53"/>
      <c r="I36" s="53"/>
      <c r="J36" s="53"/>
      <c r="K36" s="53"/>
      <c r="L36" s="53"/>
      <c r="M36" s="53"/>
      <c r="N36" s="53"/>
      <c r="O36" s="37"/>
      <c r="P36" s="21"/>
      <c r="Q36" s="46"/>
      <c r="R36" s="39"/>
      <c r="S36" s="39"/>
      <c r="T36" s="39"/>
      <c r="U36" s="39"/>
      <c r="V36" s="39"/>
      <c r="W36" s="39"/>
      <c r="X36" s="39"/>
      <c r="Y36" s="39"/>
    </row>
    <row r="37" spans="1:25" ht="14.45" customHeight="1">
      <c r="A37" s="40" t="str">
        <f>"WD"&amp;(ROW(A37)-ROW($A$32)+1)&amp;"-"&amp;Start!G65</f>
        <v>WD6-Inappropriate treatment</v>
      </c>
      <c r="B37" s="45" t="s">
        <v>216</v>
      </c>
      <c r="C37" s="25"/>
      <c r="D37" s="26"/>
      <c r="E37" s="27"/>
      <c r="F37" s="52"/>
      <c r="G37" s="53"/>
      <c r="H37" s="53"/>
      <c r="I37" s="53"/>
      <c r="J37" s="53"/>
      <c r="K37" s="53"/>
      <c r="L37" s="53"/>
      <c r="M37" s="53"/>
      <c r="N37" s="53"/>
      <c r="O37" s="37"/>
      <c r="P37" s="21"/>
      <c r="Q37" s="46"/>
      <c r="R37" s="39"/>
      <c r="S37" s="39"/>
      <c r="T37" s="39"/>
      <c r="U37" s="39"/>
      <c r="V37" s="39"/>
      <c r="W37" s="39"/>
      <c r="X37" s="39"/>
      <c r="Y37" s="39"/>
    </row>
    <row r="38" spans="1:25" ht="14.45" customHeight="1" thickBot="1">
      <c r="A38" s="40" t="str">
        <f>"WD"&amp;(ROW(A38)-ROW($A$32)+1)&amp;"-"&amp;Start!G66</f>
        <v>WD7-Environmentally sound management</v>
      </c>
      <c r="B38" s="45" t="s">
        <v>216</v>
      </c>
      <c r="C38" s="28"/>
      <c r="D38" s="29"/>
      <c r="E38" s="30"/>
      <c r="F38" s="52"/>
      <c r="G38" s="53"/>
      <c r="H38" s="53"/>
      <c r="I38" s="53"/>
      <c r="J38" s="53"/>
      <c r="K38" s="53"/>
      <c r="L38" s="53"/>
      <c r="M38" s="53"/>
      <c r="N38" s="53"/>
      <c r="O38" s="23"/>
      <c r="P38" s="23"/>
      <c r="Q38" s="46"/>
      <c r="R38" s="39"/>
      <c r="S38" s="39"/>
      <c r="T38" s="39"/>
      <c r="U38" s="39"/>
      <c r="V38" s="39"/>
      <c r="W38" s="39"/>
      <c r="X38" s="39"/>
      <c r="Y38" s="39"/>
    </row>
    <row r="39" spans="1:25" s="2" customFormat="1" ht="14.45" customHeight="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54"/>
      <c r="Q39" s="41"/>
      <c r="R39" s="41"/>
      <c r="S39" s="41"/>
      <c r="T39" s="41"/>
      <c r="U39" s="41"/>
      <c r="V39" s="41"/>
      <c r="W39" s="41"/>
      <c r="X39" s="41"/>
      <c r="Y39" s="41"/>
    </row>
    <row r="40" spans="1:25" ht="14.45" customHeight="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</row>
    <row r="41" spans="1:25" ht="14.45" customHeight="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</row>
    <row r="42" spans="1:25" ht="14.45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</row>
    <row r="43" spans="1:25" ht="14.45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</row>
    <row r="44" spans="1:25" ht="14.45" customHeight="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</row>
    <row r="45" spans="1:25" ht="14.45" customHeight="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</row>
    <row r="46" spans="1:25" ht="14.45" customHeight="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</row>
    <row r="47" spans="1:25" ht="14.45" customHeight="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</row>
    <row r="48" spans="1:25" ht="14.45" customHeight="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</row>
    <row r="49" spans="1:25" ht="14.45" customHeight="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</row>
    <row r="50" spans="1:25" ht="14.45" customHeight="1">
      <c r="P50" s="39"/>
      <c r="Q50" s="39"/>
      <c r="R50" s="39"/>
      <c r="S50" s="39"/>
      <c r="T50" s="39"/>
      <c r="U50" s="39"/>
      <c r="V50" s="39"/>
      <c r="W50" s="39"/>
      <c r="X50" s="39"/>
      <c r="Y50" s="39"/>
    </row>
  </sheetData>
  <sheetProtection algorithmName="SHA-512" hashValue="/twGsMcAvRU24LmVDMUBaLl2uo1280Hr/ZHrqNhzNXWodxg+ZgVZSCKyZT6JE3TRc619heUqMrkfF1c/NFyIRw==" saltValue="wn+Ooezy2GSVmlj+PF9kzg==" spinCount="100000" sheet="1" objects="1" scenarios="1"/>
  <mergeCells count="1">
    <mergeCell ref="Q9:W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Factors">
                <anchor moveWithCells="1" sizeWithCells="1">
                  <from>
                    <xdr:col>3</xdr:col>
                    <xdr:colOff>485775</xdr:colOff>
                    <xdr:row>0</xdr:row>
                    <xdr:rowOff>66675</xdr:rowOff>
                  </from>
                  <to>
                    <xdr:col>6</xdr:col>
                    <xdr:colOff>485775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D8EB8-CF56-4719-81F7-E6F17FFF2982}">
  <sheetPr codeName="Sheet24">
    <tabColor rgb="FF0081E2"/>
  </sheetPr>
  <dimension ref="A1:CA216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11" sqref="C11"/>
    </sheetView>
  </sheetViews>
  <sheetFormatPr defaultColWidth="8.73046875" defaultRowHeight="14.25"/>
  <cols>
    <col min="1" max="1" width="4.73046875" customWidth="1"/>
    <col min="2" max="2" width="13.59765625" customWidth="1"/>
  </cols>
  <sheetData>
    <row r="1" spans="1:79" ht="24.95" customHeight="1">
      <c r="A1" s="38" t="s">
        <v>486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</row>
    <row r="2" spans="1:79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79" hidden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</row>
    <row r="4" spans="1:79" hidden="1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</row>
    <row r="5" spans="1:79" hidden="1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79" hidden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</row>
    <row r="7" spans="1:79" hidden="1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</row>
    <row r="8" spans="1:79">
      <c r="A8" s="59"/>
      <c r="B8" s="59"/>
      <c r="C8" s="59" t="str">
        <f>"Application1: "&amp;Products!D10</f>
        <v xml:space="preserve">Application1: 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 t="str">
        <f>"Application2: "&amp;Products!E10</f>
        <v xml:space="preserve">Application2: </v>
      </c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 t="str">
        <f>"Application3: "&amp;Products!F10</f>
        <v xml:space="preserve">Application3: </v>
      </c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 t="str">
        <f>"Application4: "&amp;Products!G10</f>
        <v xml:space="preserve">Application4: </v>
      </c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 t="str">
        <f>"Application5: "&amp;Products!H10</f>
        <v xml:space="preserve">Application5: </v>
      </c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</row>
    <row r="9" spans="1:79" ht="14.65" thickBot="1">
      <c r="A9" s="59"/>
      <c r="B9" s="59"/>
      <c r="C9" s="59" t="s">
        <v>285</v>
      </c>
      <c r="D9" s="59"/>
      <c r="E9" s="59"/>
      <c r="F9" s="59"/>
      <c r="G9" s="59"/>
      <c r="H9" s="59"/>
      <c r="I9" s="59"/>
      <c r="J9" s="59" t="s">
        <v>384</v>
      </c>
      <c r="K9" s="44"/>
      <c r="L9" s="44"/>
      <c r="M9" s="44"/>
      <c r="N9" s="44"/>
      <c r="O9" s="44"/>
      <c r="P9" s="44"/>
      <c r="Q9" s="59" t="s">
        <v>285</v>
      </c>
      <c r="R9" s="59"/>
      <c r="S9" s="59"/>
      <c r="T9" s="59"/>
      <c r="U9" s="59"/>
      <c r="V9" s="59"/>
      <c r="W9" s="59"/>
      <c r="X9" s="59" t="s">
        <v>384</v>
      </c>
      <c r="Y9" s="44"/>
      <c r="Z9" s="44"/>
      <c r="AA9" s="44"/>
      <c r="AB9" s="44"/>
      <c r="AC9" s="44"/>
      <c r="AD9" s="44"/>
      <c r="AE9" s="59" t="s">
        <v>285</v>
      </c>
      <c r="AF9" s="59"/>
      <c r="AG9" s="59"/>
      <c r="AH9" s="59"/>
      <c r="AI9" s="59"/>
      <c r="AJ9" s="59"/>
      <c r="AK9" s="59"/>
      <c r="AL9" s="59" t="s">
        <v>384</v>
      </c>
      <c r="AM9" s="44"/>
      <c r="AN9" s="44"/>
      <c r="AO9" s="44"/>
      <c r="AP9" s="44"/>
      <c r="AQ9" s="44"/>
      <c r="AR9" s="44"/>
      <c r="AS9" s="59" t="s">
        <v>285</v>
      </c>
      <c r="AT9" s="59"/>
      <c r="AU9" s="59"/>
      <c r="AV9" s="59"/>
      <c r="AW9" s="59"/>
      <c r="AX9" s="59"/>
      <c r="AY9" s="59"/>
      <c r="AZ9" s="59" t="s">
        <v>384</v>
      </c>
      <c r="BA9" s="44"/>
      <c r="BB9" s="44"/>
      <c r="BC9" s="44"/>
      <c r="BD9" s="44"/>
      <c r="BE9" s="44"/>
      <c r="BF9" s="44"/>
      <c r="BG9" s="59" t="s">
        <v>285</v>
      </c>
      <c r="BH9" s="59"/>
      <c r="BI9" s="59"/>
      <c r="BJ9" s="59"/>
      <c r="BK9" s="59"/>
      <c r="BL9" s="59"/>
      <c r="BM9" s="59"/>
      <c r="BN9" s="59" t="s">
        <v>384</v>
      </c>
      <c r="BO9" s="44"/>
      <c r="BP9" s="44"/>
      <c r="BQ9" s="44"/>
      <c r="BR9" s="44"/>
      <c r="BS9" s="44"/>
      <c r="BT9" s="44"/>
      <c r="BU9" s="59"/>
      <c r="BV9" s="59"/>
      <c r="BW9" s="59"/>
      <c r="BX9" s="59"/>
      <c r="BY9" s="59"/>
      <c r="BZ9" s="59"/>
      <c r="CA9" s="59"/>
    </row>
    <row r="10" spans="1:79" ht="14.65" thickBot="1">
      <c r="A10" s="59"/>
      <c r="B10" s="59"/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0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0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61" t="s">
        <v>0</v>
      </c>
      <c r="Y10" s="62" t="s">
        <v>256</v>
      </c>
      <c r="Z10" s="62" t="s">
        <v>257</v>
      </c>
      <c r="AA10" s="62" t="s">
        <v>258</v>
      </c>
      <c r="AB10" s="62" t="s">
        <v>259</v>
      </c>
      <c r="AC10" s="62" t="s">
        <v>260</v>
      </c>
      <c r="AD10" s="63" t="s">
        <v>261</v>
      </c>
      <c r="AE10" s="61" t="s">
        <v>0</v>
      </c>
      <c r="AF10" s="62" t="s">
        <v>256</v>
      </c>
      <c r="AG10" s="62" t="s">
        <v>257</v>
      </c>
      <c r="AH10" s="62" t="s">
        <v>258</v>
      </c>
      <c r="AI10" s="62" t="s">
        <v>259</v>
      </c>
      <c r="AJ10" s="62" t="s">
        <v>260</v>
      </c>
      <c r="AK10" s="63" t="s">
        <v>261</v>
      </c>
      <c r="AL10" s="61" t="s">
        <v>0</v>
      </c>
      <c r="AM10" s="62" t="s">
        <v>256</v>
      </c>
      <c r="AN10" s="62" t="s">
        <v>257</v>
      </c>
      <c r="AO10" s="62" t="s">
        <v>258</v>
      </c>
      <c r="AP10" s="62" t="s">
        <v>259</v>
      </c>
      <c r="AQ10" s="62" t="s">
        <v>260</v>
      </c>
      <c r="AR10" s="63" t="s">
        <v>261</v>
      </c>
      <c r="AS10" s="61" t="s">
        <v>0</v>
      </c>
      <c r="AT10" s="62" t="s">
        <v>256</v>
      </c>
      <c r="AU10" s="62" t="s">
        <v>257</v>
      </c>
      <c r="AV10" s="62" t="s">
        <v>258</v>
      </c>
      <c r="AW10" s="62" t="s">
        <v>259</v>
      </c>
      <c r="AX10" s="62" t="s">
        <v>260</v>
      </c>
      <c r="AY10" s="63" t="s">
        <v>261</v>
      </c>
      <c r="AZ10" s="61" t="s">
        <v>0</v>
      </c>
      <c r="BA10" s="62" t="s">
        <v>256</v>
      </c>
      <c r="BB10" s="62" t="s">
        <v>257</v>
      </c>
      <c r="BC10" s="62" t="s">
        <v>258</v>
      </c>
      <c r="BD10" s="62" t="s">
        <v>259</v>
      </c>
      <c r="BE10" s="62" t="s">
        <v>260</v>
      </c>
      <c r="BF10" s="63" t="s">
        <v>261</v>
      </c>
      <c r="BG10" s="61" t="s">
        <v>0</v>
      </c>
      <c r="BH10" s="62" t="s">
        <v>256</v>
      </c>
      <c r="BI10" s="62" t="s">
        <v>257</v>
      </c>
      <c r="BJ10" s="62" t="s">
        <v>258</v>
      </c>
      <c r="BK10" s="62" t="s">
        <v>259</v>
      </c>
      <c r="BL10" s="62" t="s">
        <v>260</v>
      </c>
      <c r="BM10" s="63" t="s">
        <v>261</v>
      </c>
      <c r="BN10" s="61" t="s">
        <v>0</v>
      </c>
      <c r="BO10" s="62" t="s">
        <v>256</v>
      </c>
      <c r="BP10" s="62" t="s">
        <v>257</v>
      </c>
      <c r="BQ10" s="62" t="s">
        <v>258</v>
      </c>
      <c r="BR10" s="62" t="s">
        <v>259</v>
      </c>
      <c r="BS10" s="62" t="s">
        <v>260</v>
      </c>
      <c r="BT10" s="63" t="s">
        <v>261</v>
      </c>
      <c r="BU10" s="59"/>
      <c r="BV10" s="59"/>
      <c r="BW10" s="59"/>
      <c r="BX10" s="59"/>
      <c r="BY10" s="59"/>
      <c r="BZ10" s="59"/>
      <c r="CA10" s="59"/>
    </row>
    <row r="11" spans="1:79">
      <c r="A11" s="59"/>
      <c r="B11" s="44">
        <f t="shared" ref="B11:B42" si="0">IF(Start_year+ROW(B11)-ROW($B$11)&gt;End_year,"",Start_year+ROW(B11)-ROW($B$11))</f>
        <v>1930</v>
      </c>
      <c r="C11" s="67"/>
      <c r="D11" s="68"/>
      <c r="E11" s="68"/>
      <c r="F11" s="68"/>
      <c r="G11" s="68"/>
      <c r="H11" s="68"/>
      <c r="I11" s="69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67"/>
      <c r="Y11" s="68"/>
      <c r="Z11" s="68"/>
      <c r="AA11" s="68"/>
      <c r="AB11" s="68"/>
      <c r="AC11" s="68"/>
      <c r="AD11" s="69"/>
      <c r="AE11" s="67"/>
      <c r="AF11" s="68"/>
      <c r="AG11" s="68"/>
      <c r="AH11" s="68"/>
      <c r="AI11" s="68"/>
      <c r="AJ11" s="68"/>
      <c r="AK11" s="69"/>
      <c r="AL11" s="67"/>
      <c r="AM11" s="68"/>
      <c r="AN11" s="68"/>
      <c r="AO11" s="68"/>
      <c r="AP11" s="68"/>
      <c r="AQ11" s="68"/>
      <c r="AR11" s="69"/>
      <c r="AS11" s="67"/>
      <c r="AT11" s="68"/>
      <c r="AU11" s="68"/>
      <c r="AV11" s="68"/>
      <c r="AW11" s="68"/>
      <c r="AX11" s="68"/>
      <c r="AY11" s="69"/>
      <c r="AZ11" s="67"/>
      <c r="BA11" s="68"/>
      <c r="BB11" s="68"/>
      <c r="BC11" s="68"/>
      <c r="BD11" s="68"/>
      <c r="BE11" s="68"/>
      <c r="BF11" s="69"/>
      <c r="BG11" s="67"/>
      <c r="BH11" s="68"/>
      <c r="BI11" s="68"/>
      <c r="BJ11" s="68"/>
      <c r="BK11" s="68"/>
      <c r="BL11" s="68"/>
      <c r="BM11" s="69"/>
      <c r="BN11" s="67"/>
      <c r="BO11" s="68"/>
      <c r="BP11" s="68"/>
      <c r="BQ11" s="68"/>
      <c r="BR11" s="68"/>
      <c r="BS11" s="68"/>
      <c r="BT11" s="69"/>
      <c r="BU11" s="59"/>
      <c r="BV11" s="59"/>
      <c r="BW11" s="59"/>
      <c r="BX11" s="59"/>
      <c r="BY11" s="59"/>
      <c r="BZ11" s="59"/>
      <c r="CA11" s="59"/>
    </row>
    <row r="12" spans="1:79">
      <c r="A12" s="59"/>
      <c r="B12" s="44">
        <f t="shared" si="0"/>
        <v>1931</v>
      </c>
      <c r="C12" s="67"/>
      <c r="D12" s="68"/>
      <c r="E12" s="68"/>
      <c r="F12" s="68"/>
      <c r="G12" s="68"/>
      <c r="H12" s="68"/>
      <c r="I12" s="69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67"/>
      <c r="Y12" s="68"/>
      <c r="Z12" s="68"/>
      <c r="AA12" s="68"/>
      <c r="AB12" s="68"/>
      <c r="AC12" s="68"/>
      <c r="AD12" s="69"/>
      <c r="AE12" s="67"/>
      <c r="AF12" s="68"/>
      <c r="AG12" s="68"/>
      <c r="AH12" s="68"/>
      <c r="AI12" s="68"/>
      <c r="AJ12" s="68"/>
      <c r="AK12" s="69"/>
      <c r="AL12" s="67"/>
      <c r="AM12" s="68"/>
      <c r="AN12" s="68"/>
      <c r="AO12" s="68"/>
      <c r="AP12" s="68"/>
      <c r="AQ12" s="68"/>
      <c r="AR12" s="69"/>
      <c r="AS12" s="67"/>
      <c r="AT12" s="68"/>
      <c r="AU12" s="68"/>
      <c r="AV12" s="68"/>
      <c r="AW12" s="68"/>
      <c r="AX12" s="68"/>
      <c r="AY12" s="69"/>
      <c r="AZ12" s="67"/>
      <c r="BA12" s="68"/>
      <c r="BB12" s="68"/>
      <c r="BC12" s="68"/>
      <c r="BD12" s="68"/>
      <c r="BE12" s="68"/>
      <c r="BF12" s="69"/>
      <c r="BG12" s="67"/>
      <c r="BH12" s="68"/>
      <c r="BI12" s="68"/>
      <c r="BJ12" s="68"/>
      <c r="BK12" s="68"/>
      <c r="BL12" s="68"/>
      <c r="BM12" s="69"/>
      <c r="BN12" s="67"/>
      <c r="BO12" s="68"/>
      <c r="BP12" s="68"/>
      <c r="BQ12" s="68"/>
      <c r="BR12" s="68"/>
      <c r="BS12" s="68"/>
      <c r="BT12" s="69"/>
      <c r="BU12" s="59"/>
      <c r="BV12" s="59"/>
      <c r="BW12" s="59"/>
      <c r="BX12" s="59"/>
      <c r="BY12" s="59"/>
      <c r="BZ12" s="59"/>
      <c r="CA12" s="59"/>
    </row>
    <row r="13" spans="1:79">
      <c r="A13" s="59"/>
      <c r="B13" s="44">
        <f t="shared" si="0"/>
        <v>1932</v>
      </c>
      <c r="C13" s="67"/>
      <c r="D13" s="68"/>
      <c r="E13" s="68"/>
      <c r="F13" s="68"/>
      <c r="G13" s="68"/>
      <c r="H13" s="68"/>
      <c r="I13" s="69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67"/>
      <c r="Y13" s="68"/>
      <c r="Z13" s="68"/>
      <c r="AA13" s="68"/>
      <c r="AB13" s="68"/>
      <c r="AC13" s="68"/>
      <c r="AD13" s="69"/>
      <c r="AE13" s="67"/>
      <c r="AF13" s="68"/>
      <c r="AG13" s="68"/>
      <c r="AH13" s="68"/>
      <c r="AI13" s="68"/>
      <c r="AJ13" s="68"/>
      <c r="AK13" s="69"/>
      <c r="AL13" s="67"/>
      <c r="AM13" s="68"/>
      <c r="AN13" s="68"/>
      <c r="AO13" s="68"/>
      <c r="AP13" s="68"/>
      <c r="AQ13" s="68"/>
      <c r="AR13" s="69"/>
      <c r="AS13" s="67"/>
      <c r="AT13" s="68"/>
      <c r="AU13" s="68"/>
      <c r="AV13" s="68"/>
      <c r="AW13" s="68"/>
      <c r="AX13" s="68"/>
      <c r="AY13" s="69"/>
      <c r="AZ13" s="67"/>
      <c r="BA13" s="68"/>
      <c r="BB13" s="68"/>
      <c r="BC13" s="68"/>
      <c r="BD13" s="68"/>
      <c r="BE13" s="68"/>
      <c r="BF13" s="69"/>
      <c r="BG13" s="67"/>
      <c r="BH13" s="68"/>
      <c r="BI13" s="68"/>
      <c r="BJ13" s="68"/>
      <c r="BK13" s="68"/>
      <c r="BL13" s="68"/>
      <c r="BM13" s="69"/>
      <c r="BN13" s="67"/>
      <c r="BO13" s="68"/>
      <c r="BP13" s="68"/>
      <c r="BQ13" s="68"/>
      <c r="BR13" s="68"/>
      <c r="BS13" s="68"/>
      <c r="BT13" s="69"/>
      <c r="BU13" s="59"/>
      <c r="BV13" s="59"/>
      <c r="BW13" s="59"/>
      <c r="BX13" s="59"/>
      <c r="BY13" s="59"/>
      <c r="BZ13" s="59"/>
      <c r="CA13" s="59"/>
    </row>
    <row r="14" spans="1:79">
      <c r="A14" s="59"/>
      <c r="B14" s="44">
        <f t="shared" si="0"/>
        <v>1933</v>
      </c>
      <c r="C14" s="67"/>
      <c r="D14" s="68"/>
      <c r="E14" s="68"/>
      <c r="F14" s="68"/>
      <c r="G14" s="68"/>
      <c r="H14" s="68"/>
      <c r="I14" s="69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67"/>
      <c r="Y14" s="68"/>
      <c r="Z14" s="68"/>
      <c r="AA14" s="68"/>
      <c r="AB14" s="68"/>
      <c r="AC14" s="68"/>
      <c r="AD14" s="69"/>
      <c r="AE14" s="67"/>
      <c r="AF14" s="68"/>
      <c r="AG14" s="68"/>
      <c r="AH14" s="68"/>
      <c r="AI14" s="68"/>
      <c r="AJ14" s="68"/>
      <c r="AK14" s="69"/>
      <c r="AL14" s="67"/>
      <c r="AM14" s="68"/>
      <c r="AN14" s="68"/>
      <c r="AO14" s="68"/>
      <c r="AP14" s="68"/>
      <c r="AQ14" s="68"/>
      <c r="AR14" s="69"/>
      <c r="AS14" s="67"/>
      <c r="AT14" s="68"/>
      <c r="AU14" s="68"/>
      <c r="AV14" s="68"/>
      <c r="AW14" s="68"/>
      <c r="AX14" s="68"/>
      <c r="AY14" s="69"/>
      <c r="AZ14" s="67"/>
      <c r="BA14" s="68"/>
      <c r="BB14" s="68"/>
      <c r="BC14" s="68"/>
      <c r="BD14" s="68"/>
      <c r="BE14" s="68"/>
      <c r="BF14" s="69"/>
      <c r="BG14" s="67"/>
      <c r="BH14" s="68"/>
      <c r="BI14" s="68"/>
      <c r="BJ14" s="68"/>
      <c r="BK14" s="68"/>
      <c r="BL14" s="68"/>
      <c r="BM14" s="69"/>
      <c r="BN14" s="67"/>
      <c r="BO14" s="68"/>
      <c r="BP14" s="68"/>
      <c r="BQ14" s="68"/>
      <c r="BR14" s="68"/>
      <c r="BS14" s="68"/>
      <c r="BT14" s="69"/>
      <c r="BU14" s="59"/>
      <c r="BV14" s="59"/>
      <c r="BW14" s="59"/>
      <c r="BX14" s="59"/>
      <c r="BY14" s="59"/>
      <c r="BZ14" s="59"/>
      <c r="CA14" s="59"/>
    </row>
    <row r="15" spans="1:79">
      <c r="A15" s="59"/>
      <c r="B15" s="44">
        <f t="shared" si="0"/>
        <v>1934</v>
      </c>
      <c r="C15" s="67"/>
      <c r="D15" s="68"/>
      <c r="E15" s="68"/>
      <c r="F15" s="68"/>
      <c r="G15" s="68"/>
      <c r="H15" s="68"/>
      <c r="I15" s="69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67"/>
      <c r="Y15" s="68"/>
      <c r="Z15" s="68"/>
      <c r="AA15" s="68"/>
      <c r="AB15" s="68"/>
      <c r="AC15" s="68"/>
      <c r="AD15" s="69"/>
      <c r="AE15" s="67"/>
      <c r="AF15" s="68"/>
      <c r="AG15" s="68"/>
      <c r="AH15" s="68"/>
      <c r="AI15" s="68"/>
      <c r="AJ15" s="68"/>
      <c r="AK15" s="69"/>
      <c r="AL15" s="67"/>
      <c r="AM15" s="68"/>
      <c r="AN15" s="68"/>
      <c r="AO15" s="68"/>
      <c r="AP15" s="68"/>
      <c r="AQ15" s="68"/>
      <c r="AR15" s="69"/>
      <c r="AS15" s="67"/>
      <c r="AT15" s="68"/>
      <c r="AU15" s="68"/>
      <c r="AV15" s="68"/>
      <c r="AW15" s="68"/>
      <c r="AX15" s="68"/>
      <c r="AY15" s="69"/>
      <c r="AZ15" s="67"/>
      <c r="BA15" s="68"/>
      <c r="BB15" s="68"/>
      <c r="BC15" s="68"/>
      <c r="BD15" s="68"/>
      <c r="BE15" s="68"/>
      <c r="BF15" s="69"/>
      <c r="BG15" s="67"/>
      <c r="BH15" s="68"/>
      <c r="BI15" s="68"/>
      <c r="BJ15" s="68"/>
      <c r="BK15" s="68"/>
      <c r="BL15" s="68"/>
      <c r="BM15" s="69"/>
      <c r="BN15" s="67"/>
      <c r="BO15" s="68"/>
      <c r="BP15" s="68"/>
      <c r="BQ15" s="68"/>
      <c r="BR15" s="68"/>
      <c r="BS15" s="68"/>
      <c r="BT15" s="69"/>
      <c r="BU15" s="59"/>
      <c r="BV15" s="59"/>
      <c r="BW15" s="59"/>
      <c r="BX15" s="59"/>
      <c r="BY15" s="59"/>
      <c r="BZ15" s="59"/>
      <c r="CA15" s="59"/>
    </row>
    <row r="16" spans="1:79">
      <c r="A16" s="59"/>
      <c r="B16" s="44">
        <f t="shared" si="0"/>
        <v>1935</v>
      </c>
      <c r="C16" s="67"/>
      <c r="D16" s="68"/>
      <c r="E16" s="68"/>
      <c r="F16" s="68"/>
      <c r="G16" s="68"/>
      <c r="H16" s="68"/>
      <c r="I16" s="69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67"/>
      <c r="Y16" s="68"/>
      <c r="Z16" s="68"/>
      <c r="AA16" s="68"/>
      <c r="AB16" s="68"/>
      <c r="AC16" s="68"/>
      <c r="AD16" s="69"/>
      <c r="AE16" s="67"/>
      <c r="AF16" s="68"/>
      <c r="AG16" s="68"/>
      <c r="AH16" s="68"/>
      <c r="AI16" s="68"/>
      <c r="AJ16" s="68"/>
      <c r="AK16" s="69"/>
      <c r="AL16" s="67"/>
      <c r="AM16" s="68"/>
      <c r="AN16" s="68"/>
      <c r="AO16" s="68"/>
      <c r="AP16" s="68"/>
      <c r="AQ16" s="68"/>
      <c r="AR16" s="69"/>
      <c r="AS16" s="67"/>
      <c r="AT16" s="68"/>
      <c r="AU16" s="68"/>
      <c r="AV16" s="68"/>
      <c r="AW16" s="68"/>
      <c r="AX16" s="68"/>
      <c r="AY16" s="69"/>
      <c r="AZ16" s="67"/>
      <c r="BA16" s="68"/>
      <c r="BB16" s="68"/>
      <c r="BC16" s="68"/>
      <c r="BD16" s="68"/>
      <c r="BE16" s="68"/>
      <c r="BF16" s="69"/>
      <c r="BG16" s="67"/>
      <c r="BH16" s="68"/>
      <c r="BI16" s="68"/>
      <c r="BJ16" s="68"/>
      <c r="BK16" s="68"/>
      <c r="BL16" s="68"/>
      <c r="BM16" s="69"/>
      <c r="BN16" s="67"/>
      <c r="BO16" s="68"/>
      <c r="BP16" s="68"/>
      <c r="BQ16" s="68"/>
      <c r="BR16" s="68"/>
      <c r="BS16" s="68"/>
      <c r="BT16" s="69"/>
      <c r="BU16" s="59"/>
      <c r="BV16" s="59"/>
      <c r="BW16" s="59"/>
      <c r="BX16" s="59"/>
      <c r="BY16" s="59"/>
      <c r="BZ16" s="59"/>
      <c r="CA16" s="59"/>
    </row>
    <row r="17" spans="1:79">
      <c r="A17" s="59"/>
      <c r="B17" s="44">
        <f t="shared" si="0"/>
        <v>1936</v>
      </c>
      <c r="C17" s="67"/>
      <c r="D17" s="68"/>
      <c r="E17" s="68"/>
      <c r="F17" s="68"/>
      <c r="G17" s="68"/>
      <c r="H17" s="68"/>
      <c r="I17" s="69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67"/>
      <c r="Y17" s="68"/>
      <c r="Z17" s="68"/>
      <c r="AA17" s="68"/>
      <c r="AB17" s="68"/>
      <c r="AC17" s="68"/>
      <c r="AD17" s="69"/>
      <c r="AE17" s="67"/>
      <c r="AF17" s="68"/>
      <c r="AG17" s="68"/>
      <c r="AH17" s="68"/>
      <c r="AI17" s="68"/>
      <c r="AJ17" s="68"/>
      <c r="AK17" s="69"/>
      <c r="AL17" s="67"/>
      <c r="AM17" s="68"/>
      <c r="AN17" s="68"/>
      <c r="AO17" s="68"/>
      <c r="AP17" s="68"/>
      <c r="AQ17" s="68"/>
      <c r="AR17" s="69"/>
      <c r="AS17" s="67"/>
      <c r="AT17" s="68"/>
      <c r="AU17" s="68"/>
      <c r="AV17" s="68"/>
      <c r="AW17" s="68"/>
      <c r="AX17" s="68"/>
      <c r="AY17" s="69"/>
      <c r="AZ17" s="67"/>
      <c r="BA17" s="68"/>
      <c r="BB17" s="68"/>
      <c r="BC17" s="68"/>
      <c r="BD17" s="68"/>
      <c r="BE17" s="68"/>
      <c r="BF17" s="69"/>
      <c r="BG17" s="67"/>
      <c r="BH17" s="68"/>
      <c r="BI17" s="68"/>
      <c r="BJ17" s="68"/>
      <c r="BK17" s="68"/>
      <c r="BL17" s="68"/>
      <c r="BM17" s="69"/>
      <c r="BN17" s="67"/>
      <c r="BO17" s="68"/>
      <c r="BP17" s="68"/>
      <c r="BQ17" s="68"/>
      <c r="BR17" s="68"/>
      <c r="BS17" s="68"/>
      <c r="BT17" s="69"/>
      <c r="BU17" s="59"/>
      <c r="BV17" s="59"/>
      <c r="BW17" s="59"/>
      <c r="BX17" s="59"/>
      <c r="BY17" s="59"/>
      <c r="BZ17" s="59"/>
      <c r="CA17" s="59"/>
    </row>
    <row r="18" spans="1:79">
      <c r="A18" s="59"/>
      <c r="B18" s="44">
        <f t="shared" si="0"/>
        <v>1937</v>
      </c>
      <c r="C18" s="67"/>
      <c r="D18" s="68"/>
      <c r="E18" s="68"/>
      <c r="F18" s="68"/>
      <c r="G18" s="68"/>
      <c r="H18" s="68"/>
      <c r="I18" s="69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67"/>
      <c r="Y18" s="68"/>
      <c r="Z18" s="68"/>
      <c r="AA18" s="68"/>
      <c r="AB18" s="68"/>
      <c r="AC18" s="68"/>
      <c r="AD18" s="69"/>
      <c r="AE18" s="67"/>
      <c r="AF18" s="68"/>
      <c r="AG18" s="68"/>
      <c r="AH18" s="68"/>
      <c r="AI18" s="68"/>
      <c r="AJ18" s="68"/>
      <c r="AK18" s="69"/>
      <c r="AL18" s="67"/>
      <c r="AM18" s="68"/>
      <c r="AN18" s="68"/>
      <c r="AO18" s="68"/>
      <c r="AP18" s="68"/>
      <c r="AQ18" s="68"/>
      <c r="AR18" s="69"/>
      <c r="AS18" s="67"/>
      <c r="AT18" s="68"/>
      <c r="AU18" s="68"/>
      <c r="AV18" s="68"/>
      <c r="AW18" s="68"/>
      <c r="AX18" s="68"/>
      <c r="AY18" s="69"/>
      <c r="AZ18" s="67"/>
      <c r="BA18" s="68"/>
      <c r="BB18" s="68"/>
      <c r="BC18" s="68"/>
      <c r="BD18" s="68"/>
      <c r="BE18" s="68"/>
      <c r="BF18" s="69"/>
      <c r="BG18" s="67"/>
      <c r="BH18" s="68"/>
      <c r="BI18" s="68"/>
      <c r="BJ18" s="68"/>
      <c r="BK18" s="68"/>
      <c r="BL18" s="68"/>
      <c r="BM18" s="69"/>
      <c r="BN18" s="67"/>
      <c r="BO18" s="68"/>
      <c r="BP18" s="68"/>
      <c r="BQ18" s="68"/>
      <c r="BR18" s="68"/>
      <c r="BS18" s="68"/>
      <c r="BT18" s="69"/>
      <c r="BU18" s="59"/>
      <c r="BV18" s="59"/>
      <c r="BW18" s="59"/>
      <c r="BX18" s="59"/>
      <c r="BY18" s="59"/>
      <c r="BZ18" s="59"/>
      <c r="CA18" s="59"/>
    </row>
    <row r="19" spans="1:79">
      <c r="A19" s="59"/>
      <c r="B19" s="44">
        <f t="shared" si="0"/>
        <v>1938</v>
      </c>
      <c r="C19" s="67"/>
      <c r="D19" s="68"/>
      <c r="E19" s="68"/>
      <c r="F19" s="68"/>
      <c r="G19" s="68"/>
      <c r="H19" s="68"/>
      <c r="I19" s="69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67"/>
      <c r="Y19" s="68"/>
      <c r="Z19" s="68"/>
      <c r="AA19" s="68"/>
      <c r="AB19" s="68"/>
      <c r="AC19" s="68"/>
      <c r="AD19" s="69"/>
      <c r="AE19" s="67"/>
      <c r="AF19" s="68"/>
      <c r="AG19" s="68"/>
      <c r="AH19" s="68"/>
      <c r="AI19" s="68"/>
      <c r="AJ19" s="68"/>
      <c r="AK19" s="69"/>
      <c r="AL19" s="67"/>
      <c r="AM19" s="68"/>
      <c r="AN19" s="68"/>
      <c r="AO19" s="68"/>
      <c r="AP19" s="68"/>
      <c r="AQ19" s="68"/>
      <c r="AR19" s="69"/>
      <c r="AS19" s="67"/>
      <c r="AT19" s="68"/>
      <c r="AU19" s="68"/>
      <c r="AV19" s="68"/>
      <c r="AW19" s="68"/>
      <c r="AX19" s="68"/>
      <c r="AY19" s="69"/>
      <c r="AZ19" s="67"/>
      <c r="BA19" s="68"/>
      <c r="BB19" s="68"/>
      <c r="BC19" s="68"/>
      <c r="BD19" s="68"/>
      <c r="BE19" s="68"/>
      <c r="BF19" s="69"/>
      <c r="BG19" s="67"/>
      <c r="BH19" s="68"/>
      <c r="BI19" s="68"/>
      <c r="BJ19" s="68"/>
      <c r="BK19" s="68"/>
      <c r="BL19" s="68"/>
      <c r="BM19" s="69"/>
      <c r="BN19" s="67"/>
      <c r="BO19" s="68"/>
      <c r="BP19" s="68"/>
      <c r="BQ19" s="68"/>
      <c r="BR19" s="68"/>
      <c r="BS19" s="68"/>
      <c r="BT19" s="69"/>
      <c r="BU19" s="59"/>
      <c r="BV19" s="59"/>
      <c r="BW19" s="59"/>
      <c r="BX19" s="59"/>
      <c r="BY19" s="59"/>
      <c r="BZ19" s="59"/>
      <c r="CA19" s="59"/>
    </row>
    <row r="20" spans="1:79">
      <c r="A20" s="59"/>
      <c r="B20" s="44">
        <f t="shared" si="0"/>
        <v>1939</v>
      </c>
      <c r="C20" s="67"/>
      <c r="D20" s="68"/>
      <c r="E20" s="68"/>
      <c r="F20" s="68"/>
      <c r="G20" s="68"/>
      <c r="H20" s="68"/>
      <c r="I20" s="69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67"/>
      <c r="Y20" s="68"/>
      <c r="Z20" s="68"/>
      <c r="AA20" s="68"/>
      <c r="AB20" s="68"/>
      <c r="AC20" s="68"/>
      <c r="AD20" s="69"/>
      <c r="AE20" s="67"/>
      <c r="AF20" s="68"/>
      <c r="AG20" s="68"/>
      <c r="AH20" s="68"/>
      <c r="AI20" s="68"/>
      <c r="AJ20" s="68"/>
      <c r="AK20" s="69"/>
      <c r="AL20" s="67"/>
      <c r="AM20" s="68"/>
      <c r="AN20" s="68"/>
      <c r="AO20" s="68"/>
      <c r="AP20" s="68"/>
      <c r="AQ20" s="68"/>
      <c r="AR20" s="69"/>
      <c r="AS20" s="67"/>
      <c r="AT20" s="68"/>
      <c r="AU20" s="68"/>
      <c r="AV20" s="68"/>
      <c r="AW20" s="68"/>
      <c r="AX20" s="68"/>
      <c r="AY20" s="69"/>
      <c r="AZ20" s="67"/>
      <c r="BA20" s="68"/>
      <c r="BB20" s="68"/>
      <c r="BC20" s="68"/>
      <c r="BD20" s="68"/>
      <c r="BE20" s="68"/>
      <c r="BF20" s="69"/>
      <c r="BG20" s="67"/>
      <c r="BH20" s="68"/>
      <c r="BI20" s="68"/>
      <c r="BJ20" s="68"/>
      <c r="BK20" s="68"/>
      <c r="BL20" s="68"/>
      <c r="BM20" s="69"/>
      <c r="BN20" s="67"/>
      <c r="BO20" s="68"/>
      <c r="BP20" s="68"/>
      <c r="BQ20" s="68"/>
      <c r="BR20" s="68"/>
      <c r="BS20" s="68"/>
      <c r="BT20" s="69"/>
      <c r="BU20" s="59"/>
      <c r="BV20" s="59"/>
      <c r="BW20" s="59"/>
      <c r="BX20" s="59"/>
      <c r="BY20" s="59"/>
      <c r="BZ20" s="59"/>
      <c r="CA20" s="59"/>
    </row>
    <row r="21" spans="1:79">
      <c r="A21" s="59"/>
      <c r="B21" s="44">
        <f t="shared" si="0"/>
        <v>1940</v>
      </c>
      <c r="C21" s="70"/>
      <c r="D21" s="71"/>
      <c r="E21" s="71"/>
      <c r="F21" s="71"/>
      <c r="G21" s="71"/>
      <c r="H21" s="71"/>
      <c r="I21" s="72"/>
      <c r="J21" s="70"/>
      <c r="K21" s="71"/>
      <c r="L21" s="71"/>
      <c r="M21" s="71"/>
      <c r="N21" s="71"/>
      <c r="O21" s="71"/>
      <c r="P21" s="72"/>
      <c r="Q21" s="67"/>
      <c r="R21" s="68"/>
      <c r="S21" s="68"/>
      <c r="T21" s="68"/>
      <c r="U21" s="68"/>
      <c r="V21" s="68"/>
      <c r="W21" s="69"/>
      <c r="X21" s="67"/>
      <c r="Y21" s="68"/>
      <c r="Z21" s="68"/>
      <c r="AA21" s="68"/>
      <c r="AB21" s="68"/>
      <c r="AC21" s="68"/>
      <c r="AD21" s="69"/>
      <c r="AE21" s="70"/>
      <c r="AF21" s="71"/>
      <c r="AG21" s="71"/>
      <c r="AH21" s="71"/>
      <c r="AI21" s="71"/>
      <c r="AJ21" s="71"/>
      <c r="AK21" s="72"/>
      <c r="AL21" s="70"/>
      <c r="AM21" s="71"/>
      <c r="AN21" s="71"/>
      <c r="AO21" s="71"/>
      <c r="AP21" s="71"/>
      <c r="AQ21" s="71"/>
      <c r="AR21" s="72"/>
      <c r="AS21" s="67"/>
      <c r="AT21" s="68"/>
      <c r="AU21" s="68"/>
      <c r="AV21" s="68"/>
      <c r="AW21" s="68"/>
      <c r="AX21" s="68"/>
      <c r="AY21" s="69"/>
      <c r="AZ21" s="67"/>
      <c r="BA21" s="68"/>
      <c r="BB21" s="68"/>
      <c r="BC21" s="68"/>
      <c r="BD21" s="68"/>
      <c r="BE21" s="68"/>
      <c r="BF21" s="69"/>
      <c r="BG21" s="70"/>
      <c r="BH21" s="71"/>
      <c r="BI21" s="71"/>
      <c r="BJ21" s="71"/>
      <c r="BK21" s="71"/>
      <c r="BL21" s="71"/>
      <c r="BM21" s="72"/>
      <c r="BN21" s="70"/>
      <c r="BO21" s="71"/>
      <c r="BP21" s="71"/>
      <c r="BQ21" s="71"/>
      <c r="BR21" s="71"/>
      <c r="BS21" s="71"/>
      <c r="BT21" s="72"/>
      <c r="BU21" s="59"/>
      <c r="BV21" s="59"/>
      <c r="BW21" s="59"/>
      <c r="BX21" s="59"/>
      <c r="BY21" s="59"/>
      <c r="BZ21" s="59"/>
      <c r="CA21" s="59"/>
    </row>
    <row r="22" spans="1:79">
      <c r="A22" s="59"/>
      <c r="B22" s="44">
        <f t="shared" si="0"/>
        <v>1941</v>
      </c>
      <c r="C22" s="70"/>
      <c r="D22" s="71"/>
      <c r="E22" s="71"/>
      <c r="F22" s="71"/>
      <c r="G22" s="71"/>
      <c r="H22" s="71"/>
      <c r="I22" s="72"/>
      <c r="J22" s="70"/>
      <c r="K22" s="71"/>
      <c r="L22" s="71"/>
      <c r="M22" s="71"/>
      <c r="N22" s="71"/>
      <c r="O22" s="71"/>
      <c r="P22" s="72"/>
      <c r="Q22" s="67"/>
      <c r="R22" s="68"/>
      <c r="S22" s="68"/>
      <c r="T22" s="68"/>
      <c r="U22" s="68"/>
      <c r="V22" s="68"/>
      <c r="W22" s="69"/>
      <c r="X22" s="67"/>
      <c r="Y22" s="68"/>
      <c r="Z22" s="68"/>
      <c r="AA22" s="68"/>
      <c r="AB22" s="68"/>
      <c r="AC22" s="68"/>
      <c r="AD22" s="69"/>
      <c r="AE22" s="70"/>
      <c r="AF22" s="71"/>
      <c r="AG22" s="71"/>
      <c r="AH22" s="71"/>
      <c r="AI22" s="71"/>
      <c r="AJ22" s="71"/>
      <c r="AK22" s="72"/>
      <c r="AL22" s="70"/>
      <c r="AM22" s="71"/>
      <c r="AN22" s="71"/>
      <c r="AO22" s="71"/>
      <c r="AP22" s="71"/>
      <c r="AQ22" s="71"/>
      <c r="AR22" s="72"/>
      <c r="AS22" s="67"/>
      <c r="AT22" s="68"/>
      <c r="AU22" s="68"/>
      <c r="AV22" s="68"/>
      <c r="AW22" s="68"/>
      <c r="AX22" s="68"/>
      <c r="AY22" s="69"/>
      <c r="AZ22" s="67"/>
      <c r="BA22" s="68"/>
      <c r="BB22" s="68"/>
      <c r="BC22" s="68"/>
      <c r="BD22" s="68"/>
      <c r="BE22" s="68"/>
      <c r="BF22" s="69"/>
      <c r="BG22" s="70"/>
      <c r="BH22" s="71"/>
      <c r="BI22" s="71"/>
      <c r="BJ22" s="71"/>
      <c r="BK22" s="71"/>
      <c r="BL22" s="71"/>
      <c r="BM22" s="72"/>
      <c r="BN22" s="70"/>
      <c r="BO22" s="71"/>
      <c r="BP22" s="71"/>
      <c r="BQ22" s="71"/>
      <c r="BR22" s="71"/>
      <c r="BS22" s="71"/>
      <c r="BT22" s="72"/>
      <c r="BU22" s="59"/>
      <c r="BV22" s="59"/>
      <c r="BW22" s="59"/>
      <c r="BX22" s="59"/>
      <c r="BY22" s="59"/>
      <c r="BZ22" s="59"/>
      <c r="CA22" s="59"/>
    </row>
    <row r="23" spans="1:79">
      <c r="A23" s="59"/>
      <c r="B23" s="44">
        <f t="shared" si="0"/>
        <v>1942</v>
      </c>
      <c r="C23" s="70"/>
      <c r="D23" s="71"/>
      <c r="E23" s="71"/>
      <c r="F23" s="71"/>
      <c r="G23" s="71"/>
      <c r="H23" s="71"/>
      <c r="I23" s="72"/>
      <c r="J23" s="70"/>
      <c r="K23" s="71"/>
      <c r="L23" s="71"/>
      <c r="M23" s="71"/>
      <c r="N23" s="71"/>
      <c r="O23" s="71"/>
      <c r="P23" s="72"/>
      <c r="Q23" s="67"/>
      <c r="R23" s="68"/>
      <c r="S23" s="68"/>
      <c r="T23" s="68"/>
      <c r="U23" s="68"/>
      <c r="V23" s="68"/>
      <c r="W23" s="69"/>
      <c r="X23" s="67"/>
      <c r="Y23" s="68"/>
      <c r="Z23" s="68"/>
      <c r="AA23" s="68"/>
      <c r="AB23" s="68"/>
      <c r="AC23" s="68"/>
      <c r="AD23" s="69"/>
      <c r="AE23" s="70"/>
      <c r="AF23" s="71"/>
      <c r="AG23" s="71"/>
      <c r="AH23" s="71"/>
      <c r="AI23" s="71"/>
      <c r="AJ23" s="71"/>
      <c r="AK23" s="72"/>
      <c r="AL23" s="70"/>
      <c r="AM23" s="71"/>
      <c r="AN23" s="71"/>
      <c r="AO23" s="71"/>
      <c r="AP23" s="71"/>
      <c r="AQ23" s="71"/>
      <c r="AR23" s="72"/>
      <c r="AS23" s="67"/>
      <c r="AT23" s="68"/>
      <c r="AU23" s="68"/>
      <c r="AV23" s="68"/>
      <c r="AW23" s="68"/>
      <c r="AX23" s="68"/>
      <c r="AY23" s="69"/>
      <c r="AZ23" s="67"/>
      <c r="BA23" s="68"/>
      <c r="BB23" s="68"/>
      <c r="BC23" s="68"/>
      <c r="BD23" s="68"/>
      <c r="BE23" s="68"/>
      <c r="BF23" s="69"/>
      <c r="BG23" s="70"/>
      <c r="BH23" s="71"/>
      <c r="BI23" s="71"/>
      <c r="BJ23" s="71"/>
      <c r="BK23" s="71"/>
      <c r="BL23" s="71"/>
      <c r="BM23" s="72"/>
      <c r="BN23" s="70"/>
      <c r="BO23" s="71"/>
      <c r="BP23" s="71"/>
      <c r="BQ23" s="71"/>
      <c r="BR23" s="71"/>
      <c r="BS23" s="71"/>
      <c r="BT23" s="72"/>
      <c r="BU23" s="59"/>
      <c r="BV23" s="59"/>
      <c r="BW23" s="59"/>
      <c r="BX23" s="59"/>
      <c r="BY23" s="59"/>
      <c r="BZ23" s="59"/>
      <c r="CA23" s="59"/>
    </row>
    <row r="24" spans="1:79">
      <c r="A24" s="59"/>
      <c r="B24" s="44">
        <f t="shared" si="0"/>
        <v>1943</v>
      </c>
      <c r="C24" s="70"/>
      <c r="D24" s="71"/>
      <c r="E24" s="71"/>
      <c r="F24" s="71"/>
      <c r="G24" s="71"/>
      <c r="H24" s="71"/>
      <c r="I24" s="72"/>
      <c r="J24" s="70"/>
      <c r="K24" s="71"/>
      <c r="L24" s="71"/>
      <c r="M24" s="71"/>
      <c r="N24" s="71"/>
      <c r="O24" s="71"/>
      <c r="P24" s="72"/>
      <c r="Q24" s="67"/>
      <c r="R24" s="68"/>
      <c r="S24" s="68"/>
      <c r="T24" s="68"/>
      <c r="U24" s="68"/>
      <c r="V24" s="68"/>
      <c r="W24" s="69"/>
      <c r="X24" s="67"/>
      <c r="Y24" s="68"/>
      <c r="Z24" s="68"/>
      <c r="AA24" s="68"/>
      <c r="AB24" s="68"/>
      <c r="AC24" s="68"/>
      <c r="AD24" s="69"/>
      <c r="AE24" s="70"/>
      <c r="AF24" s="71"/>
      <c r="AG24" s="71"/>
      <c r="AH24" s="71"/>
      <c r="AI24" s="71"/>
      <c r="AJ24" s="71"/>
      <c r="AK24" s="72"/>
      <c r="AL24" s="70"/>
      <c r="AM24" s="71"/>
      <c r="AN24" s="71"/>
      <c r="AO24" s="71"/>
      <c r="AP24" s="71"/>
      <c r="AQ24" s="71"/>
      <c r="AR24" s="72"/>
      <c r="AS24" s="67"/>
      <c r="AT24" s="68"/>
      <c r="AU24" s="68"/>
      <c r="AV24" s="68"/>
      <c r="AW24" s="68"/>
      <c r="AX24" s="68"/>
      <c r="AY24" s="69"/>
      <c r="AZ24" s="67"/>
      <c r="BA24" s="68"/>
      <c r="BB24" s="68"/>
      <c r="BC24" s="68"/>
      <c r="BD24" s="68"/>
      <c r="BE24" s="68"/>
      <c r="BF24" s="69"/>
      <c r="BG24" s="70"/>
      <c r="BH24" s="71"/>
      <c r="BI24" s="71"/>
      <c r="BJ24" s="71"/>
      <c r="BK24" s="71"/>
      <c r="BL24" s="71"/>
      <c r="BM24" s="72"/>
      <c r="BN24" s="70"/>
      <c r="BO24" s="71"/>
      <c r="BP24" s="71"/>
      <c r="BQ24" s="71"/>
      <c r="BR24" s="71"/>
      <c r="BS24" s="71"/>
      <c r="BT24" s="72"/>
      <c r="BU24" s="59"/>
      <c r="BV24" s="59"/>
      <c r="BW24" s="59"/>
      <c r="BX24" s="59"/>
      <c r="BY24" s="59"/>
      <c r="BZ24" s="59"/>
      <c r="CA24" s="59"/>
    </row>
    <row r="25" spans="1:79">
      <c r="A25" s="59"/>
      <c r="B25" s="44">
        <f t="shared" si="0"/>
        <v>1944</v>
      </c>
      <c r="C25" s="70"/>
      <c r="D25" s="71"/>
      <c r="E25" s="71"/>
      <c r="F25" s="71"/>
      <c r="G25" s="71"/>
      <c r="H25" s="71"/>
      <c r="I25" s="72"/>
      <c r="J25" s="70"/>
      <c r="K25" s="71"/>
      <c r="L25" s="71"/>
      <c r="M25" s="71"/>
      <c r="N25" s="71"/>
      <c r="O25" s="71"/>
      <c r="P25" s="72"/>
      <c r="Q25" s="67"/>
      <c r="R25" s="68"/>
      <c r="S25" s="68"/>
      <c r="T25" s="68"/>
      <c r="U25" s="68"/>
      <c r="V25" s="68"/>
      <c r="W25" s="69"/>
      <c r="X25" s="67"/>
      <c r="Y25" s="68"/>
      <c r="Z25" s="68"/>
      <c r="AA25" s="68"/>
      <c r="AB25" s="68"/>
      <c r="AC25" s="68"/>
      <c r="AD25" s="69"/>
      <c r="AE25" s="70"/>
      <c r="AF25" s="71"/>
      <c r="AG25" s="71"/>
      <c r="AH25" s="71"/>
      <c r="AI25" s="71"/>
      <c r="AJ25" s="71"/>
      <c r="AK25" s="72"/>
      <c r="AL25" s="70"/>
      <c r="AM25" s="71"/>
      <c r="AN25" s="71"/>
      <c r="AO25" s="71"/>
      <c r="AP25" s="71"/>
      <c r="AQ25" s="71"/>
      <c r="AR25" s="72"/>
      <c r="AS25" s="67"/>
      <c r="AT25" s="68"/>
      <c r="AU25" s="68"/>
      <c r="AV25" s="68"/>
      <c r="AW25" s="68"/>
      <c r="AX25" s="68"/>
      <c r="AY25" s="69"/>
      <c r="AZ25" s="67"/>
      <c r="BA25" s="68"/>
      <c r="BB25" s="68"/>
      <c r="BC25" s="68"/>
      <c r="BD25" s="68"/>
      <c r="BE25" s="68"/>
      <c r="BF25" s="69"/>
      <c r="BG25" s="70"/>
      <c r="BH25" s="71"/>
      <c r="BI25" s="71"/>
      <c r="BJ25" s="71"/>
      <c r="BK25" s="71"/>
      <c r="BL25" s="71"/>
      <c r="BM25" s="72"/>
      <c r="BN25" s="70"/>
      <c r="BO25" s="71"/>
      <c r="BP25" s="71"/>
      <c r="BQ25" s="71"/>
      <c r="BR25" s="71"/>
      <c r="BS25" s="71"/>
      <c r="BT25" s="72"/>
      <c r="BU25" s="59"/>
      <c r="BV25" s="59"/>
      <c r="BW25" s="59"/>
      <c r="BX25" s="59"/>
      <c r="BY25" s="59"/>
      <c r="BZ25" s="59"/>
      <c r="CA25" s="59"/>
    </row>
    <row r="26" spans="1:79">
      <c r="A26" s="59"/>
      <c r="B26" s="44">
        <f t="shared" si="0"/>
        <v>1945</v>
      </c>
      <c r="C26" s="70"/>
      <c r="D26" s="71"/>
      <c r="E26" s="71"/>
      <c r="F26" s="71"/>
      <c r="G26" s="71"/>
      <c r="H26" s="71"/>
      <c r="I26" s="72"/>
      <c r="J26" s="70"/>
      <c r="K26" s="71"/>
      <c r="L26" s="71"/>
      <c r="M26" s="71"/>
      <c r="N26" s="71"/>
      <c r="O26" s="71"/>
      <c r="P26" s="72"/>
      <c r="Q26" s="67"/>
      <c r="R26" s="68"/>
      <c r="S26" s="68"/>
      <c r="T26" s="68"/>
      <c r="U26" s="68"/>
      <c r="V26" s="68"/>
      <c r="W26" s="69"/>
      <c r="X26" s="67"/>
      <c r="Y26" s="68"/>
      <c r="Z26" s="68"/>
      <c r="AA26" s="68"/>
      <c r="AB26" s="68"/>
      <c r="AC26" s="68"/>
      <c r="AD26" s="69"/>
      <c r="AE26" s="70"/>
      <c r="AF26" s="71"/>
      <c r="AG26" s="71"/>
      <c r="AH26" s="71"/>
      <c r="AI26" s="71"/>
      <c r="AJ26" s="71"/>
      <c r="AK26" s="72"/>
      <c r="AL26" s="70"/>
      <c r="AM26" s="71"/>
      <c r="AN26" s="71"/>
      <c r="AO26" s="71"/>
      <c r="AP26" s="71"/>
      <c r="AQ26" s="71"/>
      <c r="AR26" s="72"/>
      <c r="AS26" s="67"/>
      <c r="AT26" s="68"/>
      <c r="AU26" s="68"/>
      <c r="AV26" s="68"/>
      <c r="AW26" s="68"/>
      <c r="AX26" s="68"/>
      <c r="AY26" s="69"/>
      <c r="AZ26" s="67"/>
      <c r="BA26" s="68"/>
      <c r="BB26" s="68"/>
      <c r="BC26" s="68"/>
      <c r="BD26" s="68"/>
      <c r="BE26" s="68"/>
      <c r="BF26" s="69"/>
      <c r="BG26" s="70"/>
      <c r="BH26" s="71"/>
      <c r="BI26" s="71"/>
      <c r="BJ26" s="71"/>
      <c r="BK26" s="71"/>
      <c r="BL26" s="71"/>
      <c r="BM26" s="72"/>
      <c r="BN26" s="70"/>
      <c r="BO26" s="71"/>
      <c r="BP26" s="71"/>
      <c r="BQ26" s="71"/>
      <c r="BR26" s="71"/>
      <c r="BS26" s="71"/>
      <c r="BT26" s="72"/>
      <c r="BU26" s="59"/>
      <c r="BV26" s="59"/>
      <c r="BW26" s="59"/>
      <c r="BX26" s="59"/>
      <c r="BY26" s="59"/>
      <c r="BZ26" s="59"/>
      <c r="CA26" s="59"/>
    </row>
    <row r="27" spans="1:79">
      <c r="A27" s="59"/>
      <c r="B27" s="44">
        <f t="shared" si="0"/>
        <v>1946</v>
      </c>
      <c r="C27" s="70"/>
      <c r="D27" s="71"/>
      <c r="E27" s="71"/>
      <c r="F27" s="71"/>
      <c r="G27" s="71"/>
      <c r="H27" s="71"/>
      <c r="I27" s="72"/>
      <c r="J27" s="70"/>
      <c r="K27" s="71"/>
      <c r="L27" s="71"/>
      <c r="M27" s="71"/>
      <c r="N27" s="71"/>
      <c r="O27" s="71"/>
      <c r="P27" s="72"/>
      <c r="Q27" s="67"/>
      <c r="R27" s="68"/>
      <c r="S27" s="68"/>
      <c r="T27" s="68"/>
      <c r="U27" s="68"/>
      <c r="V27" s="68"/>
      <c r="W27" s="69"/>
      <c r="X27" s="67"/>
      <c r="Y27" s="68"/>
      <c r="Z27" s="68"/>
      <c r="AA27" s="68"/>
      <c r="AB27" s="68"/>
      <c r="AC27" s="68"/>
      <c r="AD27" s="69"/>
      <c r="AE27" s="70"/>
      <c r="AF27" s="71"/>
      <c r="AG27" s="71"/>
      <c r="AH27" s="71"/>
      <c r="AI27" s="71"/>
      <c r="AJ27" s="71"/>
      <c r="AK27" s="72"/>
      <c r="AL27" s="70"/>
      <c r="AM27" s="71"/>
      <c r="AN27" s="71"/>
      <c r="AO27" s="71"/>
      <c r="AP27" s="71"/>
      <c r="AQ27" s="71"/>
      <c r="AR27" s="72"/>
      <c r="AS27" s="67"/>
      <c r="AT27" s="68"/>
      <c r="AU27" s="68"/>
      <c r="AV27" s="68"/>
      <c r="AW27" s="68"/>
      <c r="AX27" s="68"/>
      <c r="AY27" s="69"/>
      <c r="AZ27" s="67"/>
      <c r="BA27" s="68"/>
      <c r="BB27" s="68"/>
      <c r="BC27" s="68"/>
      <c r="BD27" s="68"/>
      <c r="BE27" s="68"/>
      <c r="BF27" s="69"/>
      <c r="BG27" s="70"/>
      <c r="BH27" s="71"/>
      <c r="BI27" s="71"/>
      <c r="BJ27" s="71"/>
      <c r="BK27" s="71"/>
      <c r="BL27" s="71"/>
      <c r="BM27" s="72"/>
      <c r="BN27" s="70"/>
      <c r="BO27" s="71"/>
      <c r="BP27" s="71"/>
      <c r="BQ27" s="71"/>
      <c r="BR27" s="71"/>
      <c r="BS27" s="71"/>
      <c r="BT27" s="72"/>
      <c r="BU27" s="59"/>
      <c r="BV27" s="59"/>
      <c r="BW27" s="59"/>
      <c r="BX27" s="59"/>
      <c r="BY27" s="59"/>
      <c r="BZ27" s="59"/>
      <c r="CA27" s="59"/>
    </row>
    <row r="28" spans="1:79">
      <c r="A28" s="59"/>
      <c r="B28" s="44">
        <f t="shared" si="0"/>
        <v>1947</v>
      </c>
      <c r="C28" s="70"/>
      <c r="D28" s="71"/>
      <c r="E28" s="71"/>
      <c r="F28" s="71"/>
      <c r="G28" s="71"/>
      <c r="H28" s="71"/>
      <c r="I28" s="72"/>
      <c r="J28" s="70"/>
      <c r="K28" s="71"/>
      <c r="L28" s="71"/>
      <c r="M28" s="71"/>
      <c r="N28" s="71"/>
      <c r="O28" s="71"/>
      <c r="P28" s="72"/>
      <c r="Q28" s="67"/>
      <c r="R28" s="68"/>
      <c r="S28" s="68"/>
      <c r="T28" s="68"/>
      <c r="U28" s="68"/>
      <c r="V28" s="68"/>
      <c r="W28" s="69"/>
      <c r="X28" s="67"/>
      <c r="Y28" s="68"/>
      <c r="Z28" s="68"/>
      <c r="AA28" s="68"/>
      <c r="AB28" s="68"/>
      <c r="AC28" s="68"/>
      <c r="AD28" s="69"/>
      <c r="AE28" s="70"/>
      <c r="AF28" s="71"/>
      <c r="AG28" s="71"/>
      <c r="AH28" s="71"/>
      <c r="AI28" s="71"/>
      <c r="AJ28" s="71"/>
      <c r="AK28" s="72"/>
      <c r="AL28" s="70"/>
      <c r="AM28" s="71"/>
      <c r="AN28" s="71"/>
      <c r="AO28" s="71"/>
      <c r="AP28" s="71"/>
      <c r="AQ28" s="71"/>
      <c r="AR28" s="72"/>
      <c r="AS28" s="67"/>
      <c r="AT28" s="68"/>
      <c r="AU28" s="68"/>
      <c r="AV28" s="68"/>
      <c r="AW28" s="68"/>
      <c r="AX28" s="68"/>
      <c r="AY28" s="69"/>
      <c r="AZ28" s="67"/>
      <c r="BA28" s="68"/>
      <c r="BB28" s="68"/>
      <c r="BC28" s="68"/>
      <c r="BD28" s="68"/>
      <c r="BE28" s="68"/>
      <c r="BF28" s="69"/>
      <c r="BG28" s="70"/>
      <c r="BH28" s="71"/>
      <c r="BI28" s="71"/>
      <c r="BJ28" s="71"/>
      <c r="BK28" s="71"/>
      <c r="BL28" s="71"/>
      <c r="BM28" s="72"/>
      <c r="BN28" s="70"/>
      <c r="BO28" s="71"/>
      <c r="BP28" s="71"/>
      <c r="BQ28" s="71"/>
      <c r="BR28" s="71"/>
      <c r="BS28" s="71"/>
      <c r="BT28" s="72"/>
      <c r="BU28" s="59"/>
      <c r="BV28" s="59"/>
      <c r="BW28" s="59"/>
      <c r="BX28" s="59"/>
      <c r="BY28" s="59"/>
      <c r="BZ28" s="59"/>
      <c r="CA28" s="59"/>
    </row>
    <row r="29" spans="1:79">
      <c r="A29" s="59"/>
      <c r="B29" s="44">
        <f t="shared" si="0"/>
        <v>1948</v>
      </c>
      <c r="C29" s="70"/>
      <c r="D29" s="71"/>
      <c r="E29" s="71"/>
      <c r="F29" s="71"/>
      <c r="G29" s="71"/>
      <c r="H29" s="71"/>
      <c r="I29" s="72"/>
      <c r="J29" s="70"/>
      <c r="K29" s="71"/>
      <c r="L29" s="71"/>
      <c r="M29" s="71"/>
      <c r="N29" s="71"/>
      <c r="O29" s="71"/>
      <c r="P29" s="72"/>
      <c r="Q29" s="67"/>
      <c r="R29" s="68"/>
      <c r="S29" s="68"/>
      <c r="T29" s="68"/>
      <c r="U29" s="68"/>
      <c r="V29" s="68"/>
      <c r="W29" s="69"/>
      <c r="X29" s="67"/>
      <c r="Y29" s="68"/>
      <c r="Z29" s="68"/>
      <c r="AA29" s="68"/>
      <c r="AB29" s="68"/>
      <c r="AC29" s="68"/>
      <c r="AD29" s="69"/>
      <c r="AE29" s="70"/>
      <c r="AF29" s="71"/>
      <c r="AG29" s="71"/>
      <c r="AH29" s="71"/>
      <c r="AI29" s="71"/>
      <c r="AJ29" s="71"/>
      <c r="AK29" s="72"/>
      <c r="AL29" s="70"/>
      <c r="AM29" s="71"/>
      <c r="AN29" s="71"/>
      <c r="AO29" s="71"/>
      <c r="AP29" s="71"/>
      <c r="AQ29" s="71"/>
      <c r="AR29" s="72"/>
      <c r="AS29" s="67"/>
      <c r="AT29" s="68"/>
      <c r="AU29" s="68"/>
      <c r="AV29" s="68"/>
      <c r="AW29" s="68"/>
      <c r="AX29" s="68"/>
      <c r="AY29" s="69"/>
      <c r="AZ29" s="67"/>
      <c r="BA29" s="68"/>
      <c r="BB29" s="68"/>
      <c r="BC29" s="68"/>
      <c r="BD29" s="68"/>
      <c r="BE29" s="68"/>
      <c r="BF29" s="69"/>
      <c r="BG29" s="70"/>
      <c r="BH29" s="71"/>
      <c r="BI29" s="71"/>
      <c r="BJ29" s="71"/>
      <c r="BK29" s="71"/>
      <c r="BL29" s="71"/>
      <c r="BM29" s="72"/>
      <c r="BN29" s="70"/>
      <c r="BO29" s="71"/>
      <c r="BP29" s="71"/>
      <c r="BQ29" s="71"/>
      <c r="BR29" s="71"/>
      <c r="BS29" s="71"/>
      <c r="BT29" s="72"/>
      <c r="BU29" s="59"/>
      <c r="BV29" s="59"/>
      <c r="BW29" s="59"/>
      <c r="BX29" s="59"/>
      <c r="BY29" s="59"/>
      <c r="BZ29" s="59"/>
      <c r="CA29" s="59"/>
    </row>
    <row r="30" spans="1:79">
      <c r="A30" s="59"/>
      <c r="B30" s="44">
        <f t="shared" si="0"/>
        <v>1949</v>
      </c>
      <c r="C30" s="70"/>
      <c r="D30" s="71"/>
      <c r="E30" s="71"/>
      <c r="F30" s="71"/>
      <c r="G30" s="71"/>
      <c r="H30" s="71"/>
      <c r="I30" s="72"/>
      <c r="J30" s="70"/>
      <c r="K30" s="71"/>
      <c r="L30" s="71"/>
      <c r="M30" s="71"/>
      <c r="N30" s="71"/>
      <c r="O30" s="71"/>
      <c r="P30" s="72"/>
      <c r="Q30" s="67"/>
      <c r="R30" s="68"/>
      <c r="S30" s="68"/>
      <c r="T30" s="68"/>
      <c r="U30" s="68"/>
      <c r="V30" s="68"/>
      <c r="W30" s="69"/>
      <c r="X30" s="67"/>
      <c r="Y30" s="68"/>
      <c r="Z30" s="68"/>
      <c r="AA30" s="68"/>
      <c r="AB30" s="68"/>
      <c r="AC30" s="68"/>
      <c r="AD30" s="69"/>
      <c r="AE30" s="70"/>
      <c r="AF30" s="71"/>
      <c r="AG30" s="71"/>
      <c r="AH30" s="71"/>
      <c r="AI30" s="71"/>
      <c r="AJ30" s="71"/>
      <c r="AK30" s="72"/>
      <c r="AL30" s="70"/>
      <c r="AM30" s="71"/>
      <c r="AN30" s="71"/>
      <c r="AO30" s="71"/>
      <c r="AP30" s="71"/>
      <c r="AQ30" s="71"/>
      <c r="AR30" s="72"/>
      <c r="AS30" s="67"/>
      <c r="AT30" s="68"/>
      <c r="AU30" s="68"/>
      <c r="AV30" s="68"/>
      <c r="AW30" s="68"/>
      <c r="AX30" s="68"/>
      <c r="AY30" s="69"/>
      <c r="AZ30" s="67"/>
      <c r="BA30" s="68"/>
      <c r="BB30" s="68"/>
      <c r="BC30" s="68"/>
      <c r="BD30" s="68"/>
      <c r="BE30" s="68"/>
      <c r="BF30" s="69"/>
      <c r="BG30" s="70"/>
      <c r="BH30" s="71"/>
      <c r="BI30" s="71"/>
      <c r="BJ30" s="71"/>
      <c r="BK30" s="71"/>
      <c r="BL30" s="71"/>
      <c r="BM30" s="72"/>
      <c r="BN30" s="70"/>
      <c r="BO30" s="71"/>
      <c r="BP30" s="71"/>
      <c r="BQ30" s="71"/>
      <c r="BR30" s="71"/>
      <c r="BS30" s="71"/>
      <c r="BT30" s="72"/>
      <c r="BU30" s="59"/>
      <c r="BV30" s="59"/>
      <c r="BW30" s="59"/>
      <c r="BX30" s="59"/>
      <c r="BY30" s="59"/>
      <c r="BZ30" s="59"/>
      <c r="CA30" s="59"/>
    </row>
    <row r="31" spans="1:79">
      <c r="A31" s="59"/>
      <c r="B31" s="44">
        <f t="shared" si="0"/>
        <v>1950</v>
      </c>
      <c r="C31" s="70"/>
      <c r="D31" s="71"/>
      <c r="E31" s="71"/>
      <c r="F31" s="71"/>
      <c r="G31" s="71"/>
      <c r="H31" s="71"/>
      <c r="I31" s="72"/>
      <c r="J31" s="70"/>
      <c r="K31" s="71"/>
      <c r="L31" s="71"/>
      <c r="M31" s="71"/>
      <c r="N31" s="71"/>
      <c r="O31" s="71"/>
      <c r="P31" s="72"/>
      <c r="Q31" s="67"/>
      <c r="R31" s="68"/>
      <c r="S31" s="68"/>
      <c r="T31" s="68"/>
      <c r="U31" s="68"/>
      <c r="V31" s="68"/>
      <c r="W31" s="69"/>
      <c r="X31" s="67"/>
      <c r="Y31" s="68"/>
      <c r="Z31" s="68"/>
      <c r="AA31" s="68"/>
      <c r="AB31" s="68"/>
      <c r="AC31" s="68"/>
      <c r="AD31" s="69"/>
      <c r="AE31" s="70"/>
      <c r="AF31" s="71"/>
      <c r="AG31" s="71"/>
      <c r="AH31" s="71"/>
      <c r="AI31" s="71"/>
      <c r="AJ31" s="71"/>
      <c r="AK31" s="72"/>
      <c r="AL31" s="70"/>
      <c r="AM31" s="71"/>
      <c r="AN31" s="71"/>
      <c r="AO31" s="71"/>
      <c r="AP31" s="71"/>
      <c r="AQ31" s="71"/>
      <c r="AR31" s="72"/>
      <c r="AS31" s="67"/>
      <c r="AT31" s="68"/>
      <c r="AU31" s="68"/>
      <c r="AV31" s="68"/>
      <c r="AW31" s="68"/>
      <c r="AX31" s="68"/>
      <c r="AY31" s="69"/>
      <c r="AZ31" s="67"/>
      <c r="BA31" s="68"/>
      <c r="BB31" s="68"/>
      <c r="BC31" s="68"/>
      <c r="BD31" s="68"/>
      <c r="BE31" s="68"/>
      <c r="BF31" s="69"/>
      <c r="BG31" s="70"/>
      <c r="BH31" s="71"/>
      <c r="BI31" s="71"/>
      <c r="BJ31" s="71"/>
      <c r="BK31" s="71"/>
      <c r="BL31" s="71"/>
      <c r="BM31" s="72"/>
      <c r="BN31" s="70"/>
      <c r="BO31" s="71"/>
      <c r="BP31" s="71"/>
      <c r="BQ31" s="71"/>
      <c r="BR31" s="71"/>
      <c r="BS31" s="71"/>
      <c r="BT31" s="72"/>
      <c r="BU31" s="59"/>
      <c r="BV31" s="59"/>
      <c r="BW31" s="59"/>
      <c r="BX31" s="59"/>
      <c r="BY31" s="59"/>
      <c r="BZ31" s="59"/>
      <c r="CA31" s="59"/>
    </row>
    <row r="32" spans="1:79">
      <c r="A32" s="59"/>
      <c r="B32" s="44">
        <f t="shared" si="0"/>
        <v>1951</v>
      </c>
      <c r="C32" s="70"/>
      <c r="D32" s="71"/>
      <c r="E32" s="71"/>
      <c r="F32" s="71"/>
      <c r="G32" s="71"/>
      <c r="H32" s="71"/>
      <c r="I32" s="72"/>
      <c r="J32" s="70"/>
      <c r="K32" s="71"/>
      <c r="L32" s="71"/>
      <c r="M32" s="71"/>
      <c r="N32" s="71"/>
      <c r="O32" s="71"/>
      <c r="P32" s="72"/>
      <c r="Q32" s="67"/>
      <c r="R32" s="68"/>
      <c r="S32" s="68"/>
      <c r="T32" s="68"/>
      <c r="U32" s="68"/>
      <c r="V32" s="68"/>
      <c r="W32" s="69"/>
      <c r="X32" s="67"/>
      <c r="Y32" s="68"/>
      <c r="Z32" s="68"/>
      <c r="AA32" s="68"/>
      <c r="AB32" s="68"/>
      <c r="AC32" s="68"/>
      <c r="AD32" s="69"/>
      <c r="AE32" s="70"/>
      <c r="AF32" s="71"/>
      <c r="AG32" s="71"/>
      <c r="AH32" s="71"/>
      <c r="AI32" s="71"/>
      <c r="AJ32" s="71"/>
      <c r="AK32" s="72"/>
      <c r="AL32" s="70"/>
      <c r="AM32" s="71"/>
      <c r="AN32" s="71"/>
      <c r="AO32" s="71"/>
      <c r="AP32" s="71"/>
      <c r="AQ32" s="71"/>
      <c r="AR32" s="72"/>
      <c r="AS32" s="67"/>
      <c r="AT32" s="68"/>
      <c r="AU32" s="68"/>
      <c r="AV32" s="68"/>
      <c r="AW32" s="68"/>
      <c r="AX32" s="68"/>
      <c r="AY32" s="69"/>
      <c r="AZ32" s="67"/>
      <c r="BA32" s="68"/>
      <c r="BB32" s="68"/>
      <c r="BC32" s="68"/>
      <c r="BD32" s="68"/>
      <c r="BE32" s="68"/>
      <c r="BF32" s="69"/>
      <c r="BG32" s="70"/>
      <c r="BH32" s="71"/>
      <c r="BI32" s="71"/>
      <c r="BJ32" s="71"/>
      <c r="BK32" s="71"/>
      <c r="BL32" s="71"/>
      <c r="BM32" s="72"/>
      <c r="BN32" s="70"/>
      <c r="BO32" s="71"/>
      <c r="BP32" s="71"/>
      <c r="BQ32" s="71"/>
      <c r="BR32" s="71"/>
      <c r="BS32" s="71"/>
      <c r="BT32" s="72"/>
      <c r="BU32" s="59"/>
      <c r="BV32" s="59"/>
      <c r="BW32" s="59"/>
      <c r="BX32" s="59"/>
      <c r="BY32" s="59"/>
      <c r="BZ32" s="59"/>
      <c r="CA32" s="59"/>
    </row>
    <row r="33" spans="1:79">
      <c r="A33" s="59"/>
      <c r="B33" s="44">
        <f t="shared" si="0"/>
        <v>1952</v>
      </c>
      <c r="C33" s="70"/>
      <c r="D33" s="71"/>
      <c r="E33" s="71"/>
      <c r="F33" s="71"/>
      <c r="G33" s="71"/>
      <c r="H33" s="71"/>
      <c r="I33" s="72"/>
      <c r="J33" s="70"/>
      <c r="K33" s="71"/>
      <c r="L33" s="71"/>
      <c r="M33" s="71"/>
      <c r="N33" s="71"/>
      <c r="O33" s="71"/>
      <c r="P33" s="72"/>
      <c r="Q33" s="67"/>
      <c r="R33" s="68"/>
      <c r="S33" s="68"/>
      <c r="T33" s="68"/>
      <c r="U33" s="68"/>
      <c r="V33" s="68"/>
      <c r="W33" s="69"/>
      <c r="X33" s="67"/>
      <c r="Y33" s="68"/>
      <c r="Z33" s="68"/>
      <c r="AA33" s="68"/>
      <c r="AB33" s="68"/>
      <c r="AC33" s="68"/>
      <c r="AD33" s="69"/>
      <c r="AE33" s="70"/>
      <c r="AF33" s="71"/>
      <c r="AG33" s="71"/>
      <c r="AH33" s="71"/>
      <c r="AI33" s="71"/>
      <c r="AJ33" s="71"/>
      <c r="AK33" s="72"/>
      <c r="AL33" s="70"/>
      <c r="AM33" s="71"/>
      <c r="AN33" s="71"/>
      <c r="AO33" s="71"/>
      <c r="AP33" s="71"/>
      <c r="AQ33" s="71"/>
      <c r="AR33" s="72"/>
      <c r="AS33" s="67"/>
      <c r="AT33" s="68"/>
      <c r="AU33" s="68"/>
      <c r="AV33" s="68"/>
      <c r="AW33" s="68"/>
      <c r="AX33" s="68"/>
      <c r="AY33" s="69"/>
      <c r="AZ33" s="67"/>
      <c r="BA33" s="68"/>
      <c r="BB33" s="68"/>
      <c r="BC33" s="68"/>
      <c r="BD33" s="68"/>
      <c r="BE33" s="68"/>
      <c r="BF33" s="69"/>
      <c r="BG33" s="70"/>
      <c r="BH33" s="71"/>
      <c r="BI33" s="71"/>
      <c r="BJ33" s="71"/>
      <c r="BK33" s="71"/>
      <c r="BL33" s="71"/>
      <c r="BM33" s="72"/>
      <c r="BN33" s="70"/>
      <c r="BO33" s="71"/>
      <c r="BP33" s="71"/>
      <c r="BQ33" s="71"/>
      <c r="BR33" s="71"/>
      <c r="BS33" s="71"/>
      <c r="BT33" s="72"/>
      <c r="BU33" s="59"/>
      <c r="BV33" s="59"/>
      <c r="BW33" s="59"/>
      <c r="BX33" s="59"/>
      <c r="BY33" s="59"/>
      <c r="BZ33" s="59"/>
      <c r="CA33" s="59"/>
    </row>
    <row r="34" spans="1:79">
      <c r="A34" s="59"/>
      <c r="B34" s="44">
        <f t="shared" si="0"/>
        <v>1953</v>
      </c>
      <c r="C34" s="70"/>
      <c r="D34" s="71"/>
      <c r="E34" s="71"/>
      <c r="F34" s="71"/>
      <c r="G34" s="71"/>
      <c r="H34" s="71"/>
      <c r="I34" s="72"/>
      <c r="J34" s="70"/>
      <c r="K34" s="71"/>
      <c r="L34" s="71"/>
      <c r="M34" s="71"/>
      <c r="N34" s="71"/>
      <c r="O34" s="71"/>
      <c r="P34" s="72"/>
      <c r="Q34" s="67"/>
      <c r="R34" s="68"/>
      <c r="S34" s="68"/>
      <c r="T34" s="68"/>
      <c r="U34" s="68"/>
      <c r="V34" s="68"/>
      <c r="W34" s="69"/>
      <c r="X34" s="67"/>
      <c r="Y34" s="68"/>
      <c r="Z34" s="68"/>
      <c r="AA34" s="68"/>
      <c r="AB34" s="68"/>
      <c r="AC34" s="68"/>
      <c r="AD34" s="69"/>
      <c r="AE34" s="70"/>
      <c r="AF34" s="71"/>
      <c r="AG34" s="71"/>
      <c r="AH34" s="71"/>
      <c r="AI34" s="71"/>
      <c r="AJ34" s="71"/>
      <c r="AK34" s="72"/>
      <c r="AL34" s="70"/>
      <c r="AM34" s="71"/>
      <c r="AN34" s="71"/>
      <c r="AO34" s="71"/>
      <c r="AP34" s="71"/>
      <c r="AQ34" s="71"/>
      <c r="AR34" s="72"/>
      <c r="AS34" s="67"/>
      <c r="AT34" s="68"/>
      <c r="AU34" s="68"/>
      <c r="AV34" s="68"/>
      <c r="AW34" s="68"/>
      <c r="AX34" s="68"/>
      <c r="AY34" s="69"/>
      <c r="AZ34" s="67"/>
      <c r="BA34" s="68"/>
      <c r="BB34" s="68"/>
      <c r="BC34" s="68"/>
      <c r="BD34" s="68"/>
      <c r="BE34" s="68"/>
      <c r="BF34" s="69"/>
      <c r="BG34" s="70"/>
      <c r="BH34" s="71"/>
      <c r="BI34" s="71"/>
      <c r="BJ34" s="71"/>
      <c r="BK34" s="71"/>
      <c r="BL34" s="71"/>
      <c r="BM34" s="72"/>
      <c r="BN34" s="70"/>
      <c r="BO34" s="71"/>
      <c r="BP34" s="71"/>
      <c r="BQ34" s="71"/>
      <c r="BR34" s="71"/>
      <c r="BS34" s="71"/>
      <c r="BT34" s="72"/>
      <c r="BU34" s="59"/>
      <c r="BV34" s="59"/>
      <c r="BW34" s="59"/>
      <c r="BX34" s="59"/>
      <c r="BY34" s="59"/>
      <c r="BZ34" s="59"/>
      <c r="CA34" s="59"/>
    </row>
    <row r="35" spans="1:79">
      <c r="A35" s="59"/>
      <c r="B35" s="44">
        <f t="shared" si="0"/>
        <v>1954</v>
      </c>
      <c r="C35" s="70"/>
      <c r="D35" s="71"/>
      <c r="E35" s="71"/>
      <c r="F35" s="71"/>
      <c r="G35" s="71"/>
      <c r="H35" s="71"/>
      <c r="I35" s="72"/>
      <c r="J35" s="70"/>
      <c r="K35" s="71"/>
      <c r="L35" s="71"/>
      <c r="M35" s="71"/>
      <c r="N35" s="71"/>
      <c r="O35" s="71"/>
      <c r="P35" s="72"/>
      <c r="Q35" s="67"/>
      <c r="R35" s="68"/>
      <c r="S35" s="68"/>
      <c r="T35" s="68"/>
      <c r="U35" s="68"/>
      <c r="V35" s="68"/>
      <c r="W35" s="69"/>
      <c r="X35" s="67"/>
      <c r="Y35" s="68"/>
      <c r="Z35" s="68"/>
      <c r="AA35" s="68"/>
      <c r="AB35" s="68"/>
      <c r="AC35" s="68"/>
      <c r="AD35" s="69"/>
      <c r="AE35" s="70"/>
      <c r="AF35" s="71"/>
      <c r="AG35" s="71"/>
      <c r="AH35" s="71"/>
      <c r="AI35" s="71"/>
      <c r="AJ35" s="71"/>
      <c r="AK35" s="72"/>
      <c r="AL35" s="70"/>
      <c r="AM35" s="71"/>
      <c r="AN35" s="71"/>
      <c r="AO35" s="71"/>
      <c r="AP35" s="71"/>
      <c r="AQ35" s="71"/>
      <c r="AR35" s="72"/>
      <c r="AS35" s="67"/>
      <c r="AT35" s="68"/>
      <c r="AU35" s="68"/>
      <c r="AV35" s="68"/>
      <c r="AW35" s="68"/>
      <c r="AX35" s="68"/>
      <c r="AY35" s="69"/>
      <c r="AZ35" s="67"/>
      <c r="BA35" s="68"/>
      <c r="BB35" s="68"/>
      <c r="BC35" s="68"/>
      <c r="BD35" s="68"/>
      <c r="BE35" s="68"/>
      <c r="BF35" s="69"/>
      <c r="BG35" s="70"/>
      <c r="BH35" s="71"/>
      <c r="BI35" s="71"/>
      <c r="BJ35" s="71"/>
      <c r="BK35" s="71"/>
      <c r="BL35" s="71"/>
      <c r="BM35" s="72"/>
      <c r="BN35" s="70"/>
      <c r="BO35" s="71"/>
      <c r="BP35" s="71"/>
      <c r="BQ35" s="71"/>
      <c r="BR35" s="71"/>
      <c r="BS35" s="71"/>
      <c r="BT35" s="72"/>
      <c r="BU35" s="59"/>
      <c r="BV35" s="59"/>
      <c r="BW35" s="59"/>
      <c r="BX35" s="59"/>
      <c r="BY35" s="59"/>
      <c r="BZ35" s="59"/>
      <c r="CA35" s="59"/>
    </row>
    <row r="36" spans="1:79">
      <c r="A36" s="59"/>
      <c r="B36" s="44">
        <f t="shared" si="0"/>
        <v>1955</v>
      </c>
      <c r="C36" s="70"/>
      <c r="D36" s="71"/>
      <c r="E36" s="71"/>
      <c r="F36" s="71"/>
      <c r="G36" s="71"/>
      <c r="H36" s="71"/>
      <c r="I36" s="72"/>
      <c r="J36" s="70"/>
      <c r="K36" s="71"/>
      <c r="L36" s="71"/>
      <c r="M36" s="71"/>
      <c r="N36" s="71"/>
      <c r="O36" s="71"/>
      <c r="P36" s="72"/>
      <c r="Q36" s="67"/>
      <c r="R36" s="68"/>
      <c r="S36" s="68"/>
      <c r="T36" s="68"/>
      <c r="U36" s="68"/>
      <c r="V36" s="68"/>
      <c r="W36" s="69"/>
      <c r="X36" s="67"/>
      <c r="Y36" s="68"/>
      <c r="Z36" s="68"/>
      <c r="AA36" s="68"/>
      <c r="AB36" s="68"/>
      <c r="AC36" s="68"/>
      <c r="AD36" s="69"/>
      <c r="AE36" s="70"/>
      <c r="AF36" s="71"/>
      <c r="AG36" s="71"/>
      <c r="AH36" s="71"/>
      <c r="AI36" s="71"/>
      <c r="AJ36" s="71"/>
      <c r="AK36" s="72"/>
      <c r="AL36" s="70"/>
      <c r="AM36" s="71"/>
      <c r="AN36" s="71"/>
      <c r="AO36" s="71"/>
      <c r="AP36" s="71"/>
      <c r="AQ36" s="71"/>
      <c r="AR36" s="72"/>
      <c r="AS36" s="67"/>
      <c r="AT36" s="68"/>
      <c r="AU36" s="68"/>
      <c r="AV36" s="68"/>
      <c r="AW36" s="68"/>
      <c r="AX36" s="68"/>
      <c r="AY36" s="69"/>
      <c r="AZ36" s="67"/>
      <c r="BA36" s="68"/>
      <c r="BB36" s="68"/>
      <c r="BC36" s="68"/>
      <c r="BD36" s="68"/>
      <c r="BE36" s="68"/>
      <c r="BF36" s="69"/>
      <c r="BG36" s="70"/>
      <c r="BH36" s="71"/>
      <c r="BI36" s="71"/>
      <c r="BJ36" s="71"/>
      <c r="BK36" s="71"/>
      <c r="BL36" s="71"/>
      <c r="BM36" s="72"/>
      <c r="BN36" s="70"/>
      <c r="BO36" s="71"/>
      <c r="BP36" s="71"/>
      <c r="BQ36" s="71"/>
      <c r="BR36" s="71"/>
      <c r="BS36" s="71"/>
      <c r="BT36" s="72"/>
      <c r="BU36" s="59"/>
      <c r="BV36" s="59"/>
      <c r="BW36" s="59"/>
      <c r="BX36" s="59"/>
      <c r="BY36" s="59"/>
      <c r="BZ36" s="59"/>
      <c r="CA36" s="59"/>
    </row>
    <row r="37" spans="1:79">
      <c r="A37" s="59"/>
      <c r="B37" s="44">
        <f t="shared" si="0"/>
        <v>1956</v>
      </c>
      <c r="C37" s="70"/>
      <c r="D37" s="71"/>
      <c r="E37" s="71"/>
      <c r="F37" s="71"/>
      <c r="G37" s="71"/>
      <c r="H37" s="71"/>
      <c r="I37" s="72"/>
      <c r="J37" s="70"/>
      <c r="K37" s="71"/>
      <c r="L37" s="71"/>
      <c r="M37" s="71"/>
      <c r="N37" s="71"/>
      <c r="O37" s="71"/>
      <c r="P37" s="72"/>
      <c r="Q37" s="67"/>
      <c r="R37" s="68"/>
      <c r="S37" s="68"/>
      <c r="T37" s="68"/>
      <c r="U37" s="68"/>
      <c r="V37" s="68"/>
      <c r="W37" s="69"/>
      <c r="X37" s="67"/>
      <c r="Y37" s="68"/>
      <c r="Z37" s="68"/>
      <c r="AA37" s="68"/>
      <c r="AB37" s="68"/>
      <c r="AC37" s="68"/>
      <c r="AD37" s="69"/>
      <c r="AE37" s="70"/>
      <c r="AF37" s="71"/>
      <c r="AG37" s="71"/>
      <c r="AH37" s="71"/>
      <c r="AI37" s="71"/>
      <c r="AJ37" s="71"/>
      <c r="AK37" s="72"/>
      <c r="AL37" s="70"/>
      <c r="AM37" s="71"/>
      <c r="AN37" s="71"/>
      <c r="AO37" s="71"/>
      <c r="AP37" s="71"/>
      <c r="AQ37" s="71"/>
      <c r="AR37" s="72"/>
      <c r="AS37" s="67"/>
      <c r="AT37" s="68"/>
      <c r="AU37" s="68"/>
      <c r="AV37" s="68"/>
      <c r="AW37" s="68"/>
      <c r="AX37" s="68"/>
      <c r="AY37" s="69"/>
      <c r="AZ37" s="67"/>
      <c r="BA37" s="68"/>
      <c r="BB37" s="68"/>
      <c r="BC37" s="68"/>
      <c r="BD37" s="68"/>
      <c r="BE37" s="68"/>
      <c r="BF37" s="69"/>
      <c r="BG37" s="70"/>
      <c r="BH37" s="71"/>
      <c r="BI37" s="71"/>
      <c r="BJ37" s="71"/>
      <c r="BK37" s="71"/>
      <c r="BL37" s="71"/>
      <c r="BM37" s="72"/>
      <c r="BN37" s="70"/>
      <c r="BO37" s="71"/>
      <c r="BP37" s="71"/>
      <c r="BQ37" s="71"/>
      <c r="BR37" s="71"/>
      <c r="BS37" s="71"/>
      <c r="BT37" s="72"/>
      <c r="BU37" s="59"/>
      <c r="BV37" s="59"/>
      <c r="BW37" s="59"/>
      <c r="BX37" s="59"/>
      <c r="BY37" s="59"/>
      <c r="BZ37" s="59"/>
      <c r="CA37" s="59"/>
    </row>
    <row r="38" spans="1:79">
      <c r="A38" s="59"/>
      <c r="B38" s="44">
        <f t="shared" si="0"/>
        <v>1957</v>
      </c>
      <c r="C38" s="70"/>
      <c r="D38" s="71"/>
      <c r="E38" s="71"/>
      <c r="F38" s="71"/>
      <c r="G38" s="71"/>
      <c r="H38" s="71"/>
      <c r="I38" s="72"/>
      <c r="J38" s="70"/>
      <c r="K38" s="71"/>
      <c r="L38" s="71"/>
      <c r="M38" s="71"/>
      <c r="N38" s="71"/>
      <c r="O38" s="71"/>
      <c r="P38" s="72"/>
      <c r="Q38" s="67"/>
      <c r="R38" s="68"/>
      <c r="S38" s="68"/>
      <c r="T38" s="68"/>
      <c r="U38" s="68"/>
      <c r="V38" s="68"/>
      <c r="W38" s="69"/>
      <c r="X38" s="67"/>
      <c r="Y38" s="68"/>
      <c r="Z38" s="68"/>
      <c r="AA38" s="68"/>
      <c r="AB38" s="68"/>
      <c r="AC38" s="68"/>
      <c r="AD38" s="69"/>
      <c r="AE38" s="70"/>
      <c r="AF38" s="71"/>
      <c r="AG38" s="71"/>
      <c r="AH38" s="71"/>
      <c r="AI38" s="71"/>
      <c r="AJ38" s="71"/>
      <c r="AK38" s="72"/>
      <c r="AL38" s="70"/>
      <c r="AM38" s="71"/>
      <c r="AN38" s="71"/>
      <c r="AO38" s="71"/>
      <c r="AP38" s="71"/>
      <c r="AQ38" s="71"/>
      <c r="AR38" s="72"/>
      <c r="AS38" s="67"/>
      <c r="AT38" s="68"/>
      <c r="AU38" s="68"/>
      <c r="AV38" s="68"/>
      <c r="AW38" s="68"/>
      <c r="AX38" s="68"/>
      <c r="AY38" s="69"/>
      <c r="AZ38" s="67"/>
      <c r="BA38" s="68"/>
      <c r="BB38" s="68"/>
      <c r="BC38" s="68"/>
      <c r="BD38" s="68"/>
      <c r="BE38" s="68"/>
      <c r="BF38" s="69"/>
      <c r="BG38" s="70"/>
      <c r="BH38" s="71"/>
      <c r="BI38" s="71"/>
      <c r="BJ38" s="71"/>
      <c r="BK38" s="71"/>
      <c r="BL38" s="71"/>
      <c r="BM38" s="72"/>
      <c r="BN38" s="70"/>
      <c r="BO38" s="71"/>
      <c r="BP38" s="71"/>
      <c r="BQ38" s="71"/>
      <c r="BR38" s="71"/>
      <c r="BS38" s="71"/>
      <c r="BT38" s="72"/>
      <c r="BU38" s="59"/>
      <c r="BV38" s="59"/>
      <c r="BW38" s="59"/>
      <c r="BX38" s="59"/>
      <c r="BY38" s="59"/>
      <c r="BZ38" s="59"/>
      <c r="CA38" s="59"/>
    </row>
    <row r="39" spans="1:79">
      <c r="A39" s="59"/>
      <c r="B39" s="44">
        <f t="shared" si="0"/>
        <v>1958</v>
      </c>
      <c r="C39" s="70"/>
      <c r="D39" s="71"/>
      <c r="E39" s="71"/>
      <c r="F39" s="71"/>
      <c r="G39" s="71"/>
      <c r="H39" s="71"/>
      <c r="I39" s="72"/>
      <c r="J39" s="70"/>
      <c r="K39" s="71"/>
      <c r="L39" s="71"/>
      <c r="M39" s="71"/>
      <c r="N39" s="71"/>
      <c r="O39" s="71"/>
      <c r="P39" s="72"/>
      <c r="Q39" s="67"/>
      <c r="R39" s="68"/>
      <c r="S39" s="68"/>
      <c r="T39" s="68"/>
      <c r="U39" s="68"/>
      <c r="V39" s="68"/>
      <c r="W39" s="69"/>
      <c r="X39" s="67"/>
      <c r="Y39" s="68"/>
      <c r="Z39" s="68"/>
      <c r="AA39" s="68"/>
      <c r="AB39" s="68"/>
      <c r="AC39" s="68"/>
      <c r="AD39" s="69"/>
      <c r="AE39" s="70"/>
      <c r="AF39" s="71"/>
      <c r="AG39" s="71"/>
      <c r="AH39" s="71"/>
      <c r="AI39" s="71"/>
      <c r="AJ39" s="71"/>
      <c r="AK39" s="72"/>
      <c r="AL39" s="70"/>
      <c r="AM39" s="71"/>
      <c r="AN39" s="71"/>
      <c r="AO39" s="71"/>
      <c r="AP39" s="71"/>
      <c r="AQ39" s="71"/>
      <c r="AR39" s="72"/>
      <c r="AS39" s="67"/>
      <c r="AT39" s="68"/>
      <c r="AU39" s="68"/>
      <c r="AV39" s="68"/>
      <c r="AW39" s="68"/>
      <c r="AX39" s="68"/>
      <c r="AY39" s="69"/>
      <c r="AZ39" s="67"/>
      <c r="BA39" s="68"/>
      <c r="BB39" s="68"/>
      <c r="BC39" s="68"/>
      <c r="BD39" s="68"/>
      <c r="BE39" s="68"/>
      <c r="BF39" s="69"/>
      <c r="BG39" s="70"/>
      <c r="BH39" s="71"/>
      <c r="BI39" s="71"/>
      <c r="BJ39" s="71"/>
      <c r="BK39" s="71"/>
      <c r="BL39" s="71"/>
      <c r="BM39" s="72"/>
      <c r="BN39" s="70"/>
      <c r="BO39" s="71"/>
      <c r="BP39" s="71"/>
      <c r="BQ39" s="71"/>
      <c r="BR39" s="71"/>
      <c r="BS39" s="71"/>
      <c r="BT39" s="72"/>
      <c r="BU39" s="59"/>
      <c r="BV39" s="59"/>
      <c r="BW39" s="59"/>
      <c r="BX39" s="59"/>
      <c r="BY39" s="59"/>
      <c r="BZ39" s="59"/>
      <c r="CA39" s="59"/>
    </row>
    <row r="40" spans="1:79">
      <c r="A40" s="59"/>
      <c r="B40" s="44">
        <f t="shared" si="0"/>
        <v>1959</v>
      </c>
      <c r="C40" s="70"/>
      <c r="D40" s="71"/>
      <c r="E40" s="71"/>
      <c r="F40" s="71"/>
      <c r="G40" s="71"/>
      <c r="H40" s="71"/>
      <c r="I40" s="72"/>
      <c r="J40" s="70"/>
      <c r="K40" s="71"/>
      <c r="L40" s="71"/>
      <c r="M40" s="71"/>
      <c r="N40" s="71"/>
      <c r="O40" s="71"/>
      <c r="P40" s="72"/>
      <c r="Q40" s="67"/>
      <c r="R40" s="68"/>
      <c r="S40" s="68"/>
      <c r="T40" s="68"/>
      <c r="U40" s="68"/>
      <c r="V40" s="68"/>
      <c r="W40" s="69"/>
      <c r="X40" s="67"/>
      <c r="Y40" s="68"/>
      <c r="Z40" s="68"/>
      <c r="AA40" s="68"/>
      <c r="AB40" s="68"/>
      <c r="AC40" s="68"/>
      <c r="AD40" s="69"/>
      <c r="AE40" s="70"/>
      <c r="AF40" s="71"/>
      <c r="AG40" s="71"/>
      <c r="AH40" s="71"/>
      <c r="AI40" s="71"/>
      <c r="AJ40" s="71"/>
      <c r="AK40" s="72"/>
      <c r="AL40" s="70"/>
      <c r="AM40" s="71"/>
      <c r="AN40" s="71"/>
      <c r="AO40" s="71"/>
      <c r="AP40" s="71"/>
      <c r="AQ40" s="71"/>
      <c r="AR40" s="72"/>
      <c r="AS40" s="67"/>
      <c r="AT40" s="68"/>
      <c r="AU40" s="68"/>
      <c r="AV40" s="68"/>
      <c r="AW40" s="68"/>
      <c r="AX40" s="68"/>
      <c r="AY40" s="69"/>
      <c r="AZ40" s="67"/>
      <c r="BA40" s="68"/>
      <c r="BB40" s="68"/>
      <c r="BC40" s="68"/>
      <c r="BD40" s="68"/>
      <c r="BE40" s="68"/>
      <c r="BF40" s="69"/>
      <c r="BG40" s="70"/>
      <c r="BH40" s="71"/>
      <c r="BI40" s="71"/>
      <c r="BJ40" s="71"/>
      <c r="BK40" s="71"/>
      <c r="BL40" s="71"/>
      <c r="BM40" s="72"/>
      <c r="BN40" s="70"/>
      <c r="BO40" s="71"/>
      <c r="BP40" s="71"/>
      <c r="BQ40" s="71"/>
      <c r="BR40" s="71"/>
      <c r="BS40" s="71"/>
      <c r="BT40" s="72"/>
      <c r="BU40" s="59"/>
      <c r="BV40" s="59"/>
      <c r="BW40" s="59"/>
      <c r="BX40" s="59"/>
      <c r="BY40" s="59"/>
      <c r="BZ40" s="59"/>
      <c r="CA40" s="59"/>
    </row>
    <row r="41" spans="1:79">
      <c r="A41" s="59"/>
      <c r="B41" s="44">
        <f t="shared" si="0"/>
        <v>1960</v>
      </c>
      <c r="C41" s="70"/>
      <c r="D41" s="71"/>
      <c r="E41" s="71"/>
      <c r="F41" s="71"/>
      <c r="G41" s="71"/>
      <c r="H41" s="71"/>
      <c r="I41" s="72"/>
      <c r="J41" s="70"/>
      <c r="K41" s="71"/>
      <c r="L41" s="71"/>
      <c r="M41" s="71"/>
      <c r="N41" s="71"/>
      <c r="O41" s="71"/>
      <c r="P41" s="72"/>
      <c r="Q41" s="67"/>
      <c r="R41" s="68"/>
      <c r="S41" s="68"/>
      <c r="T41" s="68"/>
      <c r="U41" s="68"/>
      <c r="V41" s="68"/>
      <c r="W41" s="69"/>
      <c r="X41" s="67"/>
      <c r="Y41" s="68"/>
      <c r="Z41" s="68"/>
      <c r="AA41" s="68"/>
      <c r="AB41" s="68"/>
      <c r="AC41" s="68"/>
      <c r="AD41" s="69"/>
      <c r="AE41" s="70"/>
      <c r="AF41" s="71"/>
      <c r="AG41" s="71"/>
      <c r="AH41" s="71"/>
      <c r="AI41" s="71"/>
      <c r="AJ41" s="71"/>
      <c r="AK41" s="72"/>
      <c r="AL41" s="70"/>
      <c r="AM41" s="71"/>
      <c r="AN41" s="71"/>
      <c r="AO41" s="71"/>
      <c r="AP41" s="71"/>
      <c r="AQ41" s="71"/>
      <c r="AR41" s="72"/>
      <c r="AS41" s="67"/>
      <c r="AT41" s="68"/>
      <c r="AU41" s="68"/>
      <c r="AV41" s="68"/>
      <c r="AW41" s="68"/>
      <c r="AX41" s="68"/>
      <c r="AY41" s="69"/>
      <c r="AZ41" s="67"/>
      <c r="BA41" s="68"/>
      <c r="BB41" s="68"/>
      <c r="BC41" s="68"/>
      <c r="BD41" s="68"/>
      <c r="BE41" s="68"/>
      <c r="BF41" s="69"/>
      <c r="BG41" s="70"/>
      <c r="BH41" s="71"/>
      <c r="BI41" s="71"/>
      <c r="BJ41" s="71"/>
      <c r="BK41" s="71"/>
      <c r="BL41" s="71"/>
      <c r="BM41" s="72"/>
      <c r="BN41" s="70"/>
      <c r="BO41" s="71"/>
      <c r="BP41" s="71"/>
      <c r="BQ41" s="71"/>
      <c r="BR41" s="71"/>
      <c r="BS41" s="71"/>
      <c r="BT41" s="72"/>
      <c r="BU41" s="59"/>
      <c r="BV41" s="59"/>
      <c r="BW41" s="59"/>
      <c r="BX41" s="59"/>
      <c r="BY41" s="59"/>
      <c r="BZ41" s="59"/>
      <c r="CA41" s="59"/>
    </row>
    <row r="42" spans="1:79">
      <c r="A42" s="59"/>
      <c r="B42" s="44">
        <f t="shared" si="0"/>
        <v>1961</v>
      </c>
      <c r="C42" s="70"/>
      <c r="D42" s="71"/>
      <c r="E42" s="71"/>
      <c r="F42" s="71"/>
      <c r="G42" s="71"/>
      <c r="H42" s="71"/>
      <c r="I42" s="72"/>
      <c r="J42" s="70"/>
      <c r="K42" s="71"/>
      <c r="L42" s="71"/>
      <c r="M42" s="71"/>
      <c r="N42" s="71"/>
      <c r="O42" s="71"/>
      <c r="P42" s="72"/>
      <c r="Q42" s="67"/>
      <c r="R42" s="68"/>
      <c r="S42" s="68"/>
      <c r="T42" s="68"/>
      <c r="U42" s="68"/>
      <c r="V42" s="68"/>
      <c r="W42" s="69"/>
      <c r="X42" s="67"/>
      <c r="Y42" s="68"/>
      <c r="Z42" s="68"/>
      <c r="AA42" s="68"/>
      <c r="AB42" s="68"/>
      <c r="AC42" s="68"/>
      <c r="AD42" s="69"/>
      <c r="AE42" s="70"/>
      <c r="AF42" s="71"/>
      <c r="AG42" s="71"/>
      <c r="AH42" s="71"/>
      <c r="AI42" s="71"/>
      <c r="AJ42" s="71"/>
      <c r="AK42" s="72"/>
      <c r="AL42" s="70"/>
      <c r="AM42" s="71"/>
      <c r="AN42" s="71"/>
      <c r="AO42" s="71"/>
      <c r="AP42" s="71"/>
      <c r="AQ42" s="71"/>
      <c r="AR42" s="72"/>
      <c r="AS42" s="67"/>
      <c r="AT42" s="68"/>
      <c r="AU42" s="68"/>
      <c r="AV42" s="68"/>
      <c r="AW42" s="68"/>
      <c r="AX42" s="68"/>
      <c r="AY42" s="69"/>
      <c r="AZ42" s="67"/>
      <c r="BA42" s="68"/>
      <c r="BB42" s="68"/>
      <c r="BC42" s="68"/>
      <c r="BD42" s="68"/>
      <c r="BE42" s="68"/>
      <c r="BF42" s="69"/>
      <c r="BG42" s="70"/>
      <c r="BH42" s="71"/>
      <c r="BI42" s="71"/>
      <c r="BJ42" s="71"/>
      <c r="BK42" s="71"/>
      <c r="BL42" s="71"/>
      <c r="BM42" s="72"/>
      <c r="BN42" s="70"/>
      <c r="BO42" s="71"/>
      <c r="BP42" s="71"/>
      <c r="BQ42" s="71"/>
      <c r="BR42" s="71"/>
      <c r="BS42" s="71"/>
      <c r="BT42" s="72"/>
      <c r="BU42" s="59"/>
      <c r="BV42" s="59"/>
      <c r="BW42" s="59"/>
      <c r="BX42" s="59"/>
      <c r="BY42" s="59"/>
      <c r="BZ42" s="59"/>
      <c r="CA42" s="59"/>
    </row>
    <row r="43" spans="1:79">
      <c r="A43" s="59"/>
      <c r="B43" s="44">
        <f t="shared" ref="B43:B74" si="1">IF(Start_year+ROW(B43)-ROW($B$11)&gt;End_year,"",Start_year+ROW(B43)-ROW($B$11))</f>
        <v>1962</v>
      </c>
      <c r="C43" s="70"/>
      <c r="D43" s="71"/>
      <c r="E43" s="71"/>
      <c r="F43" s="71"/>
      <c r="G43" s="71"/>
      <c r="H43" s="71"/>
      <c r="I43" s="72"/>
      <c r="J43" s="70"/>
      <c r="K43" s="71"/>
      <c r="L43" s="71"/>
      <c r="M43" s="71"/>
      <c r="N43" s="71"/>
      <c r="O43" s="71"/>
      <c r="P43" s="72"/>
      <c r="Q43" s="67"/>
      <c r="R43" s="68"/>
      <c r="S43" s="68"/>
      <c r="T43" s="68"/>
      <c r="U43" s="68"/>
      <c r="V43" s="68"/>
      <c r="W43" s="69"/>
      <c r="X43" s="67"/>
      <c r="Y43" s="68"/>
      <c r="Z43" s="68"/>
      <c r="AA43" s="68"/>
      <c r="AB43" s="68"/>
      <c r="AC43" s="68"/>
      <c r="AD43" s="69"/>
      <c r="AE43" s="70"/>
      <c r="AF43" s="71"/>
      <c r="AG43" s="71"/>
      <c r="AH43" s="71"/>
      <c r="AI43" s="71"/>
      <c r="AJ43" s="71"/>
      <c r="AK43" s="72"/>
      <c r="AL43" s="70"/>
      <c r="AM43" s="71"/>
      <c r="AN43" s="71"/>
      <c r="AO43" s="71"/>
      <c r="AP43" s="71"/>
      <c r="AQ43" s="71"/>
      <c r="AR43" s="72"/>
      <c r="AS43" s="67"/>
      <c r="AT43" s="68"/>
      <c r="AU43" s="68"/>
      <c r="AV43" s="68"/>
      <c r="AW43" s="68"/>
      <c r="AX43" s="68"/>
      <c r="AY43" s="69"/>
      <c r="AZ43" s="67"/>
      <c r="BA43" s="68"/>
      <c r="BB43" s="68"/>
      <c r="BC43" s="68"/>
      <c r="BD43" s="68"/>
      <c r="BE43" s="68"/>
      <c r="BF43" s="69"/>
      <c r="BG43" s="70"/>
      <c r="BH43" s="71"/>
      <c r="BI43" s="71"/>
      <c r="BJ43" s="71"/>
      <c r="BK43" s="71"/>
      <c r="BL43" s="71"/>
      <c r="BM43" s="72"/>
      <c r="BN43" s="70"/>
      <c r="BO43" s="71"/>
      <c r="BP43" s="71"/>
      <c r="BQ43" s="71"/>
      <c r="BR43" s="71"/>
      <c r="BS43" s="71"/>
      <c r="BT43" s="72"/>
      <c r="BU43" s="59"/>
      <c r="BV43" s="59"/>
      <c r="BW43" s="59"/>
      <c r="BX43" s="59"/>
      <c r="BY43" s="59"/>
      <c r="BZ43" s="59"/>
      <c r="CA43" s="59"/>
    </row>
    <row r="44" spans="1:79">
      <c r="A44" s="59"/>
      <c r="B44" s="44">
        <f t="shared" si="1"/>
        <v>1963</v>
      </c>
      <c r="C44" s="70"/>
      <c r="D44" s="71"/>
      <c r="E44" s="71"/>
      <c r="F44" s="71"/>
      <c r="G44" s="71"/>
      <c r="H44" s="71"/>
      <c r="I44" s="72"/>
      <c r="J44" s="70"/>
      <c r="K44" s="71"/>
      <c r="L44" s="71"/>
      <c r="M44" s="71"/>
      <c r="N44" s="71"/>
      <c r="O44" s="71"/>
      <c r="P44" s="72"/>
      <c r="Q44" s="67"/>
      <c r="R44" s="68"/>
      <c r="S44" s="68"/>
      <c r="T44" s="68"/>
      <c r="U44" s="68"/>
      <c r="V44" s="68"/>
      <c r="W44" s="69"/>
      <c r="X44" s="67"/>
      <c r="Y44" s="68"/>
      <c r="Z44" s="68"/>
      <c r="AA44" s="68"/>
      <c r="AB44" s="68"/>
      <c r="AC44" s="68"/>
      <c r="AD44" s="69"/>
      <c r="AE44" s="70"/>
      <c r="AF44" s="71"/>
      <c r="AG44" s="71"/>
      <c r="AH44" s="71"/>
      <c r="AI44" s="71"/>
      <c r="AJ44" s="71"/>
      <c r="AK44" s="72"/>
      <c r="AL44" s="70"/>
      <c r="AM44" s="71"/>
      <c r="AN44" s="71"/>
      <c r="AO44" s="71"/>
      <c r="AP44" s="71"/>
      <c r="AQ44" s="71"/>
      <c r="AR44" s="72"/>
      <c r="AS44" s="67"/>
      <c r="AT44" s="68"/>
      <c r="AU44" s="68"/>
      <c r="AV44" s="68"/>
      <c r="AW44" s="68"/>
      <c r="AX44" s="68"/>
      <c r="AY44" s="69"/>
      <c r="AZ44" s="67"/>
      <c r="BA44" s="68"/>
      <c r="BB44" s="68"/>
      <c r="BC44" s="68"/>
      <c r="BD44" s="68"/>
      <c r="BE44" s="68"/>
      <c r="BF44" s="69"/>
      <c r="BG44" s="70"/>
      <c r="BH44" s="71"/>
      <c r="BI44" s="71"/>
      <c r="BJ44" s="71"/>
      <c r="BK44" s="71"/>
      <c r="BL44" s="71"/>
      <c r="BM44" s="72"/>
      <c r="BN44" s="70"/>
      <c r="BO44" s="71"/>
      <c r="BP44" s="71"/>
      <c r="BQ44" s="71"/>
      <c r="BR44" s="71"/>
      <c r="BS44" s="71"/>
      <c r="BT44" s="72"/>
      <c r="BU44" s="59"/>
      <c r="BV44" s="59"/>
      <c r="BW44" s="59"/>
      <c r="BX44" s="59"/>
      <c r="BY44" s="59"/>
      <c r="BZ44" s="59"/>
      <c r="CA44" s="59"/>
    </row>
    <row r="45" spans="1:79">
      <c r="A45" s="59"/>
      <c r="B45" s="44">
        <f t="shared" si="1"/>
        <v>1964</v>
      </c>
      <c r="C45" s="70"/>
      <c r="D45" s="71"/>
      <c r="E45" s="71"/>
      <c r="F45" s="71"/>
      <c r="G45" s="71"/>
      <c r="H45" s="71"/>
      <c r="I45" s="72"/>
      <c r="J45" s="70"/>
      <c r="K45" s="71"/>
      <c r="L45" s="71"/>
      <c r="M45" s="71"/>
      <c r="N45" s="71"/>
      <c r="O45" s="71"/>
      <c r="P45" s="72"/>
      <c r="Q45" s="67"/>
      <c r="R45" s="68"/>
      <c r="S45" s="68"/>
      <c r="T45" s="68"/>
      <c r="U45" s="68"/>
      <c r="V45" s="68"/>
      <c r="W45" s="69"/>
      <c r="X45" s="67"/>
      <c r="Y45" s="68"/>
      <c r="Z45" s="68"/>
      <c r="AA45" s="68"/>
      <c r="AB45" s="68"/>
      <c r="AC45" s="68"/>
      <c r="AD45" s="69"/>
      <c r="AE45" s="70"/>
      <c r="AF45" s="71"/>
      <c r="AG45" s="71"/>
      <c r="AH45" s="71"/>
      <c r="AI45" s="71"/>
      <c r="AJ45" s="71"/>
      <c r="AK45" s="72"/>
      <c r="AL45" s="70"/>
      <c r="AM45" s="71"/>
      <c r="AN45" s="71"/>
      <c r="AO45" s="71"/>
      <c r="AP45" s="71"/>
      <c r="AQ45" s="71"/>
      <c r="AR45" s="72"/>
      <c r="AS45" s="67"/>
      <c r="AT45" s="68"/>
      <c r="AU45" s="68"/>
      <c r="AV45" s="68"/>
      <c r="AW45" s="68"/>
      <c r="AX45" s="68"/>
      <c r="AY45" s="69"/>
      <c r="AZ45" s="67"/>
      <c r="BA45" s="68"/>
      <c r="BB45" s="68"/>
      <c r="BC45" s="68"/>
      <c r="BD45" s="68"/>
      <c r="BE45" s="68"/>
      <c r="BF45" s="69"/>
      <c r="BG45" s="70"/>
      <c r="BH45" s="71"/>
      <c r="BI45" s="71"/>
      <c r="BJ45" s="71"/>
      <c r="BK45" s="71"/>
      <c r="BL45" s="71"/>
      <c r="BM45" s="72"/>
      <c r="BN45" s="70"/>
      <c r="BO45" s="71"/>
      <c r="BP45" s="71"/>
      <c r="BQ45" s="71"/>
      <c r="BR45" s="71"/>
      <c r="BS45" s="71"/>
      <c r="BT45" s="72"/>
      <c r="BU45" s="59"/>
      <c r="BV45" s="59"/>
      <c r="BW45" s="59"/>
      <c r="BX45" s="59"/>
      <c r="BY45" s="59"/>
      <c r="BZ45" s="59"/>
      <c r="CA45" s="59"/>
    </row>
    <row r="46" spans="1:79">
      <c r="A46" s="59"/>
      <c r="B46" s="44">
        <f t="shared" si="1"/>
        <v>1965</v>
      </c>
      <c r="C46" s="70"/>
      <c r="D46" s="71"/>
      <c r="E46" s="71"/>
      <c r="F46" s="71"/>
      <c r="G46" s="71"/>
      <c r="H46" s="71"/>
      <c r="I46" s="72"/>
      <c r="J46" s="70"/>
      <c r="K46" s="71"/>
      <c r="L46" s="71"/>
      <c r="M46" s="71"/>
      <c r="N46" s="71"/>
      <c r="O46" s="71"/>
      <c r="P46" s="72"/>
      <c r="Q46" s="67"/>
      <c r="R46" s="68"/>
      <c r="S46" s="68"/>
      <c r="T46" s="68"/>
      <c r="U46" s="68"/>
      <c r="V46" s="68"/>
      <c r="W46" s="69"/>
      <c r="X46" s="67"/>
      <c r="Y46" s="68"/>
      <c r="Z46" s="68"/>
      <c r="AA46" s="68"/>
      <c r="AB46" s="68"/>
      <c r="AC46" s="68"/>
      <c r="AD46" s="69"/>
      <c r="AE46" s="70"/>
      <c r="AF46" s="71"/>
      <c r="AG46" s="71"/>
      <c r="AH46" s="71"/>
      <c r="AI46" s="71"/>
      <c r="AJ46" s="71"/>
      <c r="AK46" s="72"/>
      <c r="AL46" s="70"/>
      <c r="AM46" s="71"/>
      <c r="AN46" s="71"/>
      <c r="AO46" s="71"/>
      <c r="AP46" s="71"/>
      <c r="AQ46" s="71"/>
      <c r="AR46" s="72"/>
      <c r="AS46" s="67"/>
      <c r="AT46" s="68"/>
      <c r="AU46" s="68"/>
      <c r="AV46" s="68"/>
      <c r="AW46" s="68"/>
      <c r="AX46" s="68"/>
      <c r="AY46" s="69"/>
      <c r="AZ46" s="67"/>
      <c r="BA46" s="68"/>
      <c r="BB46" s="68"/>
      <c r="BC46" s="68"/>
      <c r="BD46" s="68"/>
      <c r="BE46" s="68"/>
      <c r="BF46" s="69"/>
      <c r="BG46" s="70"/>
      <c r="BH46" s="71"/>
      <c r="BI46" s="71"/>
      <c r="BJ46" s="71"/>
      <c r="BK46" s="71"/>
      <c r="BL46" s="71"/>
      <c r="BM46" s="72"/>
      <c r="BN46" s="70"/>
      <c r="BO46" s="71"/>
      <c r="BP46" s="71"/>
      <c r="BQ46" s="71"/>
      <c r="BR46" s="71"/>
      <c r="BS46" s="71"/>
      <c r="BT46" s="72"/>
      <c r="BU46" s="59"/>
      <c r="BV46" s="59"/>
      <c r="BW46" s="59"/>
      <c r="BX46" s="59"/>
      <c r="BY46" s="59"/>
      <c r="BZ46" s="59"/>
      <c r="CA46" s="59"/>
    </row>
    <row r="47" spans="1:79">
      <c r="A47" s="59"/>
      <c r="B47" s="44">
        <f t="shared" si="1"/>
        <v>1966</v>
      </c>
      <c r="C47" s="70"/>
      <c r="D47" s="71"/>
      <c r="E47" s="71"/>
      <c r="F47" s="71"/>
      <c r="G47" s="71"/>
      <c r="H47" s="71"/>
      <c r="I47" s="72"/>
      <c r="J47" s="70"/>
      <c r="K47" s="71"/>
      <c r="L47" s="71"/>
      <c r="M47" s="71"/>
      <c r="N47" s="71"/>
      <c r="O47" s="71"/>
      <c r="P47" s="72"/>
      <c r="Q47" s="67"/>
      <c r="R47" s="68"/>
      <c r="S47" s="68"/>
      <c r="T47" s="68"/>
      <c r="U47" s="68"/>
      <c r="V47" s="68"/>
      <c r="W47" s="69"/>
      <c r="X47" s="67"/>
      <c r="Y47" s="68"/>
      <c r="Z47" s="68"/>
      <c r="AA47" s="68"/>
      <c r="AB47" s="68"/>
      <c r="AC47" s="68"/>
      <c r="AD47" s="69"/>
      <c r="AE47" s="70"/>
      <c r="AF47" s="71"/>
      <c r="AG47" s="71"/>
      <c r="AH47" s="71"/>
      <c r="AI47" s="71"/>
      <c r="AJ47" s="71"/>
      <c r="AK47" s="72"/>
      <c r="AL47" s="70"/>
      <c r="AM47" s="71"/>
      <c r="AN47" s="71"/>
      <c r="AO47" s="71"/>
      <c r="AP47" s="71"/>
      <c r="AQ47" s="71"/>
      <c r="AR47" s="72"/>
      <c r="AS47" s="67"/>
      <c r="AT47" s="68"/>
      <c r="AU47" s="68"/>
      <c r="AV47" s="68"/>
      <c r="AW47" s="68"/>
      <c r="AX47" s="68"/>
      <c r="AY47" s="69"/>
      <c r="AZ47" s="67"/>
      <c r="BA47" s="68"/>
      <c r="BB47" s="68"/>
      <c r="BC47" s="68"/>
      <c r="BD47" s="68"/>
      <c r="BE47" s="68"/>
      <c r="BF47" s="69"/>
      <c r="BG47" s="70"/>
      <c r="BH47" s="71"/>
      <c r="BI47" s="71"/>
      <c r="BJ47" s="71"/>
      <c r="BK47" s="71"/>
      <c r="BL47" s="71"/>
      <c r="BM47" s="72"/>
      <c r="BN47" s="70"/>
      <c r="BO47" s="71"/>
      <c r="BP47" s="71"/>
      <c r="BQ47" s="71"/>
      <c r="BR47" s="71"/>
      <c r="BS47" s="71"/>
      <c r="BT47" s="72"/>
      <c r="BU47" s="59"/>
      <c r="BV47" s="59"/>
      <c r="BW47" s="59"/>
      <c r="BX47" s="59"/>
      <c r="BY47" s="59"/>
      <c r="BZ47" s="59"/>
      <c r="CA47" s="59"/>
    </row>
    <row r="48" spans="1:79">
      <c r="A48" s="59"/>
      <c r="B48" s="44">
        <f t="shared" si="1"/>
        <v>1967</v>
      </c>
      <c r="C48" s="70"/>
      <c r="D48" s="71"/>
      <c r="E48" s="71"/>
      <c r="F48" s="71"/>
      <c r="G48" s="71"/>
      <c r="H48" s="71"/>
      <c r="I48" s="72"/>
      <c r="J48" s="70"/>
      <c r="K48" s="71"/>
      <c r="L48" s="71"/>
      <c r="M48" s="71"/>
      <c r="N48" s="71"/>
      <c r="O48" s="71"/>
      <c r="P48" s="72"/>
      <c r="Q48" s="67"/>
      <c r="R48" s="68"/>
      <c r="S48" s="68"/>
      <c r="T48" s="68"/>
      <c r="U48" s="68"/>
      <c r="V48" s="68"/>
      <c r="W48" s="69"/>
      <c r="X48" s="67"/>
      <c r="Y48" s="68"/>
      <c r="Z48" s="68"/>
      <c r="AA48" s="68"/>
      <c r="AB48" s="68"/>
      <c r="AC48" s="68"/>
      <c r="AD48" s="69"/>
      <c r="AE48" s="70"/>
      <c r="AF48" s="71"/>
      <c r="AG48" s="71"/>
      <c r="AH48" s="71"/>
      <c r="AI48" s="71"/>
      <c r="AJ48" s="71"/>
      <c r="AK48" s="72"/>
      <c r="AL48" s="70"/>
      <c r="AM48" s="71"/>
      <c r="AN48" s="71"/>
      <c r="AO48" s="71"/>
      <c r="AP48" s="71"/>
      <c r="AQ48" s="71"/>
      <c r="AR48" s="72"/>
      <c r="AS48" s="67"/>
      <c r="AT48" s="68"/>
      <c r="AU48" s="68"/>
      <c r="AV48" s="68"/>
      <c r="AW48" s="68"/>
      <c r="AX48" s="68"/>
      <c r="AY48" s="69"/>
      <c r="AZ48" s="67"/>
      <c r="BA48" s="68"/>
      <c r="BB48" s="68"/>
      <c r="BC48" s="68"/>
      <c r="BD48" s="68"/>
      <c r="BE48" s="68"/>
      <c r="BF48" s="69"/>
      <c r="BG48" s="70"/>
      <c r="BH48" s="71"/>
      <c r="BI48" s="71"/>
      <c r="BJ48" s="71"/>
      <c r="BK48" s="71"/>
      <c r="BL48" s="71"/>
      <c r="BM48" s="72"/>
      <c r="BN48" s="70"/>
      <c r="BO48" s="71"/>
      <c r="BP48" s="71"/>
      <c r="BQ48" s="71"/>
      <c r="BR48" s="71"/>
      <c r="BS48" s="71"/>
      <c r="BT48" s="72"/>
      <c r="BU48" s="59"/>
      <c r="BV48" s="59"/>
      <c r="BW48" s="59"/>
      <c r="BX48" s="59"/>
      <c r="BY48" s="59"/>
      <c r="BZ48" s="59"/>
      <c r="CA48" s="59"/>
    </row>
    <row r="49" spans="1:79">
      <c r="A49" s="59"/>
      <c r="B49" s="44">
        <f t="shared" si="1"/>
        <v>1968</v>
      </c>
      <c r="C49" s="70"/>
      <c r="D49" s="71"/>
      <c r="E49" s="71"/>
      <c r="F49" s="71"/>
      <c r="G49" s="71"/>
      <c r="H49" s="71"/>
      <c r="I49" s="72"/>
      <c r="J49" s="70"/>
      <c r="K49" s="71"/>
      <c r="L49" s="71"/>
      <c r="M49" s="71"/>
      <c r="N49" s="71"/>
      <c r="O49" s="71"/>
      <c r="P49" s="72"/>
      <c r="Q49" s="67"/>
      <c r="R49" s="68"/>
      <c r="S49" s="68"/>
      <c r="T49" s="68"/>
      <c r="U49" s="68"/>
      <c r="V49" s="68"/>
      <c r="W49" s="69"/>
      <c r="X49" s="67"/>
      <c r="Y49" s="68"/>
      <c r="Z49" s="68"/>
      <c r="AA49" s="68"/>
      <c r="AB49" s="68"/>
      <c r="AC49" s="68"/>
      <c r="AD49" s="69"/>
      <c r="AE49" s="70"/>
      <c r="AF49" s="71"/>
      <c r="AG49" s="71"/>
      <c r="AH49" s="71"/>
      <c r="AI49" s="71"/>
      <c r="AJ49" s="71"/>
      <c r="AK49" s="72"/>
      <c r="AL49" s="70"/>
      <c r="AM49" s="71"/>
      <c r="AN49" s="71"/>
      <c r="AO49" s="71"/>
      <c r="AP49" s="71"/>
      <c r="AQ49" s="71"/>
      <c r="AR49" s="72"/>
      <c r="AS49" s="67"/>
      <c r="AT49" s="68"/>
      <c r="AU49" s="68"/>
      <c r="AV49" s="68"/>
      <c r="AW49" s="68"/>
      <c r="AX49" s="68"/>
      <c r="AY49" s="69"/>
      <c r="AZ49" s="67"/>
      <c r="BA49" s="68"/>
      <c r="BB49" s="68"/>
      <c r="BC49" s="68"/>
      <c r="BD49" s="68"/>
      <c r="BE49" s="68"/>
      <c r="BF49" s="69"/>
      <c r="BG49" s="70"/>
      <c r="BH49" s="71"/>
      <c r="BI49" s="71"/>
      <c r="BJ49" s="71"/>
      <c r="BK49" s="71"/>
      <c r="BL49" s="71"/>
      <c r="BM49" s="72"/>
      <c r="BN49" s="70"/>
      <c r="BO49" s="71"/>
      <c r="BP49" s="71"/>
      <c r="BQ49" s="71"/>
      <c r="BR49" s="71"/>
      <c r="BS49" s="71"/>
      <c r="BT49" s="72"/>
      <c r="BU49" s="59"/>
      <c r="BV49" s="59"/>
      <c r="BW49" s="59"/>
      <c r="BX49" s="59"/>
      <c r="BY49" s="59"/>
      <c r="BZ49" s="59"/>
      <c r="CA49" s="59"/>
    </row>
    <row r="50" spans="1:79">
      <c r="A50" s="59"/>
      <c r="B50" s="44">
        <f t="shared" si="1"/>
        <v>1969</v>
      </c>
      <c r="C50" s="70"/>
      <c r="D50" s="71"/>
      <c r="E50" s="71"/>
      <c r="F50" s="71"/>
      <c r="G50" s="71"/>
      <c r="H50" s="71"/>
      <c r="I50" s="72"/>
      <c r="J50" s="70"/>
      <c r="K50" s="71"/>
      <c r="L50" s="71"/>
      <c r="M50" s="71"/>
      <c r="N50" s="71"/>
      <c r="O50" s="71"/>
      <c r="P50" s="72"/>
      <c r="Q50" s="67"/>
      <c r="R50" s="68"/>
      <c r="S50" s="68"/>
      <c r="T50" s="68"/>
      <c r="U50" s="68"/>
      <c r="V50" s="68"/>
      <c r="W50" s="69"/>
      <c r="X50" s="67"/>
      <c r="Y50" s="68"/>
      <c r="Z50" s="68"/>
      <c r="AA50" s="68"/>
      <c r="AB50" s="68"/>
      <c r="AC50" s="68"/>
      <c r="AD50" s="69"/>
      <c r="AE50" s="70"/>
      <c r="AF50" s="71"/>
      <c r="AG50" s="71"/>
      <c r="AH50" s="71"/>
      <c r="AI50" s="71"/>
      <c r="AJ50" s="71"/>
      <c r="AK50" s="72"/>
      <c r="AL50" s="70"/>
      <c r="AM50" s="71"/>
      <c r="AN50" s="71"/>
      <c r="AO50" s="71"/>
      <c r="AP50" s="71"/>
      <c r="AQ50" s="71"/>
      <c r="AR50" s="72"/>
      <c r="AS50" s="67"/>
      <c r="AT50" s="68"/>
      <c r="AU50" s="68"/>
      <c r="AV50" s="68"/>
      <c r="AW50" s="68"/>
      <c r="AX50" s="68"/>
      <c r="AY50" s="69"/>
      <c r="AZ50" s="67"/>
      <c r="BA50" s="68"/>
      <c r="BB50" s="68"/>
      <c r="BC50" s="68"/>
      <c r="BD50" s="68"/>
      <c r="BE50" s="68"/>
      <c r="BF50" s="69"/>
      <c r="BG50" s="70"/>
      <c r="BH50" s="71"/>
      <c r="BI50" s="71"/>
      <c r="BJ50" s="71"/>
      <c r="BK50" s="71"/>
      <c r="BL50" s="71"/>
      <c r="BM50" s="72"/>
      <c r="BN50" s="70"/>
      <c r="BO50" s="71"/>
      <c r="BP50" s="71"/>
      <c r="BQ50" s="71"/>
      <c r="BR50" s="71"/>
      <c r="BS50" s="71"/>
      <c r="BT50" s="72"/>
      <c r="BU50" s="59"/>
      <c r="BV50" s="59"/>
      <c r="BW50" s="59"/>
      <c r="BX50" s="59"/>
      <c r="BY50" s="59"/>
      <c r="BZ50" s="59"/>
      <c r="CA50" s="59"/>
    </row>
    <row r="51" spans="1:79">
      <c r="A51" s="59"/>
      <c r="B51" s="44">
        <f t="shared" si="1"/>
        <v>1970</v>
      </c>
      <c r="C51" s="70"/>
      <c r="D51" s="71"/>
      <c r="E51" s="71"/>
      <c r="F51" s="71"/>
      <c r="G51" s="71"/>
      <c r="H51" s="71"/>
      <c r="I51" s="72"/>
      <c r="J51" s="70"/>
      <c r="K51" s="71"/>
      <c r="L51" s="71"/>
      <c r="M51" s="71"/>
      <c r="N51" s="71"/>
      <c r="O51" s="71"/>
      <c r="P51" s="72"/>
      <c r="Q51" s="67"/>
      <c r="R51" s="68"/>
      <c r="S51" s="68"/>
      <c r="T51" s="68"/>
      <c r="U51" s="68"/>
      <c r="V51" s="68"/>
      <c r="W51" s="69"/>
      <c r="X51" s="67"/>
      <c r="Y51" s="68"/>
      <c r="Z51" s="68"/>
      <c r="AA51" s="68"/>
      <c r="AB51" s="68"/>
      <c r="AC51" s="68"/>
      <c r="AD51" s="69"/>
      <c r="AE51" s="70"/>
      <c r="AF51" s="71"/>
      <c r="AG51" s="71"/>
      <c r="AH51" s="71"/>
      <c r="AI51" s="71"/>
      <c r="AJ51" s="71"/>
      <c r="AK51" s="72"/>
      <c r="AL51" s="70"/>
      <c r="AM51" s="71"/>
      <c r="AN51" s="71"/>
      <c r="AO51" s="71"/>
      <c r="AP51" s="71"/>
      <c r="AQ51" s="71"/>
      <c r="AR51" s="72"/>
      <c r="AS51" s="67"/>
      <c r="AT51" s="68"/>
      <c r="AU51" s="68"/>
      <c r="AV51" s="68"/>
      <c r="AW51" s="68"/>
      <c r="AX51" s="68"/>
      <c r="AY51" s="69"/>
      <c r="AZ51" s="67"/>
      <c r="BA51" s="68"/>
      <c r="BB51" s="68"/>
      <c r="BC51" s="68"/>
      <c r="BD51" s="68"/>
      <c r="BE51" s="68"/>
      <c r="BF51" s="69"/>
      <c r="BG51" s="70"/>
      <c r="BH51" s="71"/>
      <c r="BI51" s="71"/>
      <c r="BJ51" s="71"/>
      <c r="BK51" s="71"/>
      <c r="BL51" s="71"/>
      <c r="BM51" s="72"/>
      <c r="BN51" s="70"/>
      <c r="BO51" s="71"/>
      <c r="BP51" s="71"/>
      <c r="BQ51" s="71"/>
      <c r="BR51" s="71"/>
      <c r="BS51" s="71"/>
      <c r="BT51" s="72"/>
      <c r="BU51" s="59"/>
      <c r="BV51" s="59"/>
      <c r="BW51" s="59"/>
      <c r="BX51" s="59"/>
      <c r="BY51" s="59"/>
      <c r="BZ51" s="59"/>
      <c r="CA51" s="59"/>
    </row>
    <row r="52" spans="1:79">
      <c r="A52" s="59"/>
      <c r="B52" s="44">
        <f t="shared" si="1"/>
        <v>1971</v>
      </c>
      <c r="C52" s="70"/>
      <c r="D52" s="71"/>
      <c r="E52" s="71"/>
      <c r="F52" s="71"/>
      <c r="G52" s="71"/>
      <c r="H52" s="71"/>
      <c r="I52" s="72"/>
      <c r="J52" s="70"/>
      <c r="K52" s="71"/>
      <c r="L52" s="71"/>
      <c r="M52" s="71"/>
      <c r="N52" s="71"/>
      <c r="O52" s="71"/>
      <c r="P52" s="72"/>
      <c r="Q52" s="67"/>
      <c r="R52" s="68"/>
      <c r="S52" s="68"/>
      <c r="T52" s="68"/>
      <c r="U52" s="68"/>
      <c r="V52" s="68"/>
      <c r="W52" s="69"/>
      <c r="X52" s="67"/>
      <c r="Y52" s="68"/>
      <c r="Z52" s="68"/>
      <c r="AA52" s="68"/>
      <c r="AB52" s="68"/>
      <c r="AC52" s="68"/>
      <c r="AD52" s="69"/>
      <c r="AE52" s="70"/>
      <c r="AF52" s="71"/>
      <c r="AG52" s="71"/>
      <c r="AH52" s="71"/>
      <c r="AI52" s="71"/>
      <c r="AJ52" s="71"/>
      <c r="AK52" s="72"/>
      <c r="AL52" s="70"/>
      <c r="AM52" s="71"/>
      <c r="AN52" s="71"/>
      <c r="AO52" s="71"/>
      <c r="AP52" s="71"/>
      <c r="AQ52" s="71"/>
      <c r="AR52" s="72"/>
      <c r="AS52" s="67"/>
      <c r="AT52" s="68"/>
      <c r="AU52" s="68"/>
      <c r="AV52" s="68"/>
      <c r="AW52" s="68"/>
      <c r="AX52" s="68"/>
      <c r="AY52" s="69"/>
      <c r="AZ52" s="67"/>
      <c r="BA52" s="68"/>
      <c r="BB52" s="68"/>
      <c r="BC52" s="68"/>
      <c r="BD52" s="68"/>
      <c r="BE52" s="68"/>
      <c r="BF52" s="69"/>
      <c r="BG52" s="70"/>
      <c r="BH52" s="71"/>
      <c r="BI52" s="71"/>
      <c r="BJ52" s="71"/>
      <c r="BK52" s="71"/>
      <c r="BL52" s="71"/>
      <c r="BM52" s="72"/>
      <c r="BN52" s="70"/>
      <c r="BO52" s="71"/>
      <c r="BP52" s="71"/>
      <c r="BQ52" s="71"/>
      <c r="BR52" s="71"/>
      <c r="BS52" s="71"/>
      <c r="BT52" s="72"/>
      <c r="BU52" s="59"/>
      <c r="BV52" s="59"/>
      <c r="BW52" s="59"/>
      <c r="BX52" s="59"/>
      <c r="BY52" s="59"/>
      <c r="BZ52" s="59"/>
      <c r="CA52" s="59"/>
    </row>
    <row r="53" spans="1:79">
      <c r="A53" s="59"/>
      <c r="B53" s="44">
        <f t="shared" si="1"/>
        <v>1972</v>
      </c>
      <c r="C53" s="70"/>
      <c r="D53" s="71"/>
      <c r="E53" s="71"/>
      <c r="F53" s="71"/>
      <c r="G53" s="71"/>
      <c r="H53" s="71"/>
      <c r="I53" s="72"/>
      <c r="J53" s="70"/>
      <c r="K53" s="71"/>
      <c r="L53" s="71"/>
      <c r="M53" s="71"/>
      <c r="N53" s="71"/>
      <c r="O53" s="71"/>
      <c r="P53" s="72"/>
      <c r="Q53" s="67"/>
      <c r="R53" s="68"/>
      <c r="S53" s="68"/>
      <c r="T53" s="68"/>
      <c r="U53" s="68"/>
      <c r="V53" s="68"/>
      <c r="W53" s="69"/>
      <c r="X53" s="67"/>
      <c r="Y53" s="68"/>
      <c r="Z53" s="68"/>
      <c r="AA53" s="68"/>
      <c r="AB53" s="68"/>
      <c r="AC53" s="68"/>
      <c r="AD53" s="69"/>
      <c r="AE53" s="70"/>
      <c r="AF53" s="71"/>
      <c r="AG53" s="71"/>
      <c r="AH53" s="71"/>
      <c r="AI53" s="71"/>
      <c r="AJ53" s="71"/>
      <c r="AK53" s="72"/>
      <c r="AL53" s="70"/>
      <c r="AM53" s="71"/>
      <c r="AN53" s="71"/>
      <c r="AO53" s="71"/>
      <c r="AP53" s="71"/>
      <c r="AQ53" s="71"/>
      <c r="AR53" s="72"/>
      <c r="AS53" s="67"/>
      <c r="AT53" s="68"/>
      <c r="AU53" s="68"/>
      <c r="AV53" s="68"/>
      <c r="AW53" s="68"/>
      <c r="AX53" s="68"/>
      <c r="AY53" s="69"/>
      <c r="AZ53" s="67"/>
      <c r="BA53" s="68"/>
      <c r="BB53" s="68"/>
      <c r="BC53" s="68"/>
      <c r="BD53" s="68"/>
      <c r="BE53" s="68"/>
      <c r="BF53" s="69"/>
      <c r="BG53" s="70"/>
      <c r="BH53" s="71"/>
      <c r="BI53" s="71"/>
      <c r="BJ53" s="71"/>
      <c r="BK53" s="71"/>
      <c r="BL53" s="71"/>
      <c r="BM53" s="72"/>
      <c r="BN53" s="70"/>
      <c r="BO53" s="71"/>
      <c r="BP53" s="71"/>
      <c r="BQ53" s="71"/>
      <c r="BR53" s="71"/>
      <c r="BS53" s="71"/>
      <c r="BT53" s="72"/>
      <c r="BU53" s="59"/>
      <c r="BV53" s="59"/>
      <c r="BW53" s="59"/>
      <c r="BX53" s="59"/>
      <c r="BY53" s="59"/>
      <c r="BZ53" s="59"/>
      <c r="CA53" s="59"/>
    </row>
    <row r="54" spans="1:79">
      <c r="A54" s="59"/>
      <c r="B54" s="44">
        <f t="shared" si="1"/>
        <v>1973</v>
      </c>
      <c r="C54" s="70"/>
      <c r="D54" s="71"/>
      <c r="E54" s="71"/>
      <c r="F54" s="71"/>
      <c r="G54" s="71"/>
      <c r="H54" s="71"/>
      <c r="I54" s="72"/>
      <c r="J54" s="70"/>
      <c r="K54" s="71"/>
      <c r="L54" s="71"/>
      <c r="M54" s="71"/>
      <c r="N54" s="71"/>
      <c r="O54" s="71"/>
      <c r="P54" s="72"/>
      <c r="Q54" s="67"/>
      <c r="R54" s="68"/>
      <c r="S54" s="68"/>
      <c r="T54" s="68"/>
      <c r="U54" s="68"/>
      <c r="V54" s="68"/>
      <c r="W54" s="69"/>
      <c r="X54" s="67"/>
      <c r="Y54" s="68"/>
      <c r="Z54" s="68"/>
      <c r="AA54" s="68"/>
      <c r="AB54" s="68"/>
      <c r="AC54" s="68"/>
      <c r="AD54" s="69"/>
      <c r="AE54" s="70"/>
      <c r="AF54" s="71"/>
      <c r="AG54" s="71"/>
      <c r="AH54" s="71"/>
      <c r="AI54" s="71"/>
      <c r="AJ54" s="71"/>
      <c r="AK54" s="72"/>
      <c r="AL54" s="70"/>
      <c r="AM54" s="71"/>
      <c r="AN54" s="71"/>
      <c r="AO54" s="71"/>
      <c r="AP54" s="71"/>
      <c r="AQ54" s="71"/>
      <c r="AR54" s="72"/>
      <c r="AS54" s="67"/>
      <c r="AT54" s="68"/>
      <c r="AU54" s="68"/>
      <c r="AV54" s="68"/>
      <c r="AW54" s="68"/>
      <c r="AX54" s="68"/>
      <c r="AY54" s="69"/>
      <c r="AZ54" s="67"/>
      <c r="BA54" s="68"/>
      <c r="BB54" s="68"/>
      <c r="BC54" s="68"/>
      <c r="BD54" s="68"/>
      <c r="BE54" s="68"/>
      <c r="BF54" s="69"/>
      <c r="BG54" s="70"/>
      <c r="BH54" s="71"/>
      <c r="BI54" s="71"/>
      <c r="BJ54" s="71"/>
      <c r="BK54" s="71"/>
      <c r="BL54" s="71"/>
      <c r="BM54" s="72"/>
      <c r="BN54" s="70"/>
      <c r="BO54" s="71"/>
      <c r="BP54" s="71"/>
      <c r="BQ54" s="71"/>
      <c r="BR54" s="71"/>
      <c r="BS54" s="71"/>
      <c r="BT54" s="72"/>
      <c r="BU54" s="59"/>
      <c r="BV54" s="59"/>
      <c r="BW54" s="59"/>
      <c r="BX54" s="59"/>
      <c r="BY54" s="59"/>
      <c r="BZ54" s="59"/>
      <c r="CA54" s="59"/>
    </row>
    <row r="55" spans="1:79">
      <c r="A55" s="59"/>
      <c r="B55" s="44">
        <f t="shared" si="1"/>
        <v>1974</v>
      </c>
      <c r="C55" s="70"/>
      <c r="D55" s="71"/>
      <c r="E55" s="71"/>
      <c r="F55" s="71"/>
      <c r="G55" s="71"/>
      <c r="H55" s="71"/>
      <c r="I55" s="72"/>
      <c r="J55" s="70"/>
      <c r="K55" s="71"/>
      <c r="L55" s="71"/>
      <c r="M55" s="71"/>
      <c r="N55" s="71"/>
      <c r="O55" s="71"/>
      <c r="P55" s="72"/>
      <c r="Q55" s="67"/>
      <c r="R55" s="68"/>
      <c r="S55" s="68"/>
      <c r="T55" s="68"/>
      <c r="U55" s="68"/>
      <c r="V55" s="68"/>
      <c r="W55" s="69"/>
      <c r="X55" s="67"/>
      <c r="Y55" s="68"/>
      <c r="Z55" s="68"/>
      <c r="AA55" s="68"/>
      <c r="AB55" s="68"/>
      <c r="AC55" s="68"/>
      <c r="AD55" s="69"/>
      <c r="AE55" s="70"/>
      <c r="AF55" s="71"/>
      <c r="AG55" s="71"/>
      <c r="AH55" s="71"/>
      <c r="AI55" s="71"/>
      <c r="AJ55" s="71"/>
      <c r="AK55" s="72"/>
      <c r="AL55" s="70"/>
      <c r="AM55" s="71"/>
      <c r="AN55" s="71"/>
      <c r="AO55" s="71"/>
      <c r="AP55" s="71"/>
      <c r="AQ55" s="71"/>
      <c r="AR55" s="72"/>
      <c r="AS55" s="67"/>
      <c r="AT55" s="68"/>
      <c r="AU55" s="68"/>
      <c r="AV55" s="68"/>
      <c r="AW55" s="68"/>
      <c r="AX55" s="68"/>
      <c r="AY55" s="69"/>
      <c r="AZ55" s="67"/>
      <c r="BA55" s="68"/>
      <c r="BB55" s="68"/>
      <c r="BC55" s="68"/>
      <c r="BD55" s="68"/>
      <c r="BE55" s="68"/>
      <c r="BF55" s="69"/>
      <c r="BG55" s="70"/>
      <c r="BH55" s="71"/>
      <c r="BI55" s="71"/>
      <c r="BJ55" s="71"/>
      <c r="BK55" s="71"/>
      <c r="BL55" s="71"/>
      <c r="BM55" s="72"/>
      <c r="BN55" s="70"/>
      <c r="BO55" s="71"/>
      <c r="BP55" s="71"/>
      <c r="BQ55" s="71"/>
      <c r="BR55" s="71"/>
      <c r="BS55" s="71"/>
      <c r="BT55" s="72"/>
      <c r="BU55" s="59"/>
      <c r="BV55" s="59"/>
      <c r="BW55" s="59"/>
      <c r="BX55" s="59"/>
      <c r="BY55" s="59"/>
      <c r="BZ55" s="59"/>
      <c r="CA55" s="59"/>
    </row>
    <row r="56" spans="1:79">
      <c r="A56" s="59"/>
      <c r="B56" s="44">
        <f t="shared" si="1"/>
        <v>1975</v>
      </c>
      <c r="C56" s="70"/>
      <c r="D56" s="71"/>
      <c r="E56" s="71"/>
      <c r="F56" s="71"/>
      <c r="G56" s="71"/>
      <c r="H56" s="71"/>
      <c r="I56" s="72"/>
      <c r="J56" s="70"/>
      <c r="K56" s="71"/>
      <c r="L56" s="71"/>
      <c r="M56" s="71"/>
      <c r="N56" s="71"/>
      <c r="O56" s="71"/>
      <c r="P56" s="72"/>
      <c r="Q56" s="67"/>
      <c r="R56" s="68"/>
      <c r="S56" s="68"/>
      <c r="T56" s="68"/>
      <c r="U56" s="68"/>
      <c r="V56" s="68"/>
      <c r="W56" s="69"/>
      <c r="X56" s="67"/>
      <c r="Y56" s="68"/>
      <c r="Z56" s="68"/>
      <c r="AA56" s="68"/>
      <c r="AB56" s="68"/>
      <c r="AC56" s="68"/>
      <c r="AD56" s="69"/>
      <c r="AE56" s="70"/>
      <c r="AF56" s="71"/>
      <c r="AG56" s="71"/>
      <c r="AH56" s="71"/>
      <c r="AI56" s="71"/>
      <c r="AJ56" s="71"/>
      <c r="AK56" s="72"/>
      <c r="AL56" s="70"/>
      <c r="AM56" s="71"/>
      <c r="AN56" s="71"/>
      <c r="AO56" s="71"/>
      <c r="AP56" s="71"/>
      <c r="AQ56" s="71"/>
      <c r="AR56" s="72"/>
      <c r="AS56" s="67"/>
      <c r="AT56" s="68"/>
      <c r="AU56" s="68"/>
      <c r="AV56" s="68"/>
      <c r="AW56" s="68"/>
      <c r="AX56" s="68"/>
      <c r="AY56" s="69"/>
      <c r="AZ56" s="67"/>
      <c r="BA56" s="68"/>
      <c r="BB56" s="68"/>
      <c r="BC56" s="68"/>
      <c r="BD56" s="68"/>
      <c r="BE56" s="68"/>
      <c r="BF56" s="69"/>
      <c r="BG56" s="70"/>
      <c r="BH56" s="71"/>
      <c r="BI56" s="71"/>
      <c r="BJ56" s="71"/>
      <c r="BK56" s="71"/>
      <c r="BL56" s="71"/>
      <c r="BM56" s="72"/>
      <c r="BN56" s="70"/>
      <c r="BO56" s="71"/>
      <c r="BP56" s="71"/>
      <c r="BQ56" s="71"/>
      <c r="BR56" s="71"/>
      <c r="BS56" s="71"/>
      <c r="BT56" s="72"/>
      <c r="BU56" s="59"/>
      <c r="BV56" s="59"/>
      <c r="BW56" s="59"/>
      <c r="BX56" s="59"/>
      <c r="BY56" s="59"/>
      <c r="BZ56" s="59"/>
      <c r="CA56" s="59"/>
    </row>
    <row r="57" spans="1:79">
      <c r="A57" s="59"/>
      <c r="B57" s="44">
        <f t="shared" si="1"/>
        <v>1976</v>
      </c>
      <c r="C57" s="70"/>
      <c r="D57" s="71"/>
      <c r="E57" s="71"/>
      <c r="F57" s="71"/>
      <c r="G57" s="71"/>
      <c r="H57" s="71"/>
      <c r="I57" s="72"/>
      <c r="J57" s="70"/>
      <c r="K57" s="71"/>
      <c r="L57" s="71"/>
      <c r="M57" s="71"/>
      <c r="N57" s="71"/>
      <c r="O57" s="71"/>
      <c r="P57" s="72"/>
      <c r="Q57" s="67"/>
      <c r="R57" s="68"/>
      <c r="S57" s="68"/>
      <c r="T57" s="68"/>
      <c r="U57" s="68"/>
      <c r="V57" s="68"/>
      <c r="W57" s="69"/>
      <c r="X57" s="67"/>
      <c r="Y57" s="68"/>
      <c r="Z57" s="68"/>
      <c r="AA57" s="68"/>
      <c r="AB57" s="68"/>
      <c r="AC57" s="68"/>
      <c r="AD57" s="69"/>
      <c r="AE57" s="70"/>
      <c r="AF57" s="71"/>
      <c r="AG57" s="71"/>
      <c r="AH57" s="71"/>
      <c r="AI57" s="71"/>
      <c r="AJ57" s="71"/>
      <c r="AK57" s="72"/>
      <c r="AL57" s="70"/>
      <c r="AM57" s="71"/>
      <c r="AN57" s="71"/>
      <c r="AO57" s="71"/>
      <c r="AP57" s="71"/>
      <c r="AQ57" s="71"/>
      <c r="AR57" s="72"/>
      <c r="AS57" s="67"/>
      <c r="AT57" s="68"/>
      <c r="AU57" s="68"/>
      <c r="AV57" s="68"/>
      <c r="AW57" s="68"/>
      <c r="AX57" s="68"/>
      <c r="AY57" s="69"/>
      <c r="AZ57" s="67"/>
      <c r="BA57" s="68"/>
      <c r="BB57" s="68"/>
      <c r="BC57" s="68"/>
      <c r="BD57" s="68"/>
      <c r="BE57" s="68"/>
      <c r="BF57" s="69"/>
      <c r="BG57" s="70"/>
      <c r="BH57" s="71"/>
      <c r="BI57" s="71"/>
      <c r="BJ57" s="71"/>
      <c r="BK57" s="71"/>
      <c r="BL57" s="71"/>
      <c r="BM57" s="72"/>
      <c r="BN57" s="70"/>
      <c r="BO57" s="71"/>
      <c r="BP57" s="71"/>
      <c r="BQ57" s="71"/>
      <c r="BR57" s="71"/>
      <c r="BS57" s="71"/>
      <c r="BT57" s="72"/>
      <c r="BU57" s="59"/>
      <c r="BV57" s="59"/>
      <c r="BW57" s="59"/>
      <c r="BX57" s="59"/>
      <c r="BY57" s="59"/>
      <c r="BZ57" s="59"/>
      <c r="CA57" s="59"/>
    </row>
    <row r="58" spans="1:79">
      <c r="A58" s="59"/>
      <c r="B58" s="44">
        <f t="shared" si="1"/>
        <v>1977</v>
      </c>
      <c r="C58" s="70"/>
      <c r="D58" s="71"/>
      <c r="E58" s="71"/>
      <c r="F58" s="71"/>
      <c r="G58" s="71"/>
      <c r="H58" s="71"/>
      <c r="I58" s="72"/>
      <c r="J58" s="70"/>
      <c r="K58" s="71"/>
      <c r="L58" s="71"/>
      <c r="M58" s="71"/>
      <c r="N58" s="71"/>
      <c r="O58" s="71"/>
      <c r="P58" s="72"/>
      <c r="Q58" s="67"/>
      <c r="R58" s="68"/>
      <c r="S58" s="68"/>
      <c r="T58" s="68"/>
      <c r="U58" s="68"/>
      <c r="V58" s="68"/>
      <c r="W58" s="69"/>
      <c r="X58" s="67"/>
      <c r="Y58" s="68"/>
      <c r="Z58" s="68"/>
      <c r="AA58" s="68"/>
      <c r="AB58" s="68"/>
      <c r="AC58" s="68"/>
      <c r="AD58" s="69"/>
      <c r="AE58" s="70"/>
      <c r="AF58" s="71"/>
      <c r="AG58" s="71"/>
      <c r="AH58" s="71"/>
      <c r="AI58" s="71"/>
      <c r="AJ58" s="71"/>
      <c r="AK58" s="72"/>
      <c r="AL58" s="70"/>
      <c r="AM58" s="71"/>
      <c r="AN58" s="71"/>
      <c r="AO58" s="71"/>
      <c r="AP58" s="71"/>
      <c r="AQ58" s="71"/>
      <c r="AR58" s="72"/>
      <c r="AS58" s="67"/>
      <c r="AT58" s="68"/>
      <c r="AU58" s="68"/>
      <c r="AV58" s="68"/>
      <c r="AW58" s="68"/>
      <c r="AX58" s="68"/>
      <c r="AY58" s="69"/>
      <c r="AZ58" s="67"/>
      <c r="BA58" s="68"/>
      <c r="BB58" s="68"/>
      <c r="BC58" s="68"/>
      <c r="BD58" s="68"/>
      <c r="BE58" s="68"/>
      <c r="BF58" s="69"/>
      <c r="BG58" s="70"/>
      <c r="BH58" s="71"/>
      <c r="BI58" s="71"/>
      <c r="BJ58" s="71"/>
      <c r="BK58" s="71"/>
      <c r="BL58" s="71"/>
      <c r="BM58" s="72"/>
      <c r="BN58" s="70"/>
      <c r="BO58" s="71"/>
      <c r="BP58" s="71"/>
      <c r="BQ58" s="71"/>
      <c r="BR58" s="71"/>
      <c r="BS58" s="71"/>
      <c r="BT58" s="72"/>
      <c r="BU58" s="59"/>
      <c r="BV58" s="59"/>
      <c r="BW58" s="59"/>
      <c r="BX58" s="59"/>
      <c r="BY58" s="59"/>
      <c r="BZ58" s="59"/>
      <c r="CA58" s="59"/>
    </row>
    <row r="59" spans="1:79">
      <c r="A59" s="59"/>
      <c r="B59" s="44">
        <f t="shared" si="1"/>
        <v>1978</v>
      </c>
      <c r="C59" s="70"/>
      <c r="D59" s="71"/>
      <c r="E59" s="71"/>
      <c r="F59" s="71"/>
      <c r="G59" s="71"/>
      <c r="H59" s="71"/>
      <c r="I59" s="72"/>
      <c r="J59" s="70"/>
      <c r="K59" s="71"/>
      <c r="L59" s="71"/>
      <c r="M59" s="71"/>
      <c r="N59" s="71"/>
      <c r="O59" s="71"/>
      <c r="P59" s="72"/>
      <c r="Q59" s="67"/>
      <c r="R59" s="68"/>
      <c r="S59" s="68"/>
      <c r="T59" s="68"/>
      <c r="U59" s="68"/>
      <c r="V59" s="68"/>
      <c r="W59" s="69"/>
      <c r="X59" s="67"/>
      <c r="Y59" s="68"/>
      <c r="Z59" s="68"/>
      <c r="AA59" s="68"/>
      <c r="AB59" s="68"/>
      <c r="AC59" s="68"/>
      <c r="AD59" s="69"/>
      <c r="AE59" s="70"/>
      <c r="AF59" s="71"/>
      <c r="AG59" s="71"/>
      <c r="AH59" s="71"/>
      <c r="AI59" s="71"/>
      <c r="AJ59" s="71"/>
      <c r="AK59" s="72"/>
      <c r="AL59" s="70"/>
      <c r="AM59" s="71"/>
      <c r="AN59" s="71"/>
      <c r="AO59" s="71"/>
      <c r="AP59" s="71"/>
      <c r="AQ59" s="71"/>
      <c r="AR59" s="72"/>
      <c r="AS59" s="67"/>
      <c r="AT59" s="68"/>
      <c r="AU59" s="68"/>
      <c r="AV59" s="68"/>
      <c r="AW59" s="68"/>
      <c r="AX59" s="68"/>
      <c r="AY59" s="69"/>
      <c r="AZ59" s="67"/>
      <c r="BA59" s="68"/>
      <c r="BB59" s="68"/>
      <c r="BC59" s="68"/>
      <c r="BD59" s="68"/>
      <c r="BE59" s="68"/>
      <c r="BF59" s="69"/>
      <c r="BG59" s="70"/>
      <c r="BH59" s="71"/>
      <c r="BI59" s="71"/>
      <c r="BJ59" s="71"/>
      <c r="BK59" s="71"/>
      <c r="BL59" s="71"/>
      <c r="BM59" s="72"/>
      <c r="BN59" s="70"/>
      <c r="BO59" s="71"/>
      <c r="BP59" s="71"/>
      <c r="BQ59" s="71"/>
      <c r="BR59" s="71"/>
      <c r="BS59" s="71"/>
      <c r="BT59" s="72"/>
      <c r="BU59" s="59"/>
      <c r="BV59" s="59"/>
      <c r="BW59" s="59"/>
      <c r="BX59" s="59"/>
      <c r="BY59" s="59"/>
      <c r="BZ59" s="59"/>
      <c r="CA59" s="59"/>
    </row>
    <row r="60" spans="1:79">
      <c r="A60" s="59"/>
      <c r="B60" s="44">
        <f t="shared" si="1"/>
        <v>1979</v>
      </c>
      <c r="C60" s="70"/>
      <c r="D60" s="71"/>
      <c r="E60" s="71"/>
      <c r="F60" s="71"/>
      <c r="G60" s="71"/>
      <c r="H60" s="71"/>
      <c r="I60" s="72"/>
      <c r="J60" s="70"/>
      <c r="K60" s="71"/>
      <c r="L60" s="71"/>
      <c r="M60" s="71"/>
      <c r="N60" s="71"/>
      <c r="O60" s="71"/>
      <c r="P60" s="72"/>
      <c r="Q60" s="67"/>
      <c r="R60" s="68"/>
      <c r="S60" s="68"/>
      <c r="T60" s="68"/>
      <c r="U60" s="68"/>
      <c r="V60" s="68"/>
      <c r="W60" s="69"/>
      <c r="X60" s="67"/>
      <c r="Y60" s="68"/>
      <c r="Z60" s="68"/>
      <c r="AA60" s="68"/>
      <c r="AB60" s="68"/>
      <c r="AC60" s="68"/>
      <c r="AD60" s="69"/>
      <c r="AE60" s="70"/>
      <c r="AF60" s="71"/>
      <c r="AG60" s="71"/>
      <c r="AH60" s="71"/>
      <c r="AI60" s="71"/>
      <c r="AJ60" s="71"/>
      <c r="AK60" s="72"/>
      <c r="AL60" s="70"/>
      <c r="AM60" s="71"/>
      <c r="AN60" s="71"/>
      <c r="AO60" s="71"/>
      <c r="AP60" s="71"/>
      <c r="AQ60" s="71"/>
      <c r="AR60" s="72"/>
      <c r="AS60" s="67"/>
      <c r="AT60" s="68"/>
      <c r="AU60" s="68"/>
      <c r="AV60" s="68"/>
      <c r="AW60" s="68"/>
      <c r="AX60" s="68"/>
      <c r="AY60" s="69"/>
      <c r="AZ60" s="67"/>
      <c r="BA60" s="68"/>
      <c r="BB60" s="68"/>
      <c r="BC60" s="68"/>
      <c r="BD60" s="68"/>
      <c r="BE60" s="68"/>
      <c r="BF60" s="69"/>
      <c r="BG60" s="70"/>
      <c r="BH60" s="71"/>
      <c r="BI60" s="71"/>
      <c r="BJ60" s="71"/>
      <c r="BK60" s="71"/>
      <c r="BL60" s="71"/>
      <c r="BM60" s="72"/>
      <c r="BN60" s="70"/>
      <c r="BO60" s="71"/>
      <c r="BP60" s="71"/>
      <c r="BQ60" s="71"/>
      <c r="BR60" s="71"/>
      <c r="BS60" s="71"/>
      <c r="BT60" s="72"/>
      <c r="BU60" s="59"/>
      <c r="BV60" s="59"/>
      <c r="BW60" s="59"/>
      <c r="BX60" s="59"/>
      <c r="BY60" s="59"/>
      <c r="BZ60" s="59"/>
      <c r="CA60" s="59"/>
    </row>
    <row r="61" spans="1:79">
      <c r="A61" s="59"/>
      <c r="B61" s="44">
        <f t="shared" si="1"/>
        <v>1980</v>
      </c>
      <c r="C61" s="70"/>
      <c r="D61" s="71"/>
      <c r="E61" s="71"/>
      <c r="F61" s="71"/>
      <c r="G61" s="71"/>
      <c r="H61" s="71"/>
      <c r="I61" s="72"/>
      <c r="J61" s="70"/>
      <c r="K61" s="71"/>
      <c r="L61" s="71"/>
      <c r="M61" s="71"/>
      <c r="N61" s="71"/>
      <c r="O61" s="71"/>
      <c r="P61" s="72"/>
      <c r="Q61" s="67"/>
      <c r="R61" s="68"/>
      <c r="S61" s="68"/>
      <c r="T61" s="68"/>
      <c r="U61" s="68"/>
      <c r="V61" s="68"/>
      <c r="W61" s="69"/>
      <c r="X61" s="67"/>
      <c r="Y61" s="68"/>
      <c r="Z61" s="68"/>
      <c r="AA61" s="68"/>
      <c r="AB61" s="68"/>
      <c r="AC61" s="68"/>
      <c r="AD61" s="69"/>
      <c r="AE61" s="70"/>
      <c r="AF61" s="71"/>
      <c r="AG61" s="71"/>
      <c r="AH61" s="71"/>
      <c r="AI61" s="71"/>
      <c r="AJ61" s="71"/>
      <c r="AK61" s="72"/>
      <c r="AL61" s="70"/>
      <c r="AM61" s="71"/>
      <c r="AN61" s="71"/>
      <c r="AO61" s="71"/>
      <c r="AP61" s="71"/>
      <c r="AQ61" s="71"/>
      <c r="AR61" s="72"/>
      <c r="AS61" s="67"/>
      <c r="AT61" s="68"/>
      <c r="AU61" s="68"/>
      <c r="AV61" s="68"/>
      <c r="AW61" s="68"/>
      <c r="AX61" s="68"/>
      <c r="AY61" s="69"/>
      <c r="AZ61" s="67"/>
      <c r="BA61" s="68"/>
      <c r="BB61" s="68"/>
      <c r="BC61" s="68"/>
      <c r="BD61" s="68"/>
      <c r="BE61" s="68"/>
      <c r="BF61" s="69"/>
      <c r="BG61" s="70"/>
      <c r="BH61" s="71"/>
      <c r="BI61" s="71"/>
      <c r="BJ61" s="71"/>
      <c r="BK61" s="71"/>
      <c r="BL61" s="71"/>
      <c r="BM61" s="72"/>
      <c r="BN61" s="70"/>
      <c r="BO61" s="71"/>
      <c r="BP61" s="71"/>
      <c r="BQ61" s="71"/>
      <c r="BR61" s="71"/>
      <c r="BS61" s="71"/>
      <c r="BT61" s="72"/>
      <c r="BU61" s="59"/>
      <c r="BV61" s="59"/>
      <c r="BW61" s="59"/>
      <c r="BX61" s="59"/>
      <c r="BY61" s="59"/>
      <c r="BZ61" s="59"/>
      <c r="CA61" s="59"/>
    </row>
    <row r="62" spans="1:79">
      <c r="A62" s="59"/>
      <c r="B62" s="44" t="str">
        <f t="shared" si="1"/>
        <v/>
      </c>
      <c r="C62" s="70"/>
      <c r="D62" s="71"/>
      <c r="E62" s="71"/>
      <c r="F62" s="71"/>
      <c r="G62" s="71"/>
      <c r="H62" s="71"/>
      <c r="I62" s="72"/>
      <c r="J62" s="70"/>
      <c r="K62" s="71"/>
      <c r="L62" s="71"/>
      <c r="M62" s="71"/>
      <c r="N62" s="71"/>
      <c r="O62" s="71"/>
      <c r="P62" s="72"/>
      <c r="Q62" s="67"/>
      <c r="R62" s="68"/>
      <c r="S62" s="68"/>
      <c r="T62" s="68"/>
      <c r="U62" s="68"/>
      <c r="V62" s="68"/>
      <c r="W62" s="69"/>
      <c r="X62" s="67"/>
      <c r="Y62" s="68"/>
      <c r="Z62" s="68"/>
      <c r="AA62" s="68"/>
      <c r="AB62" s="68"/>
      <c r="AC62" s="68"/>
      <c r="AD62" s="69"/>
      <c r="AE62" s="70"/>
      <c r="AF62" s="71"/>
      <c r="AG62" s="71"/>
      <c r="AH62" s="71"/>
      <c r="AI62" s="71"/>
      <c r="AJ62" s="71"/>
      <c r="AK62" s="72"/>
      <c r="AL62" s="70"/>
      <c r="AM62" s="71"/>
      <c r="AN62" s="71"/>
      <c r="AO62" s="71"/>
      <c r="AP62" s="71"/>
      <c r="AQ62" s="71"/>
      <c r="AR62" s="72"/>
      <c r="AS62" s="67"/>
      <c r="AT62" s="68"/>
      <c r="AU62" s="68"/>
      <c r="AV62" s="68"/>
      <c r="AW62" s="68"/>
      <c r="AX62" s="68"/>
      <c r="AY62" s="69"/>
      <c r="AZ62" s="67"/>
      <c r="BA62" s="68"/>
      <c r="BB62" s="68"/>
      <c r="BC62" s="68"/>
      <c r="BD62" s="68"/>
      <c r="BE62" s="68"/>
      <c r="BF62" s="69"/>
      <c r="BG62" s="70"/>
      <c r="BH62" s="71"/>
      <c r="BI62" s="71"/>
      <c r="BJ62" s="71"/>
      <c r="BK62" s="71"/>
      <c r="BL62" s="71"/>
      <c r="BM62" s="72"/>
      <c r="BN62" s="70"/>
      <c r="BO62" s="71"/>
      <c r="BP62" s="71"/>
      <c r="BQ62" s="71"/>
      <c r="BR62" s="71"/>
      <c r="BS62" s="71"/>
      <c r="BT62" s="72"/>
      <c r="BU62" s="59"/>
      <c r="BV62" s="59"/>
      <c r="BW62" s="59"/>
      <c r="BX62" s="59"/>
      <c r="BY62" s="59"/>
      <c r="BZ62" s="59"/>
      <c r="CA62" s="59"/>
    </row>
    <row r="63" spans="1:79">
      <c r="A63" s="59"/>
      <c r="B63" s="44" t="str">
        <f t="shared" si="1"/>
        <v/>
      </c>
      <c r="C63" s="70"/>
      <c r="D63" s="71"/>
      <c r="E63" s="71"/>
      <c r="F63" s="71"/>
      <c r="G63" s="71"/>
      <c r="H63" s="71"/>
      <c r="I63" s="72"/>
      <c r="J63" s="70"/>
      <c r="K63" s="71"/>
      <c r="L63" s="71"/>
      <c r="M63" s="71"/>
      <c r="N63" s="71"/>
      <c r="O63" s="71"/>
      <c r="P63" s="72"/>
      <c r="Q63" s="67"/>
      <c r="R63" s="68"/>
      <c r="S63" s="68"/>
      <c r="T63" s="68"/>
      <c r="U63" s="68"/>
      <c r="V63" s="68"/>
      <c r="W63" s="69"/>
      <c r="X63" s="67"/>
      <c r="Y63" s="68"/>
      <c r="Z63" s="68"/>
      <c r="AA63" s="68"/>
      <c r="AB63" s="68"/>
      <c r="AC63" s="68"/>
      <c r="AD63" s="69"/>
      <c r="AE63" s="70"/>
      <c r="AF63" s="71"/>
      <c r="AG63" s="71"/>
      <c r="AH63" s="71"/>
      <c r="AI63" s="71"/>
      <c r="AJ63" s="71"/>
      <c r="AK63" s="72"/>
      <c r="AL63" s="70"/>
      <c r="AM63" s="71"/>
      <c r="AN63" s="71"/>
      <c r="AO63" s="71"/>
      <c r="AP63" s="71"/>
      <c r="AQ63" s="71"/>
      <c r="AR63" s="72"/>
      <c r="AS63" s="67"/>
      <c r="AT63" s="68"/>
      <c r="AU63" s="68"/>
      <c r="AV63" s="68"/>
      <c r="AW63" s="68"/>
      <c r="AX63" s="68"/>
      <c r="AY63" s="69"/>
      <c r="AZ63" s="67"/>
      <c r="BA63" s="68"/>
      <c r="BB63" s="68"/>
      <c r="BC63" s="68"/>
      <c r="BD63" s="68"/>
      <c r="BE63" s="68"/>
      <c r="BF63" s="69"/>
      <c r="BG63" s="70"/>
      <c r="BH63" s="71"/>
      <c r="BI63" s="71"/>
      <c r="BJ63" s="71"/>
      <c r="BK63" s="71"/>
      <c r="BL63" s="71"/>
      <c r="BM63" s="72"/>
      <c r="BN63" s="70"/>
      <c r="BO63" s="71"/>
      <c r="BP63" s="71"/>
      <c r="BQ63" s="71"/>
      <c r="BR63" s="71"/>
      <c r="BS63" s="71"/>
      <c r="BT63" s="72"/>
      <c r="BU63" s="59"/>
      <c r="BV63" s="59"/>
      <c r="BW63" s="59"/>
      <c r="BX63" s="59"/>
      <c r="BY63" s="59"/>
      <c r="BZ63" s="59"/>
      <c r="CA63" s="59"/>
    </row>
    <row r="64" spans="1:79">
      <c r="A64" s="59"/>
      <c r="B64" s="44" t="str">
        <f t="shared" si="1"/>
        <v/>
      </c>
      <c r="C64" s="70"/>
      <c r="D64" s="71"/>
      <c r="E64" s="71"/>
      <c r="F64" s="71"/>
      <c r="G64" s="71"/>
      <c r="H64" s="71"/>
      <c r="I64" s="72"/>
      <c r="J64" s="70"/>
      <c r="K64" s="71"/>
      <c r="L64" s="71"/>
      <c r="M64" s="71"/>
      <c r="N64" s="71"/>
      <c r="O64" s="71"/>
      <c r="P64" s="72"/>
      <c r="Q64" s="67"/>
      <c r="R64" s="68"/>
      <c r="S64" s="68"/>
      <c r="T64" s="68"/>
      <c r="U64" s="68"/>
      <c r="V64" s="68"/>
      <c r="W64" s="69"/>
      <c r="X64" s="67"/>
      <c r="Y64" s="68"/>
      <c r="Z64" s="68"/>
      <c r="AA64" s="68"/>
      <c r="AB64" s="68"/>
      <c r="AC64" s="68"/>
      <c r="AD64" s="69"/>
      <c r="AE64" s="70"/>
      <c r="AF64" s="71"/>
      <c r="AG64" s="71"/>
      <c r="AH64" s="71"/>
      <c r="AI64" s="71"/>
      <c r="AJ64" s="71"/>
      <c r="AK64" s="72"/>
      <c r="AL64" s="70"/>
      <c r="AM64" s="71"/>
      <c r="AN64" s="71"/>
      <c r="AO64" s="71"/>
      <c r="AP64" s="71"/>
      <c r="AQ64" s="71"/>
      <c r="AR64" s="72"/>
      <c r="AS64" s="67"/>
      <c r="AT64" s="68"/>
      <c r="AU64" s="68"/>
      <c r="AV64" s="68"/>
      <c r="AW64" s="68"/>
      <c r="AX64" s="68"/>
      <c r="AY64" s="69"/>
      <c r="AZ64" s="67"/>
      <c r="BA64" s="68"/>
      <c r="BB64" s="68"/>
      <c r="BC64" s="68"/>
      <c r="BD64" s="68"/>
      <c r="BE64" s="68"/>
      <c r="BF64" s="69"/>
      <c r="BG64" s="70"/>
      <c r="BH64" s="71"/>
      <c r="BI64" s="71"/>
      <c r="BJ64" s="71"/>
      <c r="BK64" s="71"/>
      <c r="BL64" s="71"/>
      <c r="BM64" s="72"/>
      <c r="BN64" s="70"/>
      <c r="BO64" s="71"/>
      <c r="BP64" s="71"/>
      <c r="BQ64" s="71"/>
      <c r="BR64" s="71"/>
      <c r="BS64" s="71"/>
      <c r="BT64" s="72"/>
      <c r="BU64" s="59"/>
      <c r="BV64" s="59"/>
      <c r="BW64" s="59"/>
      <c r="BX64" s="59"/>
      <c r="BY64" s="59"/>
      <c r="BZ64" s="59"/>
      <c r="CA64" s="59"/>
    </row>
    <row r="65" spans="1:79">
      <c r="A65" s="59"/>
      <c r="B65" s="44" t="str">
        <f t="shared" si="1"/>
        <v/>
      </c>
      <c r="C65" s="70"/>
      <c r="D65" s="71"/>
      <c r="E65" s="71"/>
      <c r="F65" s="71"/>
      <c r="G65" s="71"/>
      <c r="H65" s="71"/>
      <c r="I65" s="72"/>
      <c r="J65" s="70"/>
      <c r="K65" s="71"/>
      <c r="L65" s="71"/>
      <c r="M65" s="71"/>
      <c r="N65" s="71"/>
      <c r="O65" s="71"/>
      <c r="P65" s="72"/>
      <c r="Q65" s="67"/>
      <c r="R65" s="68"/>
      <c r="S65" s="68"/>
      <c r="T65" s="68"/>
      <c r="U65" s="68"/>
      <c r="V65" s="68"/>
      <c r="W65" s="69"/>
      <c r="X65" s="67"/>
      <c r="Y65" s="68"/>
      <c r="Z65" s="68"/>
      <c r="AA65" s="68"/>
      <c r="AB65" s="68"/>
      <c r="AC65" s="68"/>
      <c r="AD65" s="69"/>
      <c r="AE65" s="70"/>
      <c r="AF65" s="71"/>
      <c r="AG65" s="71"/>
      <c r="AH65" s="71"/>
      <c r="AI65" s="71"/>
      <c r="AJ65" s="71"/>
      <c r="AK65" s="72"/>
      <c r="AL65" s="70"/>
      <c r="AM65" s="71"/>
      <c r="AN65" s="71"/>
      <c r="AO65" s="71"/>
      <c r="AP65" s="71"/>
      <c r="AQ65" s="71"/>
      <c r="AR65" s="72"/>
      <c r="AS65" s="67"/>
      <c r="AT65" s="68"/>
      <c r="AU65" s="68"/>
      <c r="AV65" s="68"/>
      <c r="AW65" s="68"/>
      <c r="AX65" s="68"/>
      <c r="AY65" s="69"/>
      <c r="AZ65" s="67"/>
      <c r="BA65" s="68"/>
      <c r="BB65" s="68"/>
      <c r="BC65" s="68"/>
      <c r="BD65" s="68"/>
      <c r="BE65" s="68"/>
      <c r="BF65" s="69"/>
      <c r="BG65" s="70"/>
      <c r="BH65" s="71"/>
      <c r="BI65" s="71"/>
      <c r="BJ65" s="71"/>
      <c r="BK65" s="71"/>
      <c r="BL65" s="71"/>
      <c r="BM65" s="72"/>
      <c r="BN65" s="70"/>
      <c r="BO65" s="71"/>
      <c r="BP65" s="71"/>
      <c r="BQ65" s="71"/>
      <c r="BR65" s="71"/>
      <c r="BS65" s="71"/>
      <c r="BT65" s="72"/>
      <c r="BU65" s="59"/>
      <c r="BV65" s="59"/>
      <c r="BW65" s="59"/>
      <c r="BX65" s="59"/>
      <c r="BY65" s="59"/>
      <c r="BZ65" s="59"/>
      <c r="CA65" s="59"/>
    </row>
    <row r="66" spans="1:79">
      <c r="A66" s="59"/>
      <c r="B66" s="44" t="str">
        <f t="shared" si="1"/>
        <v/>
      </c>
      <c r="C66" s="70"/>
      <c r="D66" s="71"/>
      <c r="E66" s="71"/>
      <c r="F66" s="71"/>
      <c r="G66" s="71"/>
      <c r="H66" s="71"/>
      <c r="I66" s="72"/>
      <c r="J66" s="70"/>
      <c r="K66" s="71"/>
      <c r="L66" s="71"/>
      <c r="M66" s="71"/>
      <c r="N66" s="71"/>
      <c r="O66" s="71"/>
      <c r="P66" s="72"/>
      <c r="Q66" s="67"/>
      <c r="R66" s="68"/>
      <c r="S66" s="68"/>
      <c r="T66" s="68"/>
      <c r="U66" s="68"/>
      <c r="V66" s="68"/>
      <c r="W66" s="69"/>
      <c r="X66" s="67"/>
      <c r="Y66" s="68"/>
      <c r="Z66" s="68"/>
      <c r="AA66" s="68"/>
      <c r="AB66" s="68"/>
      <c r="AC66" s="68"/>
      <c r="AD66" s="69"/>
      <c r="AE66" s="70"/>
      <c r="AF66" s="71"/>
      <c r="AG66" s="71"/>
      <c r="AH66" s="71"/>
      <c r="AI66" s="71"/>
      <c r="AJ66" s="71"/>
      <c r="AK66" s="72"/>
      <c r="AL66" s="70"/>
      <c r="AM66" s="71"/>
      <c r="AN66" s="71"/>
      <c r="AO66" s="71"/>
      <c r="AP66" s="71"/>
      <c r="AQ66" s="71"/>
      <c r="AR66" s="72"/>
      <c r="AS66" s="67"/>
      <c r="AT66" s="68"/>
      <c r="AU66" s="68"/>
      <c r="AV66" s="68"/>
      <c r="AW66" s="68"/>
      <c r="AX66" s="68"/>
      <c r="AY66" s="69"/>
      <c r="AZ66" s="67"/>
      <c r="BA66" s="68"/>
      <c r="BB66" s="68"/>
      <c r="BC66" s="68"/>
      <c r="BD66" s="68"/>
      <c r="BE66" s="68"/>
      <c r="BF66" s="69"/>
      <c r="BG66" s="70"/>
      <c r="BH66" s="71"/>
      <c r="BI66" s="71"/>
      <c r="BJ66" s="71"/>
      <c r="BK66" s="71"/>
      <c r="BL66" s="71"/>
      <c r="BM66" s="72"/>
      <c r="BN66" s="70"/>
      <c r="BO66" s="71"/>
      <c r="BP66" s="71"/>
      <c r="BQ66" s="71"/>
      <c r="BR66" s="71"/>
      <c r="BS66" s="71"/>
      <c r="BT66" s="72"/>
      <c r="BU66" s="59"/>
      <c r="BV66" s="59"/>
      <c r="BW66" s="59"/>
      <c r="BX66" s="59"/>
      <c r="BY66" s="59"/>
      <c r="BZ66" s="59"/>
      <c r="CA66" s="59"/>
    </row>
    <row r="67" spans="1:79">
      <c r="A67" s="59"/>
      <c r="B67" s="44" t="str">
        <f t="shared" si="1"/>
        <v/>
      </c>
      <c r="C67" s="70"/>
      <c r="D67" s="71"/>
      <c r="E67" s="71"/>
      <c r="F67" s="71"/>
      <c r="G67" s="71"/>
      <c r="H67" s="71"/>
      <c r="I67" s="72"/>
      <c r="J67" s="70"/>
      <c r="K67" s="71"/>
      <c r="L67" s="71"/>
      <c r="M67" s="71"/>
      <c r="N67" s="71"/>
      <c r="O67" s="71"/>
      <c r="P67" s="72"/>
      <c r="Q67" s="67"/>
      <c r="R67" s="68"/>
      <c r="S67" s="68"/>
      <c r="T67" s="68"/>
      <c r="U67" s="68"/>
      <c r="V67" s="68"/>
      <c r="W67" s="69"/>
      <c r="X67" s="67"/>
      <c r="Y67" s="68"/>
      <c r="Z67" s="68"/>
      <c r="AA67" s="68"/>
      <c r="AB67" s="68"/>
      <c r="AC67" s="68"/>
      <c r="AD67" s="69"/>
      <c r="AE67" s="70"/>
      <c r="AF67" s="71"/>
      <c r="AG67" s="71"/>
      <c r="AH67" s="71"/>
      <c r="AI67" s="71"/>
      <c r="AJ67" s="71"/>
      <c r="AK67" s="72"/>
      <c r="AL67" s="70"/>
      <c r="AM67" s="71"/>
      <c r="AN67" s="71"/>
      <c r="AO67" s="71"/>
      <c r="AP67" s="71"/>
      <c r="AQ67" s="71"/>
      <c r="AR67" s="72"/>
      <c r="AS67" s="67"/>
      <c r="AT67" s="68"/>
      <c r="AU67" s="68"/>
      <c r="AV67" s="68"/>
      <c r="AW67" s="68"/>
      <c r="AX67" s="68"/>
      <c r="AY67" s="69"/>
      <c r="AZ67" s="67"/>
      <c r="BA67" s="68"/>
      <c r="BB67" s="68"/>
      <c r="BC67" s="68"/>
      <c r="BD67" s="68"/>
      <c r="BE67" s="68"/>
      <c r="BF67" s="69"/>
      <c r="BG67" s="70"/>
      <c r="BH67" s="71"/>
      <c r="BI67" s="71"/>
      <c r="BJ67" s="71"/>
      <c r="BK67" s="71"/>
      <c r="BL67" s="71"/>
      <c r="BM67" s="72"/>
      <c r="BN67" s="70"/>
      <c r="BO67" s="71"/>
      <c r="BP67" s="71"/>
      <c r="BQ67" s="71"/>
      <c r="BR67" s="71"/>
      <c r="BS67" s="71"/>
      <c r="BT67" s="72"/>
      <c r="BU67" s="59"/>
      <c r="BV67" s="59"/>
      <c r="BW67" s="59"/>
      <c r="BX67" s="59"/>
      <c r="BY67" s="59"/>
      <c r="BZ67" s="59"/>
      <c r="CA67" s="59"/>
    </row>
    <row r="68" spans="1:79">
      <c r="A68" s="59"/>
      <c r="B68" s="44" t="str">
        <f t="shared" si="1"/>
        <v/>
      </c>
      <c r="C68" s="70"/>
      <c r="D68" s="71"/>
      <c r="E68" s="71"/>
      <c r="F68" s="71"/>
      <c r="G68" s="71"/>
      <c r="H68" s="71"/>
      <c r="I68" s="72"/>
      <c r="J68" s="70"/>
      <c r="K68" s="71"/>
      <c r="L68" s="71"/>
      <c r="M68" s="71"/>
      <c r="N68" s="71"/>
      <c r="O68" s="71"/>
      <c r="P68" s="72"/>
      <c r="Q68" s="67"/>
      <c r="R68" s="68"/>
      <c r="S68" s="68"/>
      <c r="T68" s="68"/>
      <c r="U68" s="68"/>
      <c r="V68" s="68"/>
      <c r="W68" s="69"/>
      <c r="X68" s="67"/>
      <c r="Y68" s="68"/>
      <c r="Z68" s="68"/>
      <c r="AA68" s="68"/>
      <c r="AB68" s="68"/>
      <c r="AC68" s="68"/>
      <c r="AD68" s="69"/>
      <c r="AE68" s="70"/>
      <c r="AF68" s="71"/>
      <c r="AG68" s="71"/>
      <c r="AH68" s="71"/>
      <c r="AI68" s="71"/>
      <c r="AJ68" s="71"/>
      <c r="AK68" s="72"/>
      <c r="AL68" s="70"/>
      <c r="AM68" s="71"/>
      <c r="AN68" s="71"/>
      <c r="AO68" s="71"/>
      <c r="AP68" s="71"/>
      <c r="AQ68" s="71"/>
      <c r="AR68" s="72"/>
      <c r="AS68" s="67"/>
      <c r="AT68" s="68"/>
      <c r="AU68" s="68"/>
      <c r="AV68" s="68"/>
      <c r="AW68" s="68"/>
      <c r="AX68" s="68"/>
      <c r="AY68" s="69"/>
      <c r="AZ68" s="67"/>
      <c r="BA68" s="68"/>
      <c r="BB68" s="68"/>
      <c r="BC68" s="68"/>
      <c r="BD68" s="68"/>
      <c r="BE68" s="68"/>
      <c r="BF68" s="69"/>
      <c r="BG68" s="70"/>
      <c r="BH68" s="71"/>
      <c r="BI68" s="71"/>
      <c r="BJ68" s="71"/>
      <c r="BK68" s="71"/>
      <c r="BL68" s="71"/>
      <c r="BM68" s="72"/>
      <c r="BN68" s="70"/>
      <c r="BO68" s="71"/>
      <c r="BP68" s="71"/>
      <c r="BQ68" s="71"/>
      <c r="BR68" s="71"/>
      <c r="BS68" s="71"/>
      <c r="BT68" s="72"/>
      <c r="BU68" s="59"/>
      <c r="BV68" s="59"/>
      <c r="BW68" s="59"/>
      <c r="BX68" s="59"/>
      <c r="BY68" s="59"/>
      <c r="BZ68" s="59"/>
      <c r="CA68" s="59"/>
    </row>
    <row r="69" spans="1:79">
      <c r="A69" s="59"/>
      <c r="B69" s="44" t="str">
        <f t="shared" si="1"/>
        <v/>
      </c>
      <c r="C69" s="70"/>
      <c r="D69" s="71"/>
      <c r="E69" s="71"/>
      <c r="F69" s="71"/>
      <c r="G69" s="71"/>
      <c r="H69" s="71"/>
      <c r="I69" s="72"/>
      <c r="J69" s="70"/>
      <c r="K69" s="71"/>
      <c r="L69" s="71"/>
      <c r="M69" s="71"/>
      <c r="N69" s="71"/>
      <c r="O69" s="71"/>
      <c r="P69" s="72"/>
      <c r="Q69" s="67"/>
      <c r="R69" s="68"/>
      <c r="S69" s="68"/>
      <c r="T69" s="68"/>
      <c r="U69" s="68"/>
      <c r="V69" s="68"/>
      <c r="W69" s="69"/>
      <c r="X69" s="67"/>
      <c r="Y69" s="68"/>
      <c r="Z69" s="68"/>
      <c r="AA69" s="68"/>
      <c r="AB69" s="68"/>
      <c r="AC69" s="68"/>
      <c r="AD69" s="69"/>
      <c r="AE69" s="70"/>
      <c r="AF69" s="71"/>
      <c r="AG69" s="71"/>
      <c r="AH69" s="71"/>
      <c r="AI69" s="71"/>
      <c r="AJ69" s="71"/>
      <c r="AK69" s="72"/>
      <c r="AL69" s="70"/>
      <c r="AM69" s="71"/>
      <c r="AN69" s="71"/>
      <c r="AO69" s="71"/>
      <c r="AP69" s="71"/>
      <c r="AQ69" s="71"/>
      <c r="AR69" s="72"/>
      <c r="AS69" s="67"/>
      <c r="AT69" s="68"/>
      <c r="AU69" s="68"/>
      <c r="AV69" s="68"/>
      <c r="AW69" s="68"/>
      <c r="AX69" s="68"/>
      <c r="AY69" s="69"/>
      <c r="AZ69" s="67"/>
      <c r="BA69" s="68"/>
      <c r="BB69" s="68"/>
      <c r="BC69" s="68"/>
      <c r="BD69" s="68"/>
      <c r="BE69" s="68"/>
      <c r="BF69" s="69"/>
      <c r="BG69" s="70"/>
      <c r="BH69" s="71"/>
      <c r="BI69" s="71"/>
      <c r="BJ69" s="71"/>
      <c r="BK69" s="71"/>
      <c r="BL69" s="71"/>
      <c r="BM69" s="72"/>
      <c r="BN69" s="70"/>
      <c r="BO69" s="71"/>
      <c r="BP69" s="71"/>
      <c r="BQ69" s="71"/>
      <c r="BR69" s="71"/>
      <c r="BS69" s="71"/>
      <c r="BT69" s="72"/>
      <c r="BU69" s="59"/>
      <c r="BV69" s="59"/>
      <c r="BW69" s="59"/>
      <c r="BX69" s="59"/>
      <c r="BY69" s="59"/>
      <c r="BZ69" s="59"/>
      <c r="CA69" s="59"/>
    </row>
    <row r="70" spans="1:79">
      <c r="A70" s="59"/>
      <c r="B70" s="44" t="str">
        <f t="shared" si="1"/>
        <v/>
      </c>
      <c r="C70" s="70"/>
      <c r="D70" s="71"/>
      <c r="E70" s="71"/>
      <c r="F70" s="71"/>
      <c r="G70" s="71"/>
      <c r="H70" s="71"/>
      <c r="I70" s="72"/>
      <c r="J70" s="70"/>
      <c r="K70" s="71"/>
      <c r="L70" s="71"/>
      <c r="M70" s="71"/>
      <c r="N70" s="71"/>
      <c r="O70" s="71"/>
      <c r="P70" s="72"/>
      <c r="Q70" s="67"/>
      <c r="R70" s="68"/>
      <c r="S70" s="68"/>
      <c r="T70" s="68"/>
      <c r="U70" s="68"/>
      <c r="V70" s="68"/>
      <c r="W70" s="69"/>
      <c r="X70" s="67"/>
      <c r="Y70" s="68"/>
      <c r="Z70" s="68"/>
      <c r="AA70" s="68"/>
      <c r="AB70" s="68"/>
      <c r="AC70" s="68"/>
      <c r="AD70" s="69"/>
      <c r="AE70" s="70"/>
      <c r="AF70" s="71"/>
      <c r="AG70" s="71"/>
      <c r="AH70" s="71"/>
      <c r="AI70" s="71"/>
      <c r="AJ70" s="71"/>
      <c r="AK70" s="72"/>
      <c r="AL70" s="70"/>
      <c r="AM70" s="71"/>
      <c r="AN70" s="71"/>
      <c r="AO70" s="71"/>
      <c r="AP70" s="71"/>
      <c r="AQ70" s="71"/>
      <c r="AR70" s="72"/>
      <c r="AS70" s="67"/>
      <c r="AT70" s="68"/>
      <c r="AU70" s="68"/>
      <c r="AV70" s="68"/>
      <c r="AW70" s="68"/>
      <c r="AX70" s="68"/>
      <c r="AY70" s="69"/>
      <c r="AZ70" s="67"/>
      <c r="BA70" s="68"/>
      <c r="BB70" s="68"/>
      <c r="BC70" s="68"/>
      <c r="BD70" s="68"/>
      <c r="BE70" s="68"/>
      <c r="BF70" s="69"/>
      <c r="BG70" s="70"/>
      <c r="BH70" s="71"/>
      <c r="BI70" s="71"/>
      <c r="BJ70" s="71"/>
      <c r="BK70" s="71"/>
      <c r="BL70" s="71"/>
      <c r="BM70" s="72"/>
      <c r="BN70" s="70"/>
      <c r="BO70" s="71"/>
      <c r="BP70" s="71"/>
      <c r="BQ70" s="71"/>
      <c r="BR70" s="71"/>
      <c r="BS70" s="71"/>
      <c r="BT70" s="72"/>
      <c r="BU70" s="59"/>
      <c r="BV70" s="59"/>
      <c r="BW70" s="59"/>
      <c r="BX70" s="59"/>
      <c r="BY70" s="59"/>
      <c r="BZ70" s="59"/>
      <c r="CA70" s="59"/>
    </row>
    <row r="71" spans="1:79">
      <c r="A71" s="59"/>
      <c r="B71" s="44" t="str">
        <f t="shared" si="1"/>
        <v/>
      </c>
      <c r="C71" s="70"/>
      <c r="D71" s="71"/>
      <c r="E71" s="71"/>
      <c r="F71" s="71"/>
      <c r="G71" s="71"/>
      <c r="H71" s="71"/>
      <c r="I71" s="72"/>
      <c r="J71" s="70"/>
      <c r="K71" s="71"/>
      <c r="L71" s="71"/>
      <c r="M71" s="71"/>
      <c r="N71" s="71"/>
      <c r="O71" s="71"/>
      <c r="P71" s="72"/>
      <c r="Q71" s="67"/>
      <c r="R71" s="68"/>
      <c r="S71" s="68"/>
      <c r="T71" s="68"/>
      <c r="U71" s="68"/>
      <c r="V71" s="68"/>
      <c r="W71" s="69"/>
      <c r="X71" s="67"/>
      <c r="Y71" s="68"/>
      <c r="Z71" s="68"/>
      <c r="AA71" s="68"/>
      <c r="AB71" s="68"/>
      <c r="AC71" s="68"/>
      <c r="AD71" s="69"/>
      <c r="AE71" s="70"/>
      <c r="AF71" s="71"/>
      <c r="AG71" s="71"/>
      <c r="AH71" s="71"/>
      <c r="AI71" s="71"/>
      <c r="AJ71" s="71"/>
      <c r="AK71" s="72"/>
      <c r="AL71" s="70"/>
      <c r="AM71" s="71"/>
      <c r="AN71" s="71"/>
      <c r="AO71" s="71"/>
      <c r="AP71" s="71"/>
      <c r="AQ71" s="71"/>
      <c r="AR71" s="72"/>
      <c r="AS71" s="67"/>
      <c r="AT71" s="68"/>
      <c r="AU71" s="68"/>
      <c r="AV71" s="68"/>
      <c r="AW71" s="68"/>
      <c r="AX71" s="68"/>
      <c r="AY71" s="69"/>
      <c r="AZ71" s="67"/>
      <c r="BA71" s="68"/>
      <c r="BB71" s="68"/>
      <c r="BC71" s="68"/>
      <c r="BD71" s="68"/>
      <c r="BE71" s="68"/>
      <c r="BF71" s="69"/>
      <c r="BG71" s="70"/>
      <c r="BH71" s="71"/>
      <c r="BI71" s="71"/>
      <c r="BJ71" s="71"/>
      <c r="BK71" s="71"/>
      <c r="BL71" s="71"/>
      <c r="BM71" s="72"/>
      <c r="BN71" s="70"/>
      <c r="BO71" s="71"/>
      <c r="BP71" s="71"/>
      <c r="BQ71" s="71"/>
      <c r="BR71" s="71"/>
      <c r="BS71" s="71"/>
      <c r="BT71" s="72"/>
      <c r="BU71" s="59"/>
      <c r="BV71" s="59"/>
      <c r="BW71" s="59"/>
      <c r="BX71" s="59"/>
      <c r="BY71" s="59"/>
      <c r="BZ71" s="59"/>
      <c r="CA71" s="59"/>
    </row>
    <row r="72" spans="1:79">
      <c r="A72" s="59"/>
      <c r="B72" s="44" t="str">
        <f t="shared" si="1"/>
        <v/>
      </c>
      <c r="C72" s="70"/>
      <c r="D72" s="71"/>
      <c r="E72" s="71"/>
      <c r="F72" s="71"/>
      <c r="G72" s="71"/>
      <c r="H72" s="71"/>
      <c r="I72" s="72"/>
      <c r="J72" s="70"/>
      <c r="K72" s="71"/>
      <c r="L72" s="71"/>
      <c r="M72" s="71"/>
      <c r="N72" s="71"/>
      <c r="O72" s="71"/>
      <c r="P72" s="72"/>
      <c r="Q72" s="67"/>
      <c r="R72" s="68"/>
      <c r="S72" s="68"/>
      <c r="T72" s="68"/>
      <c r="U72" s="68"/>
      <c r="V72" s="68"/>
      <c r="W72" s="69"/>
      <c r="X72" s="67"/>
      <c r="Y72" s="68"/>
      <c r="Z72" s="68"/>
      <c r="AA72" s="68"/>
      <c r="AB72" s="68"/>
      <c r="AC72" s="68"/>
      <c r="AD72" s="69"/>
      <c r="AE72" s="70"/>
      <c r="AF72" s="71"/>
      <c r="AG72" s="71"/>
      <c r="AH72" s="71"/>
      <c r="AI72" s="71"/>
      <c r="AJ72" s="71"/>
      <c r="AK72" s="72"/>
      <c r="AL72" s="70"/>
      <c r="AM72" s="71"/>
      <c r="AN72" s="71"/>
      <c r="AO72" s="71"/>
      <c r="AP72" s="71"/>
      <c r="AQ72" s="71"/>
      <c r="AR72" s="72"/>
      <c r="AS72" s="67"/>
      <c r="AT72" s="68"/>
      <c r="AU72" s="68"/>
      <c r="AV72" s="68"/>
      <c r="AW72" s="68"/>
      <c r="AX72" s="68"/>
      <c r="AY72" s="69"/>
      <c r="AZ72" s="67"/>
      <c r="BA72" s="68"/>
      <c r="BB72" s="68"/>
      <c r="BC72" s="68"/>
      <c r="BD72" s="68"/>
      <c r="BE72" s="68"/>
      <c r="BF72" s="69"/>
      <c r="BG72" s="70"/>
      <c r="BH72" s="71"/>
      <c r="BI72" s="71"/>
      <c r="BJ72" s="71"/>
      <c r="BK72" s="71"/>
      <c r="BL72" s="71"/>
      <c r="BM72" s="72"/>
      <c r="BN72" s="70"/>
      <c r="BO72" s="71"/>
      <c r="BP72" s="71"/>
      <c r="BQ72" s="71"/>
      <c r="BR72" s="71"/>
      <c r="BS72" s="71"/>
      <c r="BT72" s="72"/>
      <c r="BU72" s="59"/>
      <c r="BV72" s="59"/>
      <c r="BW72" s="59"/>
      <c r="BX72" s="59"/>
      <c r="BY72" s="59"/>
      <c r="BZ72" s="59"/>
      <c r="CA72" s="59"/>
    </row>
    <row r="73" spans="1:79">
      <c r="A73" s="59"/>
      <c r="B73" s="44" t="str">
        <f t="shared" si="1"/>
        <v/>
      </c>
      <c r="C73" s="70"/>
      <c r="D73" s="71"/>
      <c r="E73" s="71"/>
      <c r="F73" s="71"/>
      <c r="G73" s="71"/>
      <c r="H73" s="71"/>
      <c r="I73" s="72"/>
      <c r="J73" s="70"/>
      <c r="K73" s="71"/>
      <c r="L73" s="71"/>
      <c r="M73" s="71"/>
      <c r="N73" s="71"/>
      <c r="O73" s="71"/>
      <c r="P73" s="72"/>
      <c r="Q73" s="67"/>
      <c r="R73" s="68"/>
      <c r="S73" s="68"/>
      <c r="T73" s="68"/>
      <c r="U73" s="68"/>
      <c r="V73" s="68"/>
      <c r="W73" s="69"/>
      <c r="X73" s="67"/>
      <c r="Y73" s="68"/>
      <c r="Z73" s="68"/>
      <c r="AA73" s="68"/>
      <c r="AB73" s="68"/>
      <c r="AC73" s="68"/>
      <c r="AD73" s="69"/>
      <c r="AE73" s="70"/>
      <c r="AF73" s="71"/>
      <c r="AG73" s="71"/>
      <c r="AH73" s="71"/>
      <c r="AI73" s="71"/>
      <c r="AJ73" s="71"/>
      <c r="AK73" s="72"/>
      <c r="AL73" s="70"/>
      <c r="AM73" s="71"/>
      <c r="AN73" s="71"/>
      <c r="AO73" s="71"/>
      <c r="AP73" s="71"/>
      <c r="AQ73" s="71"/>
      <c r="AR73" s="72"/>
      <c r="AS73" s="67"/>
      <c r="AT73" s="68"/>
      <c r="AU73" s="68"/>
      <c r="AV73" s="68"/>
      <c r="AW73" s="68"/>
      <c r="AX73" s="68"/>
      <c r="AY73" s="69"/>
      <c r="AZ73" s="67"/>
      <c r="BA73" s="68"/>
      <c r="BB73" s="68"/>
      <c r="BC73" s="68"/>
      <c r="BD73" s="68"/>
      <c r="BE73" s="68"/>
      <c r="BF73" s="69"/>
      <c r="BG73" s="70"/>
      <c r="BH73" s="71"/>
      <c r="BI73" s="71"/>
      <c r="BJ73" s="71"/>
      <c r="BK73" s="71"/>
      <c r="BL73" s="71"/>
      <c r="BM73" s="72"/>
      <c r="BN73" s="70"/>
      <c r="BO73" s="71"/>
      <c r="BP73" s="71"/>
      <c r="BQ73" s="71"/>
      <c r="BR73" s="71"/>
      <c r="BS73" s="71"/>
      <c r="BT73" s="72"/>
      <c r="BU73" s="59"/>
      <c r="BV73" s="59"/>
      <c r="BW73" s="59"/>
      <c r="BX73" s="59"/>
      <c r="BY73" s="59"/>
      <c r="BZ73" s="59"/>
      <c r="CA73" s="59"/>
    </row>
    <row r="74" spans="1:79">
      <c r="A74" s="59"/>
      <c r="B74" s="44" t="str">
        <f t="shared" si="1"/>
        <v/>
      </c>
      <c r="C74" s="70"/>
      <c r="D74" s="71"/>
      <c r="E74" s="71"/>
      <c r="F74" s="71"/>
      <c r="G74" s="71"/>
      <c r="H74" s="71"/>
      <c r="I74" s="72"/>
      <c r="J74" s="70"/>
      <c r="K74" s="71"/>
      <c r="L74" s="71"/>
      <c r="M74" s="71"/>
      <c r="N74" s="71"/>
      <c r="O74" s="71"/>
      <c r="P74" s="72"/>
      <c r="Q74" s="67"/>
      <c r="R74" s="68"/>
      <c r="S74" s="68"/>
      <c r="T74" s="68"/>
      <c r="U74" s="68"/>
      <c r="V74" s="68"/>
      <c r="W74" s="69"/>
      <c r="X74" s="67"/>
      <c r="Y74" s="68"/>
      <c r="Z74" s="68"/>
      <c r="AA74" s="68"/>
      <c r="AB74" s="68"/>
      <c r="AC74" s="68"/>
      <c r="AD74" s="69"/>
      <c r="AE74" s="70"/>
      <c r="AF74" s="71"/>
      <c r="AG74" s="71"/>
      <c r="AH74" s="71"/>
      <c r="AI74" s="71"/>
      <c r="AJ74" s="71"/>
      <c r="AK74" s="72"/>
      <c r="AL74" s="70"/>
      <c r="AM74" s="71"/>
      <c r="AN74" s="71"/>
      <c r="AO74" s="71"/>
      <c r="AP74" s="71"/>
      <c r="AQ74" s="71"/>
      <c r="AR74" s="72"/>
      <c r="AS74" s="67"/>
      <c r="AT74" s="68"/>
      <c r="AU74" s="68"/>
      <c r="AV74" s="68"/>
      <c r="AW74" s="68"/>
      <c r="AX74" s="68"/>
      <c r="AY74" s="69"/>
      <c r="AZ74" s="67"/>
      <c r="BA74" s="68"/>
      <c r="BB74" s="68"/>
      <c r="BC74" s="68"/>
      <c r="BD74" s="68"/>
      <c r="BE74" s="68"/>
      <c r="BF74" s="69"/>
      <c r="BG74" s="70"/>
      <c r="BH74" s="71"/>
      <c r="BI74" s="71"/>
      <c r="BJ74" s="71"/>
      <c r="BK74" s="71"/>
      <c r="BL74" s="71"/>
      <c r="BM74" s="72"/>
      <c r="BN74" s="70"/>
      <c r="BO74" s="71"/>
      <c r="BP74" s="71"/>
      <c r="BQ74" s="71"/>
      <c r="BR74" s="71"/>
      <c r="BS74" s="71"/>
      <c r="BT74" s="72"/>
      <c r="BU74" s="59"/>
      <c r="BV74" s="59"/>
      <c r="BW74" s="59"/>
      <c r="BX74" s="59"/>
      <c r="BY74" s="59"/>
      <c r="BZ74" s="59"/>
      <c r="CA74" s="59"/>
    </row>
    <row r="75" spans="1:79">
      <c r="A75" s="59"/>
      <c r="B75" s="44" t="str">
        <f t="shared" ref="B75:B106" si="2">IF(Start_year+ROW(B75)-ROW($B$11)&gt;End_year,"",Start_year+ROW(B75)-ROW($B$11))</f>
        <v/>
      </c>
      <c r="C75" s="70"/>
      <c r="D75" s="71"/>
      <c r="E75" s="71"/>
      <c r="F75" s="71"/>
      <c r="G75" s="71"/>
      <c r="H75" s="71"/>
      <c r="I75" s="72"/>
      <c r="J75" s="70"/>
      <c r="K75" s="71"/>
      <c r="L75" s="71"/>
      <c r="M75" s="71"/>
      <c r="N75" s="71"/>
      <c r="O75" s="71"/>
      <c r="P75" s="72"/>
      <c r="Q75" s="67"/>
      <c r="R75" s="68"/>
      <c r="S75" s="68"/>
      <c r="T75" s="68"/>
      <c r="U75" s="68"/>
      <c r="V75" s="68"/>
      <c r="W75" s="69"/>
      <c r="X75" s="67"/>
      <c r="Y75" s="68"/>
      <c r="Z75" s="68"/>
      <c r="AA75" s="68"/>
      <c r="AB75" s="68"/>
      <c r="AC75" s="68"/>
      <c r="AD75" s="69"/>
      <c r="AE75" s="70"/>
      <c r="AF75" s="71"/>
      <c r="AG75" s="71"/>
      <c r="AH75" s="71"/>
      <c r="AI75" s="71"/>
      <c r="AJ75" s="71"/>
      <c r="AK75" s="72"/>
      <c r="AL75" s="70"/>
      <c r="AM75" s="71"/>
      <c r="AN75" s="71"/>
      <c r="AO75" s="71"/>
      <c r="AP75" s="71"/>
      <c r="AQ75" s="71"/>
      <c r="AR75" s="72"/>
      <c r="AS75" s="67"/>
      <c r="AT75" s="68"/>
      <c r="AU75" s="68"/>
      <c r="AV75" s="68"/>
      <c r="AW75" s="68"/>
      <c r="AX75" s="68"/>
      <c r="AY75" s="69"/>
      <c r="AZ75" s="67"/>
      <c r="BA75" s="68"/>
      <c r="BB75" s="68"/>
      <c r="BC75" s="68"/>
      <c r="BD75" s="68"/>
      <c r="BE75" s="68"/>
      <c r="BF75" s="69"/>
      <c r="BG75" s="70"/>
      <c r="BH75" s="71"/>
      <c r="BI75" s="71"/>
      <c r="BJ75" s="71"/>
      <c r="BK75" s="71"/>
      <c r="BL75" s="71"/>
      <c r="BM75" s="72"/>
      <c r="BN75" s="70"/>
      <c r="BO75" s="71"/>
      <c r="BP75" s="71"/>
      <c r="BQ75" s="71"/>
      <c r="BR75" s="71"/>
      <c r="BS75" s="71"/>
      <c r="BT75" s="72"/>
      <c r="BU75" s="59"/>
      <c r="BV75" s="59"/>
      <c r="BW75" s="59"/>
      <c r="BX75" s="59"/>
      <c r="BY75" s="59"/>
      <c r="BZ75" s="59"/>
      <c r="CA75" s="59"/>
    </row>
    <row r="76" spans="1:79">
      <c r="A76" s="59"/>
      <c r="B76" s="44" t="str">
        <f t="shared" si="2"/>
        <v/>
      </c>
      <c r="C76" s="70"/>
      <c r="D76" s="71"/>
      <c r="E76" s="71"/>
      <c r="F76" s="71"/>
      <c r="G76" s="71"/>
      <c r="H76" s="71"/>
      <c r="I76" s="72"/>
      <c r="J76" s="70"/>
      <c r="K76" s="71"/>
      <c r="L76" s="71"/>
      <c r="M76" s="71"/>
      <c r="N76" s="71"/>
      <c r="O76" s="71"/>
      <c r="P76" s="72"/>
      <c r="Q76" s="67"/>
      <c r="R76" s="68"/>
      <c r="S76" s="68"/>
      <c r="T76" s="68"/>
      <c r="U76" s="68"/>
      <c r="V76" s="68"/>
      <c r="W76" s="69"/>
      <c r="X76" s="67"/>
      <c r="Y76" s="68"/>
      <c r="Z76" s="68"/>
      <c r="AA76" s="68"/>
      <c r="AB76" s="68"/>
      <c r="AC76" s="68"/>
      <c r="AD76" s="69"/>
      <c r="AE76" s="70"/>
      <c r="AF76" s="71"/>
      <c r="AG76" s="71"/>
      <c r="AH76" s="71"/>
      <c r="AI76" s="71"/>
      <c r="AJ76" s="71"/>
      <c r="AK76" s="72"/>
      <c r="AL76" s="70"/>
      <c r="AM76" s="71"/>
      <c r="AN76" s="71"/>
      <c r="AO76" s="71"/>
      <c r="AP76" s="71"/>
      <c r="AQ76" s="71"/>
      <c r="AR76" s="72"/>
      <c r="AS76" s="67"/>
      <c r="AT76" s="68"/>
      <c r="AU76" s="68"/>
      <c r="AV76" s="68"/>
      <c r="AW76" s="68"/>
      <c r="AX76" s="68"/>
      <c r="AY76" s="69"/>
      <c r="AZ76" s="67"/>
      <c r="BA76" s="68"/>
      <c r="BB76" s="68"/>
      <c r="BC76" s="68"/>
      <c r="BD76" s="68"/>
      <c r="BE76" s="68"/>
      <c r="BF76" s="69"/>
      <c r="BG76" s="70"/>
      <c r="BH76" s="71"/>
      <c r="BI76" s="71"/>
      <c r="BJ76" s="71"/>
      <c r="BK76" s="71"/>
      <c r="BL76" s="71"/>
      <c r="BM76" s="72"/>
      <c r="BN76" s="70"/>
      <c r="BO76" s="71"/>
      <c r="BP76" s="71"/>
      <c r="BQ76" s="71"/>
      <c r="BR76" s="71"/>
      <c r="BS76" s="71"/>
      <c r="BT76" s="72"/>
      <c r="BU76" s="59"/>
      <c r="BV76" s="59"/>
      <c r="BW76" s="59"/>
      <c r="BX76" s="59"/>
      <c r="BY76" s="59"/>
      <c r="BZ76" s="59"/>
      <c r="CA76" s="59"/>
    </row>
    <row r="77" spans="1:79">
      <c r="A77" s="59"/>
      <c r="B77" s="44" t="str">
        <f t="shared" si="2"/>
        <v/>
      </c>
      <c r="C77" s="70"/>
      <c r="D77" s="71"/>
      <c r="E77" s="71"/>
      <c r="F77" s="71"/>
      <c r="G77" s="71"/>
      <c r="H77" s="71"/>
      <c r="I77" s="72"/>
      <c r="J77" s="70"/>
      <c r="K77" s="71"/>
      <c r="L77" s="71"/>
      <c r="M77" s="71"/>
      <c r="N77" s="71"/>
      <c r="O77" s="71"/>
      <c r="P77" s="72"/>
      <c r="Q77" s="67"/>
      <c r="R77" s="68"/>
      <c r="S77" s="68"/>
      <c r="T77" s="68"/>
      <c r="U77" s="68"/>
      <c r="V77" s="68"/>
      <c r="W77" s="69"/>
      <c r="X77" s="67"/>
      <c r="Y77" s="68"/>
      <c r="Z77" s="68"/>
      <c r="AA77" s="68"/>
      <c r="AB77" s="68"/>
      <c r="AC77" s="68"/>
      <c r="AD77" s="69"/>
      <c r="AE77" s="70"/>
      <c r="AF77" s="71"/>
      <c r="AG77" s="71"/>
      <c r="AH77" s="71"/>
      <c r="AI77" s="71"/>
      <c r="AJ77" s="71"/>
      <c r="AK77" s="72"/>
      <c r="AL77" s="70"/>
      <c r="AM77" s="71"/>
      <c r="AN77" s="71"/>
      <c r="AO77" s="71"/>
      <c r="AP77" s="71"/>
      <c r="AQ77" s="71"/>
      <c r="AR77" s="72"/>
      <c r="AS77" s="67"/>
      <c r="AT77" s="68"/>
      <c r="AU77" s="68"/>
      <c r="AV77" s="68"/>
      <c r="AW77" s="68"/>
      <c r="AX77" s="68"/>
      <c r="AY77" s="69"/>
      <c r="AZ77" s="67"/>
      <c r="BA77" s="68"/>
      <c r="BB77" s="68"/>
      <c r="BC77" s="68"/>
      <c r="BD77" s="68"/>
      <c r="BE77" s="68"/>
      <c r="BF77" s="69"/>
      <c r="BG77" s="70"/>
      <c r="BH77" s="71"/>
      <c r="BI77" s="71"/>
      <c r="BJ77" s="71"/>
      <c r="BK77" s="71"/>
      <c r="BL77" s="71"/>
      <c r="BM77" s="72"/>
      <c r="BN77" s="70"/>
      <c r="BO77" s="71"/>
      <c r="BP77" s="71"/>
      <c r="BQ77" s="71"/>
      <c r="BR77" s="71"/>
      <c r="BS77" s="71"/>
      <c r="BT77" s="72"/>
      <c r="BU77" s="59"/>
      <c r="BV77" s="59"/>
      <c r="BW77" s="59"/>
      <c r="BX77" s="59"/>
      <c r="BY77" s="59"/>
      <c r="BZ77" s="59"/>
      <c r="CA77" s="59"/>
    </row>
    <row r="78" spans="1:79">
      <c r="A78" s="59"/>
      <c r="B78" s="44" t="str">
        <f t="shared" si="2"/>
        <v/>
      </c>
      <c r="C78" s="70"/>
      <c r="D78" s="71"/>
      <c r="E78" s="71"/>
      <c r="F78" s="71"/>
      <c r="G78" s="71"/>
      <c r="H78" s="71"/>
      <c r="I78" s="72"/>
      <c r="J78" s="70"/>
      <c r="K78" s="71"/>
      <c r="L78" s="71"/>
      <c r="M78" s="71"/>
      <c r="N78" s="71"/>
      <c r="O78" s="71"/>
      <c r="P78" s="72"/>
      <c r="Q78" s="67"/>
      <c r="R78" s="68"/>
      <c r="S78" s="68"/>
      <c r="T78" s="68"/>
      <c r="U78" s="68"/>
      <c r="V78" s="68"/>
      <c r="W78" s="69"/>
      <c r="X78" s="67"/>
      <c r="Y78" s="68"/>
      <c r="Z78" s="68"/>
      <c r="AA78" s="68"/>
      <c r="AB78" s="68"/>
      <c r="AC78" s="68"/>
      <c r="AD78" s="69"/>
      <c r="AE78" s="70"/>
      <c r="AF78" s="71"/>
      <c r="AG78" s="71"/>
      <c r="AH78" s="71"/>
      <c r="AI78" s="71"/>
      <c r="AJ78" s="71"/>
      <c r="AK78" s="72"/>
      <c r="AL78" s="70"/>
      <c r="AM78" s="71"/>
      <c r="AN78" s="71"/>
      <c r="AO78" s="71"/>
      <c r="AP78" s="71"/>
      <c r="AQ78" s="71"/>
      <c r="AR78" s="72"/>
      <c r="AS78" s="67"/>
      <c r="AT78" s="68"/>
      <c r="AU78" s="68"/>
      <c r="AV78" s="68"/>
      <c r="AW78" s="68"/>
      <c r="AX78" s="68"/>
      <c r="AY78" s="69"/>
      <c r="AZ78" s="67"/>
      <c r="BA78" s="68"/>
      <c r="BB78" s="68"/>
      <c r="BC78" s="68"/>
      <c r="BD78" s="68"/>
      <c r="BE78" s="68"/>
      <c r="BF78" s="69"/>
      <c r="BG78" s="70"/>
      <c r="BH78" s="71"/>
      <c r="BI78" s="71"/>
      <c r="BJ78" s="71"/>
      <c r="BK78" s="71"/>
      <c r="BL78" s="71"/>
      <c r="BM78" s="72"/>
      <c r="BN78" s="70"/>
      <c r="BO78" s="71"/>
      <c r="BP78" s="71"/>
      <c r="BQ78" s="71"/>
      <c r="BR78" s="71"/>
      <c r="BS78" s="71"/>
      <c r="BT78" s="72"/>
      <c r="BU78" s="59"/>
      <c r="BV78" s="59"/>
      <c r="BW78" s="59"/>
      <c r="BX78" s="59"/>
      <c r="BY78" s="59"/>
      <c r="BZ78" s="59"/>
      <c r="CA78" s="59"/>
    </row>
    <row r="79" spans="1:79">
      <c r="A79" s="59"/>
      <c r="B79" s="44" t="str">
        <f t="shared" si="2"/>
        <v/>
      </c>
      <c r="C79" s="70"/>
      <c r="D79" s="71"/>
      <c r="E79" s="71"/>
      <c r="F79" s="71"/>
      <c r="G79" s="71"/>
      <c r="H79" s="71"/>
      <c r="I79" s="72"/>
      <c r="J79" s="70"/>
      <c r="K79" s="71"/>
      <c r="L79" s="71"/>
      <c r="M79" s="71"/>
      <c r="N79" s="71"/>
      <c r="O79" s="71"/>
      <c r="P79" s="72"/>
      <c r="Q79" s="67"/>
      <c r="R79" s="68"/>
      <c r="S79" s="68"/>
      <c r="T79" s="68"/>
      <c r="U79" s="68"/>
      <c r="V79" s="68"/>
      <c r="W79" s="69"/>
      <c r="X79" s="67"/>
      <c r="Y79" s="68"/>
      <c r="Z79" s="68"/>
      <c r="AA79" s="68"/>
      <c r="AB79" s="68"/>
      <c r="AC79" s="68"/>
      <c r="AD79" s="69"/>
      <c r="AE79" s="70"/>
      <c r="AF79" s="71"/>
      <c r="AG79" s="71"/>
      <c r="AH79" s="71"/>
      <c r="AI79" s="71"/>
      <c r="AJ79" s="71"/>
      <c r="AK79" s="72"/>
      <c r="AL79" s="70"/>
      <c r="AM79" s="71"/>
      <c r="AN79" s="71"/>
      <c r="AO79" s="71"/>
      <c r="AP79" s="71"/>
      <c r="AQ79" s="71"/>
      <c r="AR79" s="72"/>
      <c r="AS79" s="67"/>
      <c r="AT79" s="68"/>
      <c r="AU79" s="68"/>
      <c r="AV79" s="68"/>
      <c r="AW79" s="68"/>
      <c r="AX79" s="68"/>
      <c r="AY79" s="69"/>
      <c r="AZ79" s="67"/>
      <c r="BA79" s="68"/>
      <c r="BB79" s="68"/>
      <c r="BC79" s="68"/>
      <c r="BD79" s="68"/>
      <c r="BE79" s="68"/>
      <c r="BF79" s="69"/>
      <c r="BG79" s="70"/>
      <c r="BH79" s="71"/>
      <c r="BI79" s="71"/>
      <c r="BJ79" s="71"/>
      <c r="BK79" s="71"/>
      <c r="BL79" s="71"/>
      <c r="BM79" s="72"/>
      <c r="BN79" s="70"/>
      <c r="BO79" s="71"/>
      <c r="BP79" s="71"/>
      <c r="BQ79" s="71"/>
      <c r="BR79" s="71"/>
      <c r="BS79" s="71"/>
      <c r="BT79" s="72"/>
      <c r="BU79" s="59"/>
      <c r="BV79" s="59"/>
      <c r="BW79" s="59"/>
      <c r="BX79" s="59"/>
      <c r="BY79" s="59"/>
      <c r="BZ79" s="59"/>
      <c r="CA79" s="59"/>
    </row>
    <row r="80" spans="1:79">
      <c r="A80" s="59"/>
      <c r="B80" s="44" t="str">
        <f t="shared" si="2"/>
        <v/>
      </c>
      <c r="C80" s="70"/>
      <c r="D80" s="71"/>
      <c r="E80" s="71"/>
      <c r="F80" s="71"/>
      <c r="G80" s="71"/>
      <c r="H80" s="71"/>
      <c r="I80" s="72"/>
      <c r="J80" s="70"/>
      <c r="K80" s="71"/>
      <c r="L80" s="71"/>
      <c r="M80" s="71"/>
      <c r="N80" s="71"/>
      <c r="O80" s="71"/>
      <c r="P80" s="72"/>
      <c r="Q80" s="67"/>
      <c r="R80" s="68"/>
      <c r="S80" s="68"/>
      <c r="T80" s="68"/>
      <c r="U80" s="68"/>
      <c r="V80" s="68"/>
      <c r="W80" s="69"/>
      <c r="X80" s="67"/>
      <c r="Y80" s="68"/>
      <c r="Z80" s="68"/>
      <c r="AA80" s="68"/>
      <c r="AB80" s="68"/>
      <c r="AC80" s="68"/>
      <c r="AD80" s="69"/>
      <c r="AE80" s="70"/>
      <c r="AF80" s="71"/>
      <c r="AG80" s="71"/>
      <c r="AH80" s="71"/>
      <c r="AI80" s="71"/>
      <c r="AJ80" s="71"/>
      <c r="AK80" s="72"/>
      <c r="AL80" s="70"/>
      <c r="AM80" s="71"/>
      <c r="AN80" s="71"/>
      <c r="AO80" s="71"/>
      <c r="AP80" s="71"/>
      <c r="AQ80" s="71"/>
      <c r="AR80" s="72"/>
      <c r="AS80" s="67"/>
      <c r="AT80" s="68"/>
      <c r="AU80" s="68"/>
      <c r="AV80" s="68"/>
      <c r="AW80" s="68"/>
      <c r="AX80" s="68"/>
      <c r="AY80" s="69"/>
      <c r="AZ80" s="67"/>
      <c r="BA80" s="68"/>
      <c r="BB80" s="68"/>
      <c r="BC80" s="68"/>
      <c r="BD80" s="68"/>
      <c r="BE80" s="68"/>
      <c r="BF80" s="69"/>
      <c r="BG80" s="70"/>
      <c r="BH80" s="71"/>
      <c r="BI80" s="71"/>
      <c r="BJ80" s="71"/>
      <c r="BK80" s="71"/>
      <c r="BL80" s="71"/>
      <c r="BM80" s="72"/>
      <c r="BN80" s="70"/>
      <c r="BO80" s="71"/>
      <c r="BP80" s="71"/>
      <c r="BQ80" s="71"/>
      <c r="BR80" s="71"/>
      <c r="BS80" s="71"/>
      <c r="BT80" s="72"/>
      <c r="BU80" s="59"/>
      <c r="BV80" s="59"/>
      <c r="BW80" s="59"/>
      <c r="BX80" s="59"/>
      <c r="BY80" s="59"/>
      <c r="BZ80" s="59"/>
      <c r="CA80" s="59"/>
    </row>
    <row r="81" spans="1:79">
      <c r="A81" s="59"/>
      <c r="B81" s="44" t="str">
        <f t="shared" si="2"/>
        <v/>
      </c>
      <c r="C81" s="70"/>
      <c r="D81" s="71"/>
      <c r="E81" s="71"/>
      <c r="F81" s="71"/>
      <c r="G81" s="71"/>
      <c r="H81" s="71"/>
      <c r="I81" s="72"/>
      <c r="J81" s="70"/>
      <c r="K81" s="71"/>
      <c r="L81" s="71"/>
      <c r="M81" s="71"/>
      <c r="N81" s="71"/>
      <c r="O81" s="71"/>
      <c r="P81" s="72"/>
      <c r="Q81" s="67"/>
      <c r="R81" s="68"/>
      <c r="S81" s="68"/>
      <c r="T81" s="68"/>
      <c r="U81" s="68"/>
      <c r="V81" s="68"/>
      <c r="W81" s="69"/>
      <c r="X81" s="67"/>
      <c r="Y81" s="68"/>
      <c r="Z81" s="68"/>
      <c r="AA81" s="68"/>
      <c r="AB81" s="68"/>
      <c r="AC81" s="68"/>
      <c r="AD81" s="69"/>
      <c r="AE81" s="70"/>
      <c r="AF81" s="71"/>
      <c r="AG81" s="71"/>
      <c r="AH81" s="71"/>
      <c r="AI81" s="71"/>
      <c r="AJ81" s="71"/>
      <c r="AK81" s="72"/>
      <c r="AL81" s="70"/>
      <c r="AM81" s="71"/>
      <c r="AN81" s="71"/>
      <c r="AO81" s="71"/>
      <c r="AP81" s="71"/>
      <c r="AQ81" s="71"/>
      <c r="AR81" s="72"/>
      <c r="AS81" s="67"/>
      <c r="AT81" s="68"/>
      <c r="AU81" s="68"/>
      <c r="AV81" s="68"/>
      <c r="AW81" s="68"/>
      <c r="AX81" s="68"/>
      <c r="AY81" s="69"/>
      <c r="AZ81" s="67"/>
      <c r="BA81" s="68"/>
      <c r="BB81" s="68"/>
      <c r="BC81" s="68"/>
      <c r="BD81" s="68"/>
      <c r="BE81" s="68"/>
      <c r="BF81" s="69"/>
      <c r="BG81" s="70"/>
      <c r="BH81" s="71"/>
      <c r="BI81" s="71"/>
      <c r="BJ81" s="71"/>
      <c r="BK81" s="71"/>
      <c r="BL81" s="71"/>
      <c r="BM81" s="72"/>
      <c r="BN81" s="70"/>
      <c r="BO81" s="71"/>
      <c r="BP81" s="71"/>
      <c r="BQ81" s="71"/>
      <c r="BR81" s="71"/>
      <c r="BS81" s="71"/>
      <c r="BT81" s="72"/>
      <c r="BU81" s="59"/>
      <c r="BV81" s="59"/>
      <c r="BW81" s="59"/>
      <c r="BX81" s="59"/>
      <c r="BY81" s="59"/>
      <c r="BZ81" s="59"/>
      <c r="CA81" s="59"/>
    </row>
    <row r="82" spans="1:79">
      <c r="A82" s="59"/>
      <c r="B82" s="44" t="str">
        <f t="shared" si="2"/>
        <v/>
      </c>
      <c r="C82" s="70"/>
      <c r="D82" s="71"/>
      <c r="E82" s="71"/>
      <c r="F82" s="71"/>
      <c r="G82" s="71"/>
      <c r="H82" s="71"/>
      <c r="I82" s="72"/>
      <c r="J82" s="70"/>
      <c r="K82" s="71"/>
      <c r="L82" s="71"/>
      <c r="M82" s="71"/>
      <c r="N82" s="71"/>
      <c r="O82" s="71"/>
      <c r="P82" s="72"/>
      <c r="Q82" s="67"/>
      <c r="R82" s="68"/>
      <c r="S82" s="68"/>
      <c r="T82" s="68"/>
      <c r="U82" s="68"/>
      <c r="V82" s="68"/>
      <c r="W82" s="69"/>
      <c r="X82" s="67"/>
      <c r="Y82" s="68"/>
      <c r="Z82" s="68"/>
      <c r="AA82" s="68"/>
      <c r="AB82" s="68"/>
      <c r="AC82" s="68"/>
      <c r="AD82" s="69"/>
      <c r="AE82" s="70"/>
      <c r="AF82" s="71"/>
      <c r="AG82" s="71"/>
      <c r="AH82" s="71"/>
      <c r="AI82" s="71"/>
      <c r="AJ82" s="71"/>
      <c r="AK82" s="72"/>
      <c r="AL82" s="70"/>
      <c r="AM82" s="71"/>
      <c r="AN82" s="71"/>
      <c r="AO82" s="71"/>
      <c r="AP82" s="71"/>
      <c r="AQ82" s="71"/>
      <c r="AR82" s="72"/>
      <c r="AS82" s="67"/>
      <c r="AT82" s="68"/>
      <c r="AU82" s="68"/>
      <c r="AV82" s="68"/>
      <c r="AW82" s="68"/>
      <c r="AX82" s="68"/>
      <c r="AY82" s="69"/>
      <c r="AZ82" s="67"/>
      <c r="BA82" s="68"/>
      <c r="BB82" s="68"/>
      <c r="BC82" s="68"/>
      <c r="BD82" s="68"/>
      <c r="BE82" s="68"/>
      <c r="BF82" s="69"/>
      <c r="BG82" s="70"/>
      <c r="BH82" s="71"/>
      <c r="BI82" s="71"/>
      <c r="BJ82" s="71"/>
      <c r="BK82" s="71"/>
      <c r="BL82" s="71"/>
      <c r="BM82" s="72"/>
      <c r="BN82" s="70"/>
      <c r="BO82" s="71"/>
      <c r="BP82" s="71"/>
      <c r="BQ82" s="71"/>
      <c r="BR82" s="71"/>
      <c r="BS82" s="71"/>
      <c r="BT82" s="72"/>
      <c r="BU82" s="59"/>
      <c r="BV82" s="59"/>
      <c r="BW82" s="59"/>
      <c r="BX82" s="59"/>
      <c r="BY82" s="59"/>
      <c r="BZ82" s="59"/>
      <c r="CA82" s="59"/>
    </row>
    <row r="83" spans="1:79">
      <c r="A83" s="59"/>
      <c r="B83" s="44" t="str">
        <f t="shared" si="2"/>
        <v/>
      </c>
      <c r="C83" s="70"/>
      <c r="D83" s="71"/>
      <c r="E83" s="71"/>
      <c r="F83" s="71"/>
      <c r="G83" s="71"/>
      <c r="H83" s="71"/>
      <c r="I83" s="72"/>
      <c r="J83" s="70"/>
      <c r="K83" s="71"/>
      <c r="L83" s="71"/>
      <c r="M83" s="71"/>
      <c r="N83" s="71"/>
      <c r="O83" s="71"/>
      <c r="P83" s="72"/>
      <c r="Q83" s="67"/>
      <c r="R83" s="68"/>
      <c r="S83" s="68"/>
      <c r="T83" s="68"/>
      <c r="U83" s="68"/>
      <c r="V83" s="68"/>
      <c r="W83" s="69"/>
      <c r="X83" s="67"/>
      <c r="Y83" s="68"/>
      <c r="Z83" s="68"/>
      <c r="AA83" s="68"/>
      <c r="AB83" s="68"/>
      <c r="AC83" s="68"/>
      <c r="AD83" s="69"/>
      <c r="AE83" s="70"/>
      <c r="AF83" s="71"/>
      <c r="AG83" s="71"/>
      <c r="AH83" s="71"/>
      <c r="AI83" s="71"/>
      <c r="AJ83" s="71"/>
      <c r="AK83" s="72"/>
      <c r="AL83" s="70"/>
      <c r="AM83" s="71"/>
      <c r="AN83" s="71"/>
      <c r="AO83" s="71"/>
      <c r="AP83" s="71"/>
      <c r="AQ83" s="71"/>
      <c r="AR83" s="72"/>
      <c r="AS83" s="67"/>
      <c r="AT83" s="68"/>
      <c r="AU83" s="68"/>
      <c r="AV83" s="68"/>
      <c r="AW83" s="68"/>
      <c r="AX83" s="68"/>
      <c r="AY83" s="69"/>
      <c r="AZ83" s="67"/>
      <c r="BA83" s="68"/>
      <c r="BB83" s="68"/>
      <c r="BC83" s="68"/>
      <c r="BD83" s="68"/>
      <c r="BE83" s="68"/>
      <c r="BF83" s="69"/>
      <c r="BG83" s="70"/>
      <c r="BH83" s="71"/>
      <c r="BI83" s="71"/>
      <c r="BJ83" s="71"/>
      <c r="BK83" s="71"/>
      <c r="BL83" s="71"/>
      <c r="BM83" s="72"/>
      <c r="BN83" s="70"/>
      <c r="BO83" s="71"/>
      <c r="BP83" s="71"/>
      <c r="BQ83" s="71"/>
      <c r="BR83" s="71"/>
      <c r="BS83" s="71"/>
      <c r="BT83" s="72"/>
      <c r="BU83" s="59"/>
      <c r="BV83" s="59"/>
      <c r="BW83" s="59"/>
      <c r="BX83" s="59"/>
      <c r="BY83" s="59"/>
      <c r="BZ83" s="59"/>
      <c r="CA83" s="59"/>
    </row>
    <row r="84" spans="1:79">
      <c r="A84" s="59"/>
      <c r="B84" s="44" t="str">
        <f t="shared" si="2"/>
        <v/>
      </c>
      <c r="C84" s="70"/>
      <c r="D84" s="71"/>
      <c r="E84" s="71"/>
      <c r="F84" s="71"/>
      <c r="G84" s="71"/>
      <c r="H84" s="71"/>
      <c r="I84" s="72"/>
      <c r="J84" s="70"/>
      <c r="K84" s="71"/>
      <c r="L84" s="71"/>
      <c r="M84" s="71"/>
      <c r="N84" s="71"/>
      <c r="O84" s="71"/>
      <c r="P84" s="72"/>
      <c r="Q84" s="67"/>
      <c r="R84" s="68"/>
      <c r="S84" s="68"/>
      <c r="T84" s="68"/>
      <c r="U84" s="68"/>
      <c r="V84" s="68"/>
      <c r="W84" s="69"/>
      <c r="X84" s="67"/>
      <c r="Y84" s="68"/>
      <c r="Z84" s="68"/>
      <c r="AA84" s="68"/>
      <c r="AB84" s="68"/>
      <c r="AC84" s="68"/>
      <c r="AD84" s="69"/>
      <c r="AE84" s="70"/>
      <c r="AF84" s="71"/>
      <c r="AG84" s="71"/>
      <c r="AH84" s="71"/>
      <c r="AI84" s="71"/>
      <c r="AJ84" s="71"/>
      <c r="AK84" s="72"/>
      <c r="AL84" s="70"/>
      <c r="AM84" s="71"/>
      <c r="AN84" s="71"/>
      <c r="AO84" s="71"/>
      <c r="AP84" s="71"/>
      <c r="AQ84" s="71"/>
      <c r="AR84" s="72"/>
      <c r="AS84" s="67"/>
      <c r="AT84" s="68"/>
      <c r="AU84" s="68"/>
      <c r="AV84" s="68"/>
      <c r="AW84" s="68"/>
      <c r="AX84" s="68"/>
      <c r="AY84" s="69"/>
      <c r="AZ84" s="67"/>
      <c r="BA84" s="68"/>
      <c r="BB84" s="68"/>
      <c r="BC84" s="68"/>
      <c r="BD84" s="68"/>
      <c r="BE84" s="68"/>
      <c r="BF84" s="69"/>
      <c r="BG84" s="70"/>
      <c r="BH84" s="71"/>
      <c r="BI84" s="71"/>
      <c r="BJ84" s="71"/>
      <c r="BK84" s="71"/>
      <c r="BL84" s="71"/>
      <c r="BM84" s="72"/>
      <c r="BN84" s="70"/>
      <c r="BO84" s="71"/>
      <c r="BP84" s="71"/>
      <c r="BQ84" s="71"/>
      <c r="BR84" s="71"/>
      <c r="BS84" s="71"/>
      <c r="BT84" s="72"/>
      <c r="BU84" s="59"/>
      <c r="BV84" s="59"/>
      <c r="BW84" s="59"/>
      <c r="BX84" s="59"/>
      <c r="BY84" s="59"/>
      <c r="BZ84" s="59"/>
      <c r="CA84" s="59"/>
    </row>
    <row r="85" spans="1:79">
      <c r="A85" s="59"/>
      <c r="B85" s="44" t="str">
        <f t="shared" si="2"/>
        <v/>
      </c>
      <c r="C85" s="70"/>
      <c r="D85" s="71"/>
      <c r="E85" s="71"/>
      <c r="F85" s="71"/>
      <c r="G85" s="71"/>
      <c r="H85" s="71"/>
      <c r="I85" s="72"/>
      <c r="J85" s="70"/>
      <c r="K85" s="71"/>
      <c r="L85" s="71"/>
      <c r="M85" s="71"/>
      <c r="N85" s="71"/>
      <c r="O85" s="71"/>
      <c r="P85" s="72"/>
      <c r="Q85" s="67"/>
      <c r="R85" s="68"/>
      <c r="S85" s="68"/>
      <c r="T85" s="68"/>
      <c r="U85" s="68"/>
      <c r="V85" s="68"/>
      <c r="W85" s="69"/>
      <c r="X85" s="67"/>
      <c r="Y85" s="68"/>
      <c r="Z85" s="68"/>
      <c r="AA85" s="68"/>
      <c r="AB85" s="68"/>
      <c r="AC85" s="68"/>
      <c r="AD85" s="69"/>
      <c r="AE85" s="70"/>
      <c r="AF85" s="71"/>
      <c r="AG85" s="71"/>
      <c r="AH85" s="71"/>
      <c r="AI85" s="71"/>
      <c r="AJ85" s="71"/>
      <c r="AK85" s="72"/>
      <c r="AL85" s="70"/>
      <c r="AM85" s="71"/>
      <c r="AN85" s="71"/>
      <c r="AO85" s="71"/>
      <c r="AP85" s="71"/>
      <c r="AQ85" s="71"/>
      <c r="AR85" s="72"/>
      <c r="AS85" s="67"/>
      <c r="AT85" s="68"/>
      <c r="AU85" s="68"/>
      <c r="AV85" s="68"/>
      <c r="AW85" s="68"/>
      <c r="AX85" s="68"/>
      <c r="AY85" s="69"/>
      <c r="AZ85" s="67"/>
      <c r="BA85" s="68"/>
      <c r="BB85" s="68"/>
      <c r="BC85" s="68"/>
      <c r="BD85" s="68"/>
      <c r="BE85" s="68"/>
      <c r="BF85" s="69"/>
      <c r="BG85" s="70"/>
      <c r="BH85" s="71"/>
      <c r="BI85" s="71"/>
      <c r="BJ85" s="71"/>
      <c r="BK85" s="71"/>
      <c r="BL85" s="71"/>
      <c r="BM85" s="72"/>
      <c r="BN85" s="70"/>
      <c r="BO85" s="71"/>
      <c r="BP85" s="71"/>
      <c r="BQ85" s="71"/>
      <c r="BR85" s="71"/>
      <c r="BS85" s="71"/>
      <c r="BT85" s="72"/>
      <c r="BU85" s="59"/>
      <c r="BV85" s="59"/>
      <c r="BW85" s="59"/>
      <c r="BX85" s="59"/>
      <c r="BY85" s="59"/>
      <c r="BZ85" s="59"/>
      <c r="CA85" s="59"/>
    </row>
    <row r="86" spans="1:79">
      <c r="A86" s="59"/>
      <c r="B86" s="44" t="str">
        <f t="shared" si="2"/>
        <v/>
      </c>
      <c r="C86" s="70"/>
      <c r="D86" s="71"/>
      <c r="E86" s="71"/>
      <c r="F86" s="71"/>
      <c r="G86" s="71"/>
      <c r="H86" s="71"/>
      <c r="I86" s="72"/>
      <c r="J86" s="70"/>
      <c r="K86" s="71"/>
      <c r="L86" s="71"/>
      <c r="M86" s="71"/>
      <c r="N86" s="71"/>
      <c r="O86" s="71"/>
      <c r="P86" s="72"/>
      <c r="Q86" s="67"/>
      <c r="R86" s="68"/>
      <c r="S86" s="68"/>
      <c r="T86" s="68"/>
      <c r="U86" s="68"/>
      <c r="V86" s="68"/>
      <c r="W86" s="69"/>
      <c r="X86" s="67"/>
      <c r="Y86" s="68"/>
      <c r="Z86" s="68"/>
      <c r="AA86" s="68"/>
      <c r="AB86" s="68"/>
      <c r="AC86" s="68"/>
      <c r="AD86" s="69"/>
      <c r="AE86" s="70"/>
      <c r="AF86" s="71"/>
      <c r="AG86" s="71"/>
      <c r="AH86" s="71"/>
      <c r="AI86" s="71"/>
      <c r="AJ86" s="71"/>
      <c r="AK86" s="72"/>
      <c r="AL86" s="70"/>
      <c r="AM86" s="71"/>
      <c r="AN86" s="71"/>
      <c r="AO86" s="71"/>
      <c r="AP86" s="71"/>
      <c r="AQ86" s="71"/>
      <c r="AR86" s="72"/>
      <c r="AS86" s="67"/>
      <c r="AT86" s="68"/>
      <c r="AU86" s="68"/>
      <c r="AV86" s="68"/>
      <c r="AW86" s="68"/>
      <c r="AX86" s="68"/>
      <c r="AY86" s="69"/>
      <c r="AZ86" s="67"/>
      <c r="BA86" s="68"/>
      <c r="BB86" s="68"/>
      <c r="BC86" s="68"/>
      <c r="BD86" s="68"/>
      <c r="BE86" s="68"/>
      <c r="BF86" s="69"/>
      <c r="BG86" s="70"/>
      <c r="BH86" s="71"/>
      <c r="BI86" s="71"/>
      <c r="BJ86" s="71"/>
      <c r="BK86" s="71"/>
      <c r="BL86" s="71"/>
      <c r="BM86" s="72"/>
      <c r="BN86" s="70"/>
      <c r="BO86" s="71"/>
      <c r="BP86" s="71"/>
      <c r="BQ86" s="71"/>
      <c r="BR86" s="71"/>
      <c r="BS86" s="71"/>
      <c r="BT86" s="72"/>
      <c r="BU86" s="59"/>
      <c r="BV86" s="59"/>
      <c r="BW86" s="59"/>
      <c r="BX86" s="59"/>
      <c r="BY86" s="59"/>
      <c r="BZ86" s="59"/>
      <c r="CA86" s="59"/>
    </row>
    <row r="87" spans="1:79">
      <c r="A87" s="59"/>
      <c r="B87" s="44" t="str">
        <f t="shared" si="2"/>
        <v/>
      </c>
      <c r="C87" s="70"/>
      <c r="D87" s="71"/>
      <c r="E87" s="71"/>
      <c r="F87" s="71"/>
      <c r="G87" s="71"/>
      <c r="H87" s="71"/>
      <c r="I87" s="72"/>
      <c r="J87" s="70"/>
      <c r="K87" s="71"/>
      <c r="L87" s="71"/>
      <c r="M87" s="71"/>
      <c r="N87" s="71"/>
      <c r="O87" s="71"/>
      <c r="P87" s="72"/>
      <c r="Q87" s="67"/>
      <c r="R87" s="68"/>
      <c r="S87" s="68"/>
      <c r="T87" s="68"/>
      <c r="U87" s="68"/>
      <c r="V87" s="68"/>
      <c r="W87" s="69"/>
      <c r="X87" s="67"/>
      <c r="Y87" s="68"/>
      <c r="Z87" s="68"/>
      <c r="AA87" s="68"/>
      <c r="AB87" s="68"/>
      <c r="AC87" s="68"/>
      <c r="AD87" s="69"/>
      <c r="AE87" s="70"/>
      <c r="AF87" s="71"/>
      <c r="AG87" s="71"/>
      <c r="AH87" s="71"/>
      <c r="AI87" s="71"/>
      <c r="AJ87" s="71"/>
      <c r="AK87" s="72"/>
      <c r="AL87" s="70"/>
      <c r="AM87" s="71"/>
      <c r="AN87" s="71"/>
      <c r="AO87" s="71"/>
      <c r="AP87" s="71"/>
      <c r="AQ87" s="71"/>
      <c r="AR87" s="72"/>
      <c r="AS87" s="67"/>
      <c r="AT87" s="68"/>
      <c r="AU87" s="68"/>
      <c r="AV87" s="68"/>
      <c r="AW87" s="68"/>
      <c r="AX87" s="68"/>
      <c r="AY87" s="69"/>
      <c r="AZ87" s="67"/>
      <c r="BA87" s="68"/>
      <c r="BB87" s="68"/>
      <c r="BC87" s="68"/>
      <c r="BD87" s="68"/>
      <c r="BE87" s="68"/>
      <c r="BF87" s="69"/>
      <c r="BG87" s="70"/>
      <c r="BH87" s="71"/>
      <c r="BI87" s="71"/>
      <c r="BJ87" s="71"/>
      <c r="BK87" s="71"/>
      <c r="BL87" s="71"/>
      <c r="BM87" s="72"/>
      <c r="BN87" s="70"/>
      <c r="BO87" s="71"/>
      <c r="BP87" s="71"/>
      <c r="BQ87" s="71"/>
      <c r="BR87" s="71"/>
      <c r="BS87" s="71"/>
      <c r="BT87" s="72"/>
      <c r="BU87" s="59"/>
      <c r="BV87" s="59"/>
      <c r="BW87" s="59"/>
      <c r="BX87" s="59"/>
      <c r="BY87" s="59"/>
      <c r="BZ87" s="59"/>
      <c r="CA87" s="59"/>
    </row>
    <row r="88" spans="1:79">
      <c r="A88" s="59"/>
      <c r="B88" s="44" t="str">
        <f t="shared" si="2"/>
        <v/>
      </c>
      <c r="C88" s="70"/>
      <c r="D88" s="71"/>
      <c r="E88" s="71"/>
      <c r="F88" s="71"/>
      <c r="G88" s="71"/>
      <c r="H88" s="71"/>
      <c r="I88" s="72"/>
      <c r="J88" s="70"/>
      <c r="K88" s="71"/>
      <c r="L88" s="71"/>
      <c r="M88" s="71"/>
      <c r="N88" s="71"/>
      <c r="O88" s="71"/>
      <c r="P88" s="72"/>
      <c r="Q88" s="67"/>
      <c r="R88" s="68"/>
      <c r="S88" s="68"/>
      <c r="T88" s="68"/>
      <c r="U88" s="68"/>
      <c r="V88" s="68"/>
      <c r="W88" s="69"/>
      <c r="X88" s="67"/>
      <c r="Y88" s="68"/>
      <c r="Z88" s="68"/>
      <c r="AA88" s="68"/>
      <c r="AB88" s="68"/>
      <c r="AC88" s="68"/>
      <c r="AD88" s="69"/>
      <c r="AE88" s="70"/>
      <c r="AF88" s="71"/>
      <c r="AG88" s="71"/>
      <c r="AH88" s="71"/>
      <c r="AI88" s="71"/>
      <c r="AJ88" s="71"/>
      <c r="AK88" s="72"/>
      <c r="AL88" s="70"/>
      <c r="AM88" s="71"/>
      <c r="AN88" s="71"/>
      <c r="AO88" s="71"/>
      <c r="AP88" s="71"/>
      <c r="AQ88" s="71"/>
      <c r="AR88" s="72"/>
      <c r="AS88" s="67"/>
      <c r="AT88" s="68"/>
      <c r="AU88" s="68"/>
      <c r="AV88" s="68"/>
      <c r="AW88" s="68"/>
      <c r="AX88" s="68"/>
      <c r="AY88" s="69"/>
      <c r="AZ88" s="67"/>
      <c r="BA88" s="68"/>
      <c r="BB88" s="68"/>
      <c r="BC88" s="68"/>
      <c r="BD88" s="68"/>
      <c r="BE88" s="68"/>
      <c r="BF88" s="69"/>
      <c r="BG88" s="70"/>
      <c r="BH88" s="71"/>
      <c r="BI88" s="71"/>
      <c r="BJ88" s="71"/>
      <c r="BK88" s="71"/>
      <c r="BL88" s="71"/>
      <c r="BM88" s="72"/>
      <c r="BN88" s="70"/>
      <c r="BO88" s="71"/>
      <c r="BP88" s="71"/>
      <c r="BQ88" s="71"/>
      <c r="BR88" s="71"/>
      <c r="BS88" s="71"/>
      <c r="BT88" s="72"/>
      <c r="BU88" s="59"/>
      <c r="BV88" s="59"/>
      <c r="BW88" s="59"/>
      <c r="BX88" s="59"/>
      <c r="BY88" s="59"/>
      <c r="BZ88" s="59"/>
      <c r="CA88" s="59"/>
    </row>
    <row r="89" spans="1:79">
      <c r="A89" s="59"/>
      <c r="B89" s="44" t="str">
        <f t="shared" si="2"/>
        <v/>
      </c>
      <c r="C89" s="70"/>
      <c r="D89" s="71"/>
      <c r="E89" s="71"/>
      <c r="F89" s="71"/>
      <c r="G89" s="71"/>
      <c r="H89" s="71"/>
      <c r="I89" s="72"/>
      <c r="J89" s="70"/>
      <c r="K89" s="71"/>
      <c r="L89" s="71"/>
      <c r="M89" s="71"/>
      <c r="N89" s="71"/>
      <c r="O89" s="71"/>
      <c r="P89" s="72"/>
      <c r="Q89" s="67"/>
      <c r="R89" s="68"/>
      <c r="S89" s="68"/>
      <c r="T89" s="68"/>
      <c r="U89" s="68"/>
      <c r="V89" s="68"/>
      <c r="W89" s="69"/>
      <c r="X89" s="67"/>
      <c r="Y89" s="68"/>
      <c r="Z89" s="68"/>
      <c r="AA89" s="68"/>
      <c r="AB89" s="68"/>
      <c r="AC89" s="68"/>
      <c r="AD89" s="69"/>
      <c r="AE89" s="70"/>
      <c r="AF89" s="71"/>
      <c r="AG89" s="71"/>
      <c r="AH89" s="71"/>
      <c r="AI89" s="71"/>
      <c r="AJ89" s="71"/>
      <c r="AK89" s="72"/>
      <c r="AL89" s="70"/>
      <c r="AM89" s="71"/>
      <c r="AN89" s="71"/>
      <c r="AO89" s="71"/>
      <c r="AP89" s="71"/>
      <c r="AQ89" s="71"/>
      <c r="AR89" s="72"/>
      <c r="AS89" s="67"/>
      <c r="AT89" s="68"/>
      <c r="AU89" s="68"/>
      <c r="AV89" s="68"/>
      <c r="AW89" s="68"/>
      <c r="AX89" s="68"/>
      <c r="AY89" s="69"/>
      <c r="AZ89" s="67"/>
      <c r="BA89" s="68"/>
      <c r="BB89" s="68"/>
      <c r="BC89" s="68"/>
      <c r="BD89" s="68"/>
      <c r="BE89" s="68"/>
      <c r="BF89" s="69"/>
      <c r="BG89" s="70"/>
      <c r="BH89" s="71"/>
      <c r="BI89" s="71"/>
      <c r="BJ89" s="71"/>
      <c r="BK89" s="71"/>
      <c r="BL89" s="71"/>
      <c r="BM89" s="72"/>
      <c r="BN89" s="70"/>
      <c r="BO89" s="71"/>
      <c r="BP89" s="71"/>
      <c r="BQ89" s="71"/>
      <c r="BR89" s="71"/>
      <c r="BS89" s="71"/>
      <c r="BT89" s="72"/>
      <c r="BU89" s="59"/>
      <c r="BV89" s="59"/>
      <c r="BW89" s="59"/>
      <c r="BX89" s="59"/>
      <c r="BY89" s="59"/>
      <c r="BZ89" s="59"/>
      <c r="CA89" s="59"/>
    </row>
    <row r="90" spans="1:79">
      <c r="A90" s="59"/>
      <c r="B90" s="44" t="str">
        <f t="shared" si="2"/>
        <v/>
      </c>
      <c r="C90" s="70"/>
      <c r="D90" s="71"/>
      <c r="E90" s="71"/>
      <c r="F90" s="71"/>
      <c r="G90" s="71"/>
      <c r="H90" s="71"/>
      <c r="I90" s="72"/>
      <c r="J90" s="70"/>
      <c r="K90" s="71"/>
      <c r="L90" s="71"/>
      <c r="M90" s="71"/>
      <c r="N90" s="71"/>
      <c r="O90" s="71"/>
      <c r="P90" s="72"/>
      <c r="Q90" s="67"/>
      <c r="R90" s="68"/>
      <c r="S90" s="68"/>
      <c r="T90" s="68"/>
      <c r="U90" s="68"/>
      <c r="V90" s="68"/>
      <c r="W90" s="69"/>
      <c r="X90" s="67"/>
      <c r="Y90" s="68"/>
      <c r="Z90" s="68"/>
      <c r="AA90" s="68"/>
      <c r="AB90" s="68"/>
      <c r="AC90" s="68"/>
      <c r="AD90" s="69"/>
      <c r="AE90" s="70"/>
      <c r="AF90" s="71"/>
      <c r="AG90" s="71"/>
      <c r="AH90" s="71"/>
      <c r="AI90" s="71"/>
      <c r="AJ90" s="71"/>
      <c r="AK90" s="72"/>
      <c r="AL90" s="70"/>
      <c r="AM90" s="71"/>
      <c r="AN90" s="71"/>
      <c r="AO90" s="71"/>
      <c r="AP90" s="71"/>
      <c r="AQ90" s="71"/>
      <c r="AR90" s="72"/>
      <c r="AS90" s="67"/>
      <c r="AT90" s="68"/>
      <c r="AU90" s="68"/>
      <c r="AV90" s="68"/>
      <c r="AW90" s="68"/>
      <c r="AX90" s="68"/>
      <c r="AY90" s="69"/>
      <c r="AZ90" s="67"/>
      <c r="BA90" s="68"/>
      <c r="BB90" s="68"/>
      <c r="BC90" s="68"/>
      <c r="BD90" s="68"/>
      <c r="BE90" s="68"/>
      <c r="BF90" s="69"/>
      <c r="BG90" s="70"/>
      <c r="BH90" s="71"/>
      <c r="BI90" s="71"/>
      <c r="BJ90" s="71"/>
      <c r="BK90" s="71"/>
      <c r="BL90" s="71"/>
      <c r="BM90" s="72"/>
      <c r="BN90" s="70"/>
      <c r="BO90" s="71"/>
      <c r="BP90" s="71"/>
      <c r="BQ90" s="71"/>
      <c r="BR90" s="71"/>
      <c r="BS90" s="71"/>
      <c r="BT90" s="72"/>
      <c r="BU90" s="59"/>
      <c r="BV90" s="59"/>
      <c r="BW90" s="59"/>
      <c r="BX90" s="59"/>
      <c r="BY90" s="59"/>
      <c r="BZ90" s="59"/>
      <c r="CA90" s="59"/>
    </row>
    <row r="91" spans="1:79">
      <c r="A91" s="59"/>
      <c r="B91" s="44" t="str">
        <f t="shared" si="2"/>
        <v/>
      </c>
      <c r="C91" s="70"/>
      <c r="D91" s="71"/>
      <c r="E91" s="71"/>
      <c r="F91" s="71"/>
      <c r="G91" s="71"/>
      <c r="H91" s="71"/>
      <c r="I91" s="72"/>
      <c r="J91" s="70"/>
      <c r="K91" s="71"/>
      <c r="L91" s="71"/>
      <c r="M91" s="71"/>
      <c r="N91" s="71"/>
      <c r="O91" s="71"/>
      <c r="P91" s="72"/>
      <c r="Q91" s="67"/>
      <c r="R91" s="68"/>
      <c r="S91" s="68"/>
      <c r="T91" s="68"/>
      <c r="U91" s="68"/>
      <c r="V91" s="68"/>
      <c r="W91" s="69"/>
      <c r="X91" s="67"/>
      <c r="Y91" s="68"/>
      <c r="Z91" s="68"/>
      <c r="AA91" s="68"/>
      <c r="AB91" s="68"/>
      <c r="AC91" s="68"/>
      <c r="AD91" s="69"/>
      <c r="AE91" s="70"/>
      <c r="AF91" s="71"/>
      <c r="AG91" s="71"/>
      <c r="AH91" s="71"/>
      <c r="AI91" s="71"/>
      <c r="AJ91" s="71"/>
      <c r="AK91" s="72"/>
      <c r="AL91" s="70"/>
      <c r="AM91" s="71"/>
      <c r="AN91" s="71"/>
      <c r="AO91" s="71"/>
      <c r="AP91" s="71"/>
      <c r="AQ91" s="71"/>
      <c r="AR91" s="72"/>
      <c r="AS91" s="67"/>
      <c r="AT91" s="68"/>
      <c r="AU91" s="68"/>
      <c r="AV91" s="68"/>
      <c r="AW91" s="68"/>
      <c r="AX91" s="68"/>
      <c r="AY91" s="69"/>
      <c r="AZ91" s="67"/>
      <c r="BA91" s="68"/>
      <c r="BB91" s="68"/>
      <c r="BC91" s="68"/>
      <c r="BD91" s="68"/>
      <c r="BE91" s="68"/>
      <c r="BF91" s="69"/>
      <c r="BG91" s="70"/>
      <c r="BH91" s="71"/>
      <c r="BI91" s="71"/>
      <c r="BJ91" s="71"/>
      <c r="BK91" s="71"/>
      <c r="BL91" s="71"/>
      <c r="BM91" s="72"/>
      <c r="BN91" s="70"/>
      <c r="BO91" s="71"/>
      <c r="BP91" s="71"/>
      <c r="BQ91" s="71"/>
      <c r="BR91" s="71"/>
      <c r="BS91" s="71"/>
      <c r="BT91" s="72"/>
      <c r="BU91" s="59"/>
      <c r="BV91" s="59"/>
      <c r="BW91" s="59"/>
      <c r="BX91" s="59"/>
      <c r="BY91" s="59"/>
      <c r="BZ91" s="59"/>
      <c r="CA91" s="59"/>
    </row>
    <row r="92" spans="1:79">
      <c r="A92" s="59"/>
      <c r="B92" s="44" t="str">
        <f t="shared" si="2"/>
        <v/>
      </c>
      <c r="C92" s="70"/>
      <c r="D92" s="71"/>
      <c r="E92" s="71"/>
      <c r="F92" s="71"/>
      <c r="G92" s="71"/>
      <c r="H92" s="71"/>
      <c r="I92" s="72"/>
      <c r="J92" s="70"/>
      <c r="K92" s="71"/>
      <c r="L92" s="71"/>
      <c r="M92" s="71"/>
      <c r="N92" s="71"/>
      <c r="O92" s="71"/>
      <c r="P92" s="72"/>
      <c r="Q92" s="67"/>
      <c r="R92" s="68"/>
      <c r="S92" s="68"/>
      <c r="T92" s="68"/>
      <c r="U92" s="68"/>
      <c r="V92" s="68"/>
      <c r="W92" s="69"/>
      <c r="X92" s="67"/>
      <c r="Y92" s="68"/>
      <c r="Z92" s="68"/>
      <c r="AA92" s="68"/>
      <c r="AB92" s="68"/>
      <c r="AC92" s="68"/>
      <c r="AD92" s="69"/>
      <c r="AE92" s="70"/>
      <c r="AF92" s="71"/>
      <c r="AG92" s="71"/>
      <c r="AH92" s="71"/>
      <c r="AI92" s="71"/>
      <c r="AJ92" s="71"/>
      <c r="AK92" s="72"/>
      <c r="AL92" s="70"/>
      <c r="AM92" s="71"/>
      <c r="AN92" s="71"/>
      <c r="AO92" s="71"/>
      <c r="AP92" s="71"/>
      <c r="AQ92" s="71"/>
      <c r="AR92" s="72"/>
      <c r="AS92" s="67"/>
      <c r="AT92" s="68"/>
      <c r="AU92" s="68"/>
      <c r="AV92" s="68"/>
      <c r="AW92" s="68"/>
      <c r="AX92" s="68"/>
      <c r="AY92" s="69"/>
      <c r="AZ92" s="67"/>
      <c r="BA92" s="68"/>
      <c r="BB92" s="68"/>
      <c r="BC92" s="68"/>
      <c r="BD92" s="68"/>
      <c r="BE92" s="68"/>
      <c r="BF92" s="69"/>
      <c r="BG92" s="70"/>
      <c r="BH92" s="71"/>
      <c r="BI92" s="71"/>
      <c r="BJ92" s="71"/>
      <c r="BK92" s="71"/>
      <c r="BL92" s="71"/>
      <c r="BM92" s="72"/>
      <c r="BN92" s="70"/>
      <c r="BO92" s="71"/>
      <c r="BP92" s="71"/>
      <c r="BQ92" s="71"/>
      <c r="BR92" s="71"/>
      <c r="BS92" s="71"/>
      <c r="BT92" s="72"/>
      <c r="BU92" s="59"/>
      <c r="BV92" s="59"/>
      <c r="BW92" s="59"/>
      <c r="BX92" s="59"/>
      <c r="BY92" s="59"/>
      <c r="BZ92" s="59"/>
      <c r="CA92" s="59"/>
    </row>
    <row r="93" spans="1:79">
      <c r="A93" s="59"/>
      <c r="B93" s="44" t="str">
        <f t="shared" si="2"/>
        <v/>
      </c>
      <c r="C93" s="70"/>
      <c r="D93" s="71"/>
      <c r="E93" s="71"/>
      <c r="F93" s="71"/>
      <c r="G93" s="71"/>
      <c r="H93" s="71"/>
      <c r="I93" s="72"/>
      <c r="J93" s="70"/>
      <c r="K93" s="71"/>
      <c r="L93" s="71"/>
      <c r="M93" s="71"/>
      <c r="N93" s="71"/>
      <c r="O93" s="71"/>
      <c r="P93" s="72"/>
      <c r="Q93" s="67"/>
      <c r="R93" s="68"/>
      <c r="S93" s="68"/>
      <c r="T93" s="68"/>
      <c r="U93" s="68"/>
      <c r="V93" s="68"/>
      <c r="W93" s="69"/>
      <c r="X93" s="67"/>
      <c r="Y93" s="68"/>
      <c r="Z93" s="68"/>
      <c r="AA93" s="68"/>
      <c r="AB93" s="68"/>
      <c r="AC93" s="68"/>
      <c r="AD93" s="69"/>
      <c r="AE93" s="70"/>
      <c r="AF93" s="71"/>
      <c r="AG93" s="71"/>
      <c r="AH93" s="71"/>
      <c r="AI93" s="71"/>
      <c r="AJ93" s="71"/>
      <c r="AK93" s="72"/>
      <c r="AL93" s="70"/>
      <c r="AM93" s="71"/>
      <c r="AN93" s="71"/>
      <c r="AO93" s="71"/>
      <c r="AP93" s="71"/>
      <c r="AQ93" s="71"/>
      <c r="AR93" s="72"/>
      <c r="AS93" s="67"/>
      <c r="AT93" s="68"/>
      <c r="AU93" s="68"/>
      <c r="AV93" s="68"/>
      <c r="AW93" s="68"/>
      <c r="AX93" s="68"/>
      <c r="AY93" s="69"/>
      <c r="AZ93" s="67"/>
      <c r="BA93" s="68"/>
      <c r="BB93" s="68"/>
      <c r="BC93" s="68"/>
      <c r="BD93" s="68"/>
      <c r="BE93" s="68"/>
      <c r="BF93" s="69"/>
      <c r="BG93" s="70"/>
      <c r="BH93" s="71"/>
      <c r="BI93" s="71"/>
      <c r="BJ93" s="71"/>
      <c r="BK93" s="71"/>
      <c r="BL93" s="71"/>
      <c r="BM93" s="72"/>
      <c r="BN93" s="70"/>
      <c r="BO93" s="71"/>
      <c r="BP93" s="71"/>
      <c r="BQ93" s="71"/>
      <c r="BR93" s="71"/>
      <c r="BS93" s="71"/>
      <c r="BT93" s="72"/>
      <c r="BU93" s="59"/>
      <c r="BV93" s="59"/>
      <c r="BW93" s="59"/>
      <c r="BX93" s="59"/>
      <c r="BY93" s="59"/>
      <c r="BZ93" s="59"/>
      <c r="CA93" s="59"/>
    </row>
    <row r="94" spans="1:79">
      <c r="A94" s="59"/>
      <c r="B94" s="44" t="str">
        <f t="shared" si="2"/>
        <v/>
      </c>
      <c r="C94" s="70"/>
      <c r="D94" s="71"/>
      <c r="E94" s="71"/>
      <c r="F94" s="71"/>
      <c r="G94" s="71"/>
      <c r="H94" s="71"/>
      <c r="I94" s="72"/>
      <c r="J94" s="70"/>
      <c r="K94" s="71"/>
      <c r="L94" s="71"/>
      <c r="M94" s="71"/>
      <c r="N94" s="71"/>
      <c r="O94" s="71"/>
      <c r="P94" s="72"/>
      <c r="Q94" s="67"/>
      <c r="R94" s="68"/>
      <c r="S94" s="68"/>
      <c r="T94" s="68"/>
      <c r="U94" s="68"/>
      <c r="V94" s="68"/>
      <c r="W94" s="69"/>
      <c r="X94" s="67"/>
      <c r="Y94" s="68"/>
      <c r="Z94" s="68"/>
      <c r="AA94" s="68"/>
      <c r="AB94" s="68"/>
      <c r="AC94" s="68"/>
      <c r="AD94" s="69"/>
      <c r="AE94" s="70"/>
      <c r="AF94" s="71"/>
      <c r="AG94" s="71"/>
      <c r="AH94" s="71"/>
      <c r="AI94" s="71"/>
      <c r="AJ94" s="71"/>
      <c r="AK94" s="72"/>
      <c r="AL94" s="70"/>
      <c r="AM94" s="71"/>
      <c r="AN94" s="71"/>
      <c r="AO94" s="71"/>
      <c r="AP94" s="71"/>
      <c r="AQ94" s="71"/>
      <c r="AR94" s="72"/>
      <c r="AS94" s="67"/>
      <c r="AT94" s="68"/>
      <c r="AU94" s="68"/>
      <c r="AV94" s="68"/>
      <c r="AW94" s="68"/>
      <c r="AX94" s="68"/>
      <c r="AY94" s="69"/>
      <c r="AZ94" s="67"/>
      <c r="BA94" s="68"/>
      <c r="BB94" s="68"/>
      <c r="BC94" s="68"/>
      <c r="BD94" s="68"/>
      <c r="BE94" s="68"/>
      <c r="BF94" s="69"/>
      <c r="BG94" s="70"/>
      <c r="BH94" s="71"/>
      <c r="BI94" s="71"/>
      <c r="BJ94" s="71"/>
      <c r="BK94" s="71"/>
      <c r="BL94" s="71"/>
      <c r="BM94" s="72"/>
      <c r="BN94" s="70"/>
      <c r="BO94" s="71"/>
      <c r="BP94" s="71"/>
      <c r="BQ94" s="71"/>
      <c r="BR94" s="71"/>
      <c r="BS94" s="71"/>
      <c r="BT94" s="72"/>
      <c r="BU94" s="59"/>
      <c r="BV94" s="59"/>
      <c r="BW94" s="59"/>
      <c r="BX94" s="59"/>
      <c r="BY94" s="59"/>
      <c r="BZ94" s="59"/>
      <c r="CA94" s="59"/>
    </row>
    <row r="95" spans="1:79">
      <c r="A95" s="59"/>
      <c r="B95" s="44" t="str">
        <f t="shared" si="2"/>
        <v/>
      </c>
      <c r="C95" s="70"/>
      <c r="D95" s="71"/>
      <c r="E95" s="71"/>
      <c r="F95" s="71"/>
      <c r="G95" s="71"/>
      <c r="H95" s="71"/>
      <c r="I95" s="72"/>
      <c r="J95" s="70"/>
      <c r="K95" s="71"/>
      <c r="L95" s="71"/>
      <c r="M95" s="71"/>
      <c r="N95" s="71"/>
      <c r="O95" s="71"/>
      <c r="P95" s="72"/>
      <c r="Q95" s="67"/>
      <c r="R95" s="68"/>
      <c r="S95" s="68"/>
      <c r="T95" s="68"/>
      <c r="U95" s="68"/>
      <c r="V95" s="68"/>
      <c r="W95" s="69"/>
      <c r="X95" s="67"/>
      <c r="Y95" s="68"/>
      <c r="Z95" s="68"/>
      <c r="AA95" s="68"/>
      <c r="AB95" s="68"/>
      <c r="AC95" s="68"/>
      <c r="AD95" s="69"/>
      <c r="AE95" s="70"/>
      <c r="AF95" s="71"/>
      <c r="AG95" s="71"/>
      <c r="AH95" s="71"/>
      <c r="AI95" s="71"/>
      <c r="AJ95" s="71"/>
      <c r="AK95" s="72"/>
      <c r="AL95" s="70"/>
      <c r="AM95" s="71"/>
      <c r="AN95" s="71"/>
      <c r="AO95" s="71"/>
      <c r="AP95" s="71"/>
      <c r="AQ95" s="71"/>
      <c r="AR95" s="72"/>
      <c r="AS95" s="67"/>
      <c r="AT95" s="68"/>
      <c r="AU95" s="68"/>
      <c r="AV95" s="68"/>
      <c r="AW95" s="68"/>
      <c r="AX95" s="68"/>
      <c r="AY95" s="69"/>
      <c r="AZ95" s="67"/>
      <c r="BA95" s="68"/>
      <c r="BB95" s="68"/>
      <c r="BC95" s="68"/>
      <c r="BD95" s="68"/>
      <c r="BE95" s="68"/>
      <c r="BF95" s="69"/>
      <c r="BG95" s="70"/>
      <c r="BH95" s="71"/>
      <c r="BI95" s="71"/>
      <c r="BJ95" s="71"/>
      <c r="BK95" s="71"/>
      <c r="BL95" s="71"/>
      <c r="BM95" s="72"/>
      <c r="BN95" s="70"/>
      <c r="BO95" s="71"/>
      <c r="BP95" s="71"/>
      <c r="BQ95" s="71"/>
      <c r="BR95" s="71"/>
      <c r="BS95" s="71"/>
      <c r="BT95" s="72"/>
      <c r="BU95" s="59"/>
      <c r="BV95" s="59"/>
      <c r="BW95" s="59"/>
      <c r="BX95" s="59"/>
      <c r="BY95" s="59"/>
      <c r="BZ95" s="59"/>
      <c r="CA95" s="59"/>
    </row>
    <row r="96" spans="1:79">
      <c r="A96" s="59"/>
      <c r="B96" s="44" t="str">
        <f t="shared" si="2"/>
        <v/>
      </c>
      <c r="C96" s="70"/>
      <c r="D96" s="71"/>
      <c r="E96" s="71"/>
      <c r="F96" s="71"/>
      <c r="G96" s="71"/>
      <c r="H96" s="71"/>
      <c r="I96" s="72"/>
      <c r="J96" s="70"/>
      <c r="K96" s="71"/>
      <c r="L96" s="71"/>
      <c r="M96" s="71"/>
      <c r="N96" s="71"/>
      <c r="O96" s="71"/>
      <c r="P96" s="72"/>
      <c r="Q96" s="67"/>
      <c r="R96" s="68"/>
      <c r="S96" s="68"/>
      <c r="T96" s="68"/>
      <c r="U96" s="68"/>
      <c r="V96" s="68"/>
      <c r="W96" s="69"/>
      <c r="X96" s="67"/>
      <c r="Y96" s="68"/>
      <c r="Z96" s="68"/>
      <c r="AA96" s="68"/>
      <c r="AB96" s="68"/>
      <c r="AC96" s="68"/>
      <c r="AD96" s="69"/>
      <c r="AE96" s="70"/>
      <c r="AF96" s="71"/>
      <c r="AG96" s="71"/>
      <c r="AH96" s="71"/>
      <c r="AI96" s="71"/>
      <c r="AJ96" s="71"/>
      <c r="AK96" s="72"/>
      <c r="AL96" s="70"/>
      <c r="AM96" s="71"/>
      <c r="AN96" s="71"/>
      <c r="AO96" s="71"/>
      <c r="AP96" s="71"/>
      <c r="AQ96" s="71"/>
      <c r="AR96" s="72"/>
      <c r="AS96" s="67"/>
      <c r="AT96" s="68"/>
      <c r="AU96" s="68"/>
      <c r="AV96" s="68"/>
      <c r="AW96" s="68"/>
      <c r="AX96" s="68"/>
      <c r="AY96" s="69"/>
      <c r="AZ96" s="67"/>
      <c r="BA96" s="68"/>
      <c r="BB96" s="68"/>
      <c r="BC96" s="68"/>
      <c r="BD96" s="68"/>
      <c r="BE96" s="68"/>
      <c r="BF96" s="69"/>
      <c r="BG96" s="70"/>
      <c r="BH96" s="71"/>
      <c r="BI96" s="71"/>
      <c r="BJ96" s="71"/>
      <c r="BK96" s="71"/>
      <c r="BL96" s="71"/>
      <c r="BM96" s="72"/>
      <c r="BN96" s="70"/>
      <c r="BO96" s="71"/>
      <c r="BP96" s="71"/>
      <c r="BQ96" s="71"/>
      <c r="BR96" s="71"/>
      <c r="BS96" s="71"/>
      <c r="BT96" s="72"/>
      <c r="BU96" s="59"/>
      <c r="BV96" s="59"/>
      <c r="BW96" s="59"/>
      <c r="BX96" s="59"/>
      <c r="BY96" s="59"/>
      <c r="BZ96" s="59"/>
      <c r="CA96" s="59"/>
    </row>
    <row r="97" spans="1:79">
      <c r="A97" s="59"/>
      <c r="B97" s="44" t="str">
        <f t="shared" si="2"/>
        <v/>
      </c>
      <c r="C97" s="70"/>
      <c r="D97" s="71"/>
      <c r="E97" s="71"/>
      <c r="F97" s="71"/>
      <c r="G97" s="71"/>
      <c r="H97" s="71"/>
      <c r="I97" s="72"/>
      <c r="J97" s="70"/>
      <c r="K97" s="71"/>
      <c r="L97" s="71"/>
      <c r="M97" s="71"/>
      <c r="N97" s="71"/>
      <c r="O97" s="71"/>
      <c r="P97" s="72"/>
      <c r="Q97" s="67"/>
      <c r="R97" s="68"/>
      <c r="S97" s="68"/>
      <c r="T97" s="68"/>
      <c r="U97" s="68"/>
      <c r="V97" s="68"/>
      <c r="W97" s="69"/>
      <c r="X97" s="67"/>
      <c r="Y97" s="68"/>
      <c r="Z97" s="68"/>
      <c r="AA97" s="68"/>
      <c r="AB97" s="68"/>
      <c r="AC97" s="68"/>
      <c r="AD97" s="69"/>
      <c r="AE97" s="70"/>
      <c r="AF97" s="71"/>
      <c r="AG97" s="71"/>
      <c r="AH97" s="71"/>
      <c r="AI97" s="71"/>
      <c r="AJ97" s="71"/>
      <c r="AK97" s="72"/>
      <c r="AL97" s="70"/>
      <c r="AM97" s="71"/>
      <c r="AN97" s="71"/>
      <c r="AO97" s="71"/>
      <c r="AP97" s="71"/>
      <c r="AQ97" s="71"/>
      <c r="AR97" s="72"/>
      <c r="AS97" s="67"/>
      <c r="AT97" s="68"/>
      <c r="AU97" s="68"/>
      <c r="AV97" s="68"/>
      <c r="AW97" s="68"/>
      <c r="AX97" s="68"/>
      <c r="AY97" s="69"/>
      <c r="AZ97" s="67"/>
      <c r="BA97" s="68"/>
      <c r="BB97" s="68"/>
      <c r="BC97" s="68"/>
      <c r="BD97" s="68"/>
      <c r="BE97" s="68"/>
      <c r="BF97" s="69"/>
      <c r="BG97" s="70"/>
      <c r="BH97" s="71"/>
      <c r="BI97" s="71"/>
      <c r="BJ97" s="71"/>
      <c r="BK97" s="71"/>
      <c r="BL97" s="71"/>
      <c r="BM97" s="72"/>
      <c r="BN97" s="70"/>
      <c r="BO97" s="71"/>
      <c r="BP97" s="71"/>
      <c r="BQ97" s="71"/>
      <c r="BR97" s="71"/>
      <c r="BS97" s="71"/>
      <c r="BT97" s="72"/>
      <c r="BU97" s="59"/>
      <c r="BV97" s="59"/>
      <c r="BW97" s="59"/>
      <c r="BX97" s="59"/>
      <c r="BY97" s="59"/>
      <c r="BZ97" s="59"/>
      <c r="CA97" s="59"/>
    </row>
    <row r="98" spans="1:79">
      <c r="A98" s="59"/>
      <c r="B98" s="44" t="str">
        <f t="shared" si="2"/>
        <v/>
      </c>
      <c r="C98" s="70"/>
      <c r="D98" s="71"/>
      <c r="E98" s="71"/>
      <c r="F98" s="71"/>
      <c r="G98" s="71"/>
      <c r="H98" s="71"/>
      <c r="I98" s="72"/>
      <c r="J98" s="70"/>
      <c r="K98" s="71"/>
      <c r="L98" s="71"/>
      <c r="M98" s="71"/>
      <c r="N98" s="71"/>
      <c r="O98" s="71"/>
      <c r="P98" s="72"/>
      <c r="Q98" s="67"/>
      <c r="R98" s="68"/>
      <c r="S98" s="68"/>
      <c r="T98" s="68"/>
      <c r="U98" s="68"/>
      <c r="V98" s="68"/>
      <c r="W98" s="69"/>
      <c r="X98" s="67"/>
      <c r="Y98" s="68"/>
      <c r="Z98" s="68"/>
      <c r="AA98" s="68"/>
      <c r="AB98" s="68"/>
      <c r="AC98" s="68"/>
      <c r="AD98" s="69"/>
      <c r="AE98" s="70"/>
      <c r="AF98" s="71"/>
      <c r="AG98" s="71"/>
      <c r="AH98" s="71"/>
      <c r="AI98" s="71"/>
      <c r="AJ98" s="71"/>
      <c r="AK98" s="72"/>
      <c r="AL98" s="70"/>
      <c r="AM98" s="71"/>
      <c r="AN98" s="71"/>
      <c r="AO98" s="71"/>
      <c r="AP98" s="71"/>
      <c r="AQ98" s="71"/>
      <c r="AR98" s="72"/>
      <c r="AS98" s="67"/>
      <c r="AT98" s="68"/>
      <c r="AU98" s="68"/>
      <c r="AV98" s="68"/>
      <c r="AW98" s="68"/>
      <c r="AX98" s="68"/>
      <c r="AY98" s="69"/>
      <c r="AZ98" s="67"/>
      <c r="BA98" s="68"/>
      <c r="BB98" s="68"/>
      <c r="BC98" s="68"/>
      <c r="BD98" s="68"/>
      <c r="BE98" s="68"/>
      <c r="BF98" s="69"/>
      <c r="BG98" s="70"/>
      <c r="BH98" s="71"/>
      <c r="BI98" s="71"/>
      <c r="BJ98" s="71"/>
      <c r="BK98" s="71"/>
      <c r="BL98" s="71"/>
      <c r="BM98" s="72"/>
      <c r="BN98" s="70"/>
      <c r="BO98" s="71"/>
      <c r="BP98" s="71"/>
      <c r="BQ98" s="71"/>
      <c r="BR98" s="71"/>
      <c r="BS98" s="71"/>
      <c r="BT98" s="72"/>
      <c r="BU98" s="59"/>
      <c r="BV98" s="59"/>
      <c r="BW98" s="59"/>
      <c r="BX98" s="59"/>
      <c r="BY98" s="59"/>
      <c r="BZ98" s="59"/>
      <c r="CA98" s="59"/>
    </row>
    <row r="99" spans="1:79">
      <c r="A99" s="59"/>
      <c r="B99" s="44" t="str">
        <f t="shared" si="2"/>
        <v/>
      </c>
      <c r="C99" s="70"/>
      <c r="D99" s="71"/>
      <c r="E99" s="71"/>
      <c r="F99" s="71"/>
      <c r="G99" s="71"/>
      <c r="H99" s="71"/>
      <c r="I99" s="72"/>
      <c r="J99" s="70"/>
      <c r="K99" s="71"/>
      <c r="L99" s="71"/>
      <c r="M99" s="71"/>
      <c r="N99" s="71"/>
      <c r="O99" s="71"/>
      <c r="P99" s="72"/>
      <c r="Q99" s="67"/>
      <c r="R99" s="68"/>
      <c r="S99" s="68"/>
      <c r="T99" s="68"/>
      <c r="U99" s="68"/>
      <c r="V99" s="68"/>
      <c r="W99" s="69"/>
      <c r="X99" s="67"/>
      <c r="Y99" s="68"/>
      <c r="Z99" s="68"/>
      <c r="AA99" s="68"/>
      <c r="AB99" s="68"/>
      <c r="AC99" s="68"/>
      <c r="AD99" s="69"/>
      <c r="AE99" s="70"/>
      <c r="AF99" s="71"/>
      <c r="AG99" s="71"/>
      <c r="AH99" s="71"/>
      <c r="AI99" s="71"/>
      <c r="AJ99" s="71"/>
      <c r="AK99" s="72"/>
      <c r="AL99" s="70"/>
      <c r="AM99" s="71"/>
      <c r="AN99" s="71"/>
      <c r="AO99" s="71"/>
      <c r="AP99" s="71"/>
      <c r="AQ99" s="71"/>
      <c r="AR99" s="72"/>
      <c r="AS99" s="67"/>
      <c r="AT99" s="68"/>
      <c r="AU99" s="68"/>
      <c r="AV99" s="68"/>
      <c r="AW99" s="68"/>
      <c r="AX99" s="68"/>
      <c r="AY99" s="69"/>
      <c r="AZ99" s="67"/>
      <c r="BA99" s="68"/>
      <c r="BB99" s="68"/>
      <c r="BC99" s="68"/>
      <c r="BD99" s="68"/>
      <c r="BE99" s="68"/>
      <c r="BF99" s="69"/>
      <c r="BG99" s="70"/>
      <c r="BH99" s="71"/>
      <c r="BI99" s="71"/>
      <c r="BJ99" s="71"/>
      <c r="BK99" s="71"/>
      <c r="BL99" s="71"/>
      <c r="BM99" s="72"/>
      <c r="BN99" s="70"/>
      <c r="BO99" s="71"/>
      <c r="BP99" s="71"/>
      <c r="BQ99" s="71"/>
      <c r="BR99" s="71"/>
      <c r="BS99" s="71"/>
      <c r="BT99" s="72"/>
      <c r="BU99" s="59"/>
      <c r="BV99" s="59"/>
      <c r="BW99" s="59"/>
      <c r="BX99" s="59"/>
      <c r="BY99" s="59"/>
      <c r="BZ99" s="59"/>
      <c r="CA99" s="59"/>
    </row>
    <row r="100" spans="1:79">
      <c r="A100" s="59"/>
      <c r="B100" s="44" t="str">
        <f t="shared" si="2"/>
        <v/>
      </c>
      <c r="C100" s="70"/>
      <c r="D100" s="71"/>
      <c r="E100" s="71"/>
      <c r="F100" s="71"/>
      <c r="G100" s="71"/>
      <c r="H100" s="71"/>
      <c r="I100" s="72"/>
      <c r="J100" s="70"/>
      <c r="K100" s="71"/>
      <c r="L100" s="71"/>
      <c r="M100" s="71"/>
      <c r="N100" s="71"/>
      <c r="O100" s="71"/>
      <c r="P100" s="72"/>
      <c r="Q100" s="67"/>
      <c r="R100" s="68"/>
      <c r="S100" s="68"/>
      <c r="T100" s="68"/>
      <c r="U100" s="68"/>
      <c r="V100" s="68"/>
      <c r="W100" s="69"/>
      <c r="X100" s="67"/>
      <c r="Y100" s="68"/>
      <c r="Z100" s="68"/>
      <c r="AA100" s="68"/>
      <c r="AB100" s="68"/>
      <c r="AC100" s="68"/>
      <c r="AD100" s="69"/>
      <c r="AE100" s="70"/>
      <c r="AF100" s="71"/>
      <c r="AG100" s="71"/>
      <c r="AH100" s="71"/>
      <c r="AI100" s="71"/>
      <c r="AJ100" s="71"/>
      <c r="AK100" s="72"/>
      <c r="AL100" s="70"/>
      <c r="AM100" s="71"/>
      <c r="AN100" s="71"/>
      <c r="AO100" s="71"/>
      <c r="AP100" s="71"/>
      <c r="AQ100" s="71"/>
      <c r="AR100" s="72"/>
      <c r="AS100" s="67"/>
      <c r="AT100" s="68"/>
      <c r="AU100" s="68"/>
      <c r="AV100" s="68"/>
      <c r="AW100" s="68"/>
      <c r="AX100" s="68"/>
      <c r="AY100" s="69"/>
      <c r="AZ100" s="67"/>
      <c r="BA100" s="68"/>
      <c r="BB100" s="68"/>
      <c r="BC100" s="68"/>
      <c r="BD100" s="68"/>
      <c r="BE100" s="68"/>
      <c r="BF100" s="69"/>
      <c r="BG100" s="70"/>
      <c r="BH100" s="71"/>
      <c r="BI100" s="71"/>
      <c r="BJ100" s="71"/>
      <c r="BK100" s="71"/>
      <c r="BL100" s="71"/>
      <c r="BM100" s="72"/>
      <c r="BN100" s="70"/>
      <c r="BO100" s="71"/>
      <c r="BP100" s="71"/>
      <c r="BQ100" s="71"/>
      <c r="BR100" s="71"/>
      <c r="BS100" s="71"/>
      <c r="BT100" s="72"/>
      <c r="BU100" s="59"/>
      <c r="BV100" s="59"/>
      <c r="BW100" s="59"/>
      <c r="BX100" s="59"/>
      <c r="BY100" s="59"/>
      <c r="BZ100" s="59"/>
      <c r="CA100" s="59"/>
    </row>
    <row r="101" spans="1:79">
      <c r="A101" s="59"/>
      <c r="B101" s="44" t="str">
        <f t="shared" si="2"/>
        <v/>
      </c>
      <c r="C101" s="70"/>
      <c r="D101" s="71"/>
      <c r="E101" s="71"/>
      <c r="F101" s="71"/>
      <c r="G101" s="71"/>
      <c r="H101" s="71"/>
      <c r="I101" s="72"/>
      <c r="J101" s="70"/>
      <c r="K101" s="71"/>
      <c r="L101" s="71"/>
      <c r="M101" s="71"/>
      <c r="N101" s="71"/>
      <c r="O101" s="71"/>
      <c r="P101" s="72"/>
      <c r="Q101" s="67"/>
      <c r="R101" s="68"/>
      <c r="S101" s="68"/>
      <c r="T101" s="68"/>
      <c r="U101" s="68"/>
      <c r="V101" s="68"/>
      <c r="W101" s="69"/>
      <c r="X101" s="67"/>
      <c r="Y101" s="68"/>
      <c r="Z101" s="68"/>
      <c r="AA101" s="68"/>
      <c r="AB101" s="68"/>
      <c r="AC101" s="68"/>
      <c r="AD101" s="69"/>
      <c r="AE101" s="70"/>
      <c r="AF101" s="71"/>
      <c r="AG101" s="71"/>
      <c r="AH101" s="71"/>
      <c r="AI101" s="71"/>
      <c r="AJ101" s="71"/>
      <c r="AK101" s="72"/>
      <c r="AL101" s="70"/>
      <c r="AM101" s="71"/>
      <c r="AN101" s="71"/>
      <c r="AO101" s="71"/>
      <c r="AP101" s="71"/>
      <c r="AQ101" s="71"/>
      <c r="AR101" s="72"/>
      <c r="AS101" s="67"/>
      <c r="AT101" s="68"/>
      <c r="AU101" s="68"/>
      <c r="AV101" s="68"/>
      <c r="AW101" s="68"/>
      <c r="AX101" s="68"/>
      <c r="AY101" s="69"/>
      <c r="AZ101" s="67"/>
      <c r="BA101" s="68"/>
      <c r="BB101" s="68"/>
      <c r="BC101" s="68"/>
      <c r="BD101" s="68"/>
      <c r="BE101" s="68"/>
      <c r="BF101" s="69"/>
      <c r="BG101" s="70"/>
      <c r="BH101" s="71"/>
      <c r="BI101" s="71"/>
      <c r="BJ101" s="71"/>
      <c r="BK101" s="71"/>
      <c r="BL101" s="71"/>
      <c r="BM101" s="72"/>
      <c r="BN101" s="70"/>
      <c r="BO101" s="71"/>
      <c r="BP101" s="71"/>
      <c r="BQ101" s="71"/>
      <c r="BR101" s="71"/>
      <c r="BS101" s="71"/>
      <c r="BT101" s="72"/>
      <c r="BU101" s="59"/>
      <c r="BV101" s="59"/>
      <c r="BW101" s="59"/>
      <c r="BX101" s="59"/>
      <c r="BY101" s="59"/>
      <c r="BZ101" s="59"/>
      <c r="CA101" s="59"/>
    </row>
    <row r="102" spans="1:79">
      <c r="A102" s="59"/>
      <c r="B102" s="44" t="str">
        <f t="shared" si="2"/>
        <v/>
      </c>
      <c r="C102" s="70"/>
      <c r="D102" s="71"/>
      <c r="E102" s="71"/>
      <c r="F102" s="71"/>
      <c r="G102" s="71"/>
      <c r="H102" s="71"/>
      <c r="I102" s="72"/>
      <c r="J102" s="70"/>
      <c r="K102" s="71"/>
      <c r="L102" s="71"/>
      <c r="M102" s="71"/>
      <c r="N102" s="71"/>
      <c r="O102" s="71"/>
      <c r="P102" s="72"/>
      <c r="Q102" s="67"/>
      <c r="R102" s="68"/>
      <c r="S102" s="68"/>
      <c r="T102" s="68"/>
      <c r="U102" s="68"/>
      <c r="V102" s="68"/>
      <c r="W102" s="69"/>
      <c r="X102" s="67"/>
      <c r="Y102" s="68"/>
      <c r="Z102" s="68"/>
      <c r="AA102" s="68"/>
      <c r="AB102" s="68"/>
      <c r="AC102" s="68"/>
      <c r="AD102" s="69"/>
      <c r="AE102" s="70"/>
      <c r="AF102" s="71"/>
      <c r="AG102" s="71"/>
      <c r="AH102" s="71"/>
      <c r="AI102" s="71"/>
      <c r="AJ102" s="71"/>
      <c r="AK102" s="72"/>
      <c r="AL102" s="70"/>
      <c r="AM102" s="71"/>
      <c r="AN102" s="71"/>
      <c r="AO102" s="71"/>
      <c r="AP102" s="71"/>
      <c r="AQ102" s="71"/>
      <c r="AR102" s="72"/>
      <c r="AS102" s="67"/>
      <c r="AT102" s="68"/>
      <c r="AU102" s="68"/>
      <c r="AV102" s="68"/>
      <c r="AW102" s="68"/>
      <c r="AX102" s="68"/>
      <c r="AY102" s="69"/>
      <c r="AZ102" s="67"/>
      <c r="BA102" s="68"/>
      <c r="BB102" s="68"/>
      <c r="BC102" s="68"/>
      <c r="BD102" s="68"/>
      <c r="BE102" s="68"/>
      <c r="BF102" s="69"/>
      <c r="BG102" s="70"/>
      <c r="BH102" s="71"/>
      <c r="BI102" s="71"/>
      <c r="BJ102" s="71"/>
      <c r="BK102" s="71"/>
      <c r="BL102" s="71"/>
      <c r="BM102" s="72"/>
      <c r="BN102" s="70"/>
      <c r="BO102" s="71"/>
      <c r="BP102" s="71"/>
      <c r="BQ102" s="71"/>
      <c r="BR102" s="71"/>
      <c r="BS102" s="71"/>
      <c r="BT102" s="72"/>
      <c r="BU102" s="59"/>
      <c r="BV102" s="59"/>
      <c r="BW102" s="59"/>
      <c r="BX102" s="59"/>
      <c r="BY102" s="59"/>
      <c r="BZ102" s="59"/>
      <c r="CA102" s="59"/>
    </row>
    <row r="103" spans="1:79">
      <c r="A103" s="59"/>
      <c r="B103" s="44" t="str">
        <f t="shared" si="2"/>
        <v/>
      </c>
      <c r="C103" s="70"/>
      <c r="D103" s="71"/>
      <c r="E103" s="71"/>
      <c r="F103" s="71"/>
      <c r="G103" s="71"/>
      <c r="H103" s="71"/>
      <c r="I103" s="72"/>
      <c r="J103" s="70"/>
      <c r="K103" s="71"/>
      <c r="L103" s="71"/>
      <c r="M103" s="71"/>
      <c r="N103" s="71"/>
      <c r="O103" s="71"/>
      <c r="P103" s="72"/>
      <c r="Q103" s="67"/>
      <c r="R103" s="68"/>
      <c r="S103" s="68"/>
      <c r="T103" s="68"/>
      <c r="U103" s="68"/>
      <c r="V103" s="68"/>
      <c r="W103" s="69"/>
      <c r="X103" s="67"/>
      <c r="Y103" s="68"/>
      <c r="Z103" s="68"/>
      <c r="AA103" s="68"/>
      <c r="AB103" s="68"/>
      <c r="AC103" s="68"/>
      <c r="AD103" s="69"/>
      <c r="AE103" s="70"/>
      <c r="AF103" s="71"/>
      <c r="AG103" s="71"/>
      <c r="AH103" s="71"/>
      <c r="AI103" s="71"/>
      <c r="AJ103" s="71"/>
      <c r="AK103" s="72"/>
      <c r="AL103" s="70"/>
      <c r="AM103" s="71"/>
      <c r="AN103" s="71"/>
      <c r="AO103" s="71"/>
      <c r="AP103" s="71"/>
      <c r="AQ103" s="71"/>
      <c r="AR103" s="72"/>
      <c r="AS103" s="67"/>
      <c r="AT103" s="68"/>
      <c r="AU103" s="68"/>
      <c r="AV103" s="68"/>
      <c r="AW103" s="68"/>
      <c r="AX103" s="68"/>
      <c r="AY103" s="69"/>
      <c r="AZ103" s="67"/>
      <c r="BA103" s="68"/>
      <c r="BB103" s="68"/>
      <c r="BC103" s="68"/>
      <c r="BD103" s="68"/>
      <c r="BE103" s="68"/>
      <c r="BF103" s="69"/>
      <c r="BG103" s="70"/>
      <c r="BH103" s="71"/>
      <c r="BI103" s="71"/>
      <c r="BJ103" s="71"/>
      <c r="BK103" s="71"/>
      <c r="BL103" s="71"/>
      <c r="BM103" s="72"/>
      <c r="BN103" s="70"/>
      <c r="BO103" s="71"/>
      <c r="BP103" s="71"/>
      <c r="BQ103" s="71"/>
      <c r="BR103" s="71"/>
      <c r="BS103" s="71"/>
      <c r="BT103" s="72"/>
      <c r="BU103" s="59"/>
      <c r="BV103" s="59"/>
      <c r="BW103" s="59"/>
      <c r="BX103" s="59"/>
      <c r="BY103" s="59"/>
      <c r="BZ103" s="59"/>
      <c r="CA103" s="59"/>
    </row>
    <row r="104" spans="1:79">
      <c r="A104" s="59"/>
      <c r="B104" s="44" t="str">
        <f t="shared" si="2"/>
        <v/>
      </c>
      <c r="C104" s="70"/>
      <c r="D104" s="71"/>
      <c r="E104" s="71"/>
      <c r="F104" s="71"/>
      <c r="G104" s="71"/>
      <c r="H104" s="71"/>
      <c r="I104" s="72"/>
      <c r="J104" s="70"/>
      <c r="K104" s="71"/>
      <c r="L104" s="71"/>
      <c r="M104" s="71"/>
      <c r="N104" s="71"/>
      <c r="O104" s="71"/>
      <c r="P104" s="72"/>
      <c r="Q104" s="67"/>
      <c r="R104" s="68"/>
      <c r="S104" s="68"/>
      <c r="T104" s="68"/>
      <c r="U104" s="68"/>
      <c r="V104" s="68"/>
      <c r="W104" s="69"/>
      <c r="X104" s="67"/>
      <c r="Y104" s="68"/>
      <c r="Z104" s="68"/>
      <c r="AA104" s="68"/>
      <c r="AB104" s="68"/>
      <c r="AC104" s="68"/>
      <c r="AD104" s="69"/>
      <c r="AE104" s="70"/>
      <c r="AF104" s="71"/>
      <c r="AG104" s="71"/>
      <c r="AH104" s="71"/>
      <c r="AI104" s="71"/>
      <c r="AJ104" s="71"/>
      <c r="AK104" s="72"/>
      <c r="AL104" s="70"/>
      <c r="AM104" s="71"/>
      <c r="AN104" s="71"/>
      <c r="AO104" s="71"/>
      <c r="AP104" s="71"/>
      <c r="AQ104" s="71"/>
      <c r="AR104" s="72"/>
      <c r="AS104" s="67"/>
      <c r="AT104" s="68"/>
      <c r="AU104" s="68"/>
      <c r="AV104" s="68"/>
      <c r="AW104" s="68"/>
      <c r="AX104" s="68"/>
      <c r="AY104" s="69"/>
      <c r="AZ104" s="67"/>
      <c r="BA104" s="68"/>
      <c r="BB104" s="68"/>
      <c r="BC104" s="68"/>
      <c r="BD104" s="68"/>
      <c r="BE104" s="68"/>
      <c r="BF104" s="69"/>
      <c r="BG104" s="70"/>
      <c r="BH104" s="71"/>
      <c r="BI104" s="71"/>
      <c r="BJ104" s="71"/>
      <c r="BK104" s="71"/>
      <c r="BL104" s="71"/>
      <c r="BM104" s="72"/>
      <c r="BN104" s="70"/>
      <c r="BO104" s="71"/>
      <c r="BP104" s="71"/>
      <c r="BQ104" s="71"/>
      <c r="BR104" s="71"/>
      <c r="BS104" s="71"/>
      <c r="BT104" s="72"/>
      <c r="BU104" s="59"/>
      <c r="BV104" s="59"/>
      <c r="BW104" s="59"/>
      <c r="BX104" s="59"/>
      <c r="BY104" s="59"/>
      <c r="BZ104" s="59"/>
      <c r="CA104" s="59"/>
    </row>
    <row r="105" spans="1:79">
      <c r="A105" s="59"/>
      <c r="B105" s="44" t="str">
        <f t="shared" si="2"/>
        <v/>
      </c>
      <c r="C105" s="70"/>
      <c r="D105" s="71"/>
      <c r="E105" s="71"/>
      <c r="F105" s="71"/>
      <c r="G105" s="71"/>
      <c r="H105" s="71"/>
      <c r="I105" s="72"/>
      <c r="J105" s="70"/>
      <c r="K105" s="71"/>
      <c r="L105" s="71"/>
      <c r="M105" s="71"/>
      <c r="N105" s="71"/>
      <c r="O105" s="71"/>
      <c r="P105" s="72"/>
      <c r="Q105" s="67"/>
      <c r="R105" s="68"/>
      <c r="S105" s="68"/>
      <c r="T105" s="68"/>
      <c r="U105" s="68"/>
      <c r="V105" s="68"/>
      <c r="W105" s="69"/>
      <c r="X105" s="67"/>
      <c r="Y105" s="68"/>
      <c r="Z105" s="68"/>
      <c r="AA105" s="68"/>
      <c r="AB105" s="68"/>
      <c r="AC105" s="68"/>
      <c r="AD105" s="69"/>
      <c r="AE105" s="70"/>
      <c r="AF105" s="71"/>
      <c r="AG105" s="71"/>
      <c r="AH105" s="71"/>
      <c r="AI105" s="71"/>
      <c r="AJ105" s="71"/>
      <c r="AK105" s="72"/>
      <c r="AL105" s="70"/>
      <c r="AM105" s="71"/>
      <c r="AN105" s="71"/>
      <c r="AO105" s="71"/>
      <c r="AP105" s="71"/>
      <c r="AQ105" s="71"/>
      <c r="AR105" s="72"/>
      <c r="AS105" s="67"/>
      <c r="AT105" s="68"/>
      <c r="AU105" s="68"/>
      <c r="AV105" s="68"/>
      <c r="AW105" s="68"/>
      <c r="AX105" s="68"/>
      <c r="AY105" s="69"/>
      <c r="AZ105" s="67"/>
      <c r="BA105" s="68"/>
      <c r="BB105" s="68"/>
      <c r="BC105" s="68"/>
      <c r="BD105" s="68"/>
      <c r="BE105" s="68"/>
      <c r="BF105" s="69"/>
      <c r="BG105" s="70"/>
      <c r="BH105" s="71"/>
      <c r="BI105" s="71"/>
      <c r="BJ105" s="71"/>
      <c r="BK105" s="71"/>
      <c r="BL105" s="71"/>
      <c r="BM105" s="72"/>
      <c r="BN105" s="70"/>
      <c r="BO105" s="71"/>
      <c r="BP105" s="71"/>
      <c r="BQ105" s="71"/>
      <c r="BR105" s="71"/>
      <c r="BS105" s="71"/>
      <c r="BT105" s="72"/>
      <c r="BU105" s="59"/>
      <c r="BV105" s="59"/>
      <c r="BW105" s="59"/>
      <c r="BX105" s="59"/>
      <c r="BY105" s="59"/>
      <c r="BZ105" s="59"/>
      <c r="CA105" s="59"/>
    </row>
    <row r="106" spans="1:79">
      <c r="A106" s="59"/>
      <c r="B106" s="44" t="str">
        <f t="shared" si="2"/>
        <v/>
      </c>
      <c r="C106" s="70"/>
      <c r="D106" s="71"/>
      <c r="E106" s="71"/>
      <c r="F106" s="71"/>
      <c r="G106" s="71"/>
      <c r="H106" s="71"/>
      <c r="I106" s="72"/>
      <c r="J106" s="70"/>
      <c r="K106" s="71"/>
      <c r="L106" s="71"/>
      <c r="M106" s="71"/>
      <c r="N106" s="71"/>
      <c r="O106" s="71"/>
      <c r="P106" s="72"/>
      <c r="Q106" s="67"/>
      <c r="R106" s="68"/>
      <c r="S106" s="68"/>
      <c r="T106" s="68"/>
      <c r="U106" s="68"/>
      <c r="V106" s="68"/>
      <c r="W106" s="69"/>
      <c r="X106" s="67"/>
      <c r="Y106" s="68"/>
      <c r="Z106" s="68"/>
      <c r="AA106" s="68"/>
      <c r="AB106" s="68"/>
      <c r="AC106" s="68"/>
      <c r="AD106" s="69"/>
      <c r="AE106" s="70"/>
      <c r="AF106" s="71"/>
      <c r="AG106" s="71"/>
      <c r="AH106" s="71"/>
      <c r="AI106" s="71"/>
      <c r="AJ106" s="71"/>
      <c r="AK106" s="72"/>
      <c r="AL106" s="70"/>
      <c r="AM106" s="71"/>
      <c r="AN106" s="71"/>
      <c r="AO106" s="71"/>
      <c r="AP106" s="71"/>
      <c r="AQ106" s="71"/>
      <c r="AR106" s="72"/>
      <c r="AS106" s="67"/>
      <c r="AT106" s="68"/>
      <c r="AU106" s="68"/>
      <c r="AV106" s="68"/>
      <c r="AW106" s="68"/>
      <c r="AX106" s="68"/>
      <c r="AY106" s="69"/>
      <c r="AZ106" s="67"/>
      <c r="BA106" s="68"/>
      <c r="BB106" s="68"/>
      <c r="BC106" s="68"/>
      <c r="BD106" s="68"/>
      <c r="BE106" s="68"/>
      <c r="BF106" s="69"/>
      <c r="BG106" s="70"/>
      <c r="BH106" s="71"/>
      <c r="BI106" s="71"/>
      <c r="BJ106" s="71"/>
      <c r="BK106" s="71"/>
      <c r="BL106" s="71"/>
      <c r="BM106" s="72"/>
      <c r="BN106" s="70"/>
      <c r="BO106" s="71"/>
      <c r="BP106" s="71"/>
      <c r="BQ106" s="71"/>
      <c r="BR106" s="71"/>
      <c r="BS106" s="71"/>
      <c r="BT106" s="72"/>
      <c r="BU106" s="59"/>
      <c r="BV106" s="59"/>
      <c r="BW106" s="59"/>
      <c r="BX106" s="59"/>
      <c r="BY106" s="59"/>
      <c r="BZ106" s="59"/>
      <c r="CA106" s="59"/>
    </row>
    <row r="107" spans="1:79">
      <c r="A107" s="59"/>
      <c r="B107" s="44" t="str">
        <f t="shared" ref="B107:B138" si="3">IF(Start_year+ROW(B107)-ROW($B$11)&gt;End_year,"",Start_year+ROW(B107)-ROW($B$11))</f>
        <v/>
      </c>
      <c r="C107" s="70"/>
      <c r="D107" s="71"/>
      <c r="E107" s="71"/>
      <c r="F107" s="71"/>
      <c r="G107" s="71"/>
      <c r="H107" s="71"/>
      <c r="I107" s="72"/>
      <c r="J107" s="70"/>
      <c r="K107" s="71"/>
      <c r="L107" s="71"/>
      <c r="M107" s="71"/>
      <c r="N107" s="71"/>
      <c r="O107" s="71"/>
      <c r="P107" s="72"/>
      <c r="Q107" s="67"/>
      <c r="R107" s="68"/>
      <c r="S107" s="68"/>
      <c r="T107" s="68"/>
      <c r="U107" s="68"/>
      <c r="V107" s="68"/>
      <c r="W107" s="69"/>
      <c r="X107" s="67"/>
      <c r="Y107" s="68"/>
      <c r="Z107" s="68"/>
      <c r="AA107" s="68"/>
      <c r="AB107" s="68"/>
      <c r="AC107" s="68"/>
      <c r="AD107" s="69"/>
      <c r="AE107" s="70"/>
      <c r="AF107" s="71"/>
      <c r="AG107" s="71"/>
      <c r="AH107" s="71"/>
      <c r="AI107" s="71"/>
      <c r="AJ107" s="71"/>
      <c r="AK107" s="72"/>
      <c r="AL107" s="70"/>
      <c r="AM107" s="71"/>
      <c r="AN107" s="71"/>
      <c r="AO107" s="71"/>
      <c r="AP107" s="71"/>
      <c r="AQ107" s="71"/>
      <c r="AR107" s="72"/>
      <c r="AS107" s="67"/>
      <c r="AT107" s="68"/>
      <c r="AU107" s="68"/>
      <c r="AV107" s="68"/>
      <c r="AW107" s="68"/>
      <c r="AX107" s="68"/>
      <c r="AY107" s="69"/>
      <c r="AZ107" s="67"/>
      <c r="BA107" s="68"/>
      <c r="BB107" s="68"/>
      <c r="BC107" s="68"/>
      <c r="BD107" s="68"/>
      <c r="BE107" s="68"/>
      <c r="BF107" s="69"/>
      <c r="BG107" s="70"/>
      <c r="BH107" s="71"/>
      <c r="BI107" s="71"/>
      <c r="BJ107" s="71"/>
      <c r="BK107" s="71"/>
      <c r="BL107" s="71"/>
      <c r="BM107" s="72"/>
      <c r="BN107" s="70"/>
      <c r="BO107" s="71"/>
      <c r="BP107" s="71"/>
      <c r="BQ107" s="71"/>
      <c r="BR107" s="71"/>
      <c r="BS107" s="71"/>
      <c r="BT107" s="72"/>
      <c r="BU107" s="59"/>
      <c r="BV107" s="59"/>
      <c r="BW107" s="59"/>
      <c r="BX107" s="59"/>
      <c r="BY107" s="59"/>
      <c r="BZ107" s="59"/>
      <c r="CA107" s="59"/>
    </row>
    <row r="108" spans="1:79">
      <c r="A108" s="59"/>
      <c r="B108" s="44" t="str">
        <f t="shared" si="3"/>
        <v/>
      </c>
      <c r="C108" s="70"/>
      <c r="D108" s="71"/>
      <c r="E108" s="71"/>
      <c r="F108" s="71"/>
      <c r="G108" s="71"/>
      <c r="H108" s="71"/>
      <c r="I108" s="72"/>
      <c r="J108" s="70"/>
      <c r="K108" s="71"/>
      <c r="L108" s="71"/>
      <c r="M108" s="71"/>
      <c r="N108" s="71"/>
      <c r="O108" s="71"/>
      <c r="P108" s="72"/>
      <c r="Q108" s="67"/>
      <c r="R108" s="68"/>
      <c r="S108" s="68"/>
      <c r="T108" s="68"/>
      <c r="U108" s="68"/>
      <c r="V108" s="68"/>
      <c r="W108" s="69"/>
      <c r="X108" s="67"/>
      <c r="Y108" s="68"/>
      <c r="Z108" s="68"/>
      <c r="AA108" s="68"/>
      <c r="AB108" s="68"/>
      <c r="AC108" s="68"/>
      <c r="AD108" s="69"/>
      <c r="AE108" s="70"/>
      <c r="AF108" s="71"/>
      <c r="AG108" s="71"/>
      <c r="AH108" s="71"/>
      <c r="AI108" s="71"/>
      <c r="AJ108" s="71"/>
      <c r="AK108" s="72"/>
      <c r="AL108" s="70"/>
      <c r="AM108" s="71"/>
      <c r="AN108" s="71"/>
      <c r="AO108" s="71"/>
      <c r="AP108" s="71"/>
      <c r="AQ108" s="71"/>
      <c r="AR108" s="72"/>
      <c r="AS108" s="67"/>
      <c r="AT108" s="68"/>
      <c r="AU108" s="68"/>
      <c r="AV108" s="68"/>
      <c r="AW108" s="68"/>
      <c r="AX108" s="68"/>
      <c r="AY108" s="69"/>
      <c r="AZ108" s="67"/>
      <c r="BA108" s="68"/>
      <c r="BB108" s="68"/>
      <c r="BC108" s="68"/>
      <c r="BD108" s="68"/>
      <c r="BE108" s="68"/>
      <c r="BF108" s="69"/>
      <c r="BG108" s="70"/>
      <c r="BH108" s="71"/>
      <c r="BI108" s="71"/>
      <c r="BJ108" s="71"/>
      <c r="BK108" s="71"/>
      <c r="BL108" s="71"/>
      <c r="BM108" s="72"/>
      <c r="BN108" s="70"/>
      <c r="BO108" s="71"/>
      <c r="BP108" s="71"/>
      <c r="BQ108" s="71"/>
      <c r="BR108" s="71"/>
      <c r="BS108" s="71"/>
      <c r="BT108" s="72"/>
      <c r="BU108" s="59"/>
      <c r="BV108" s="59"/>
      <c r="BW108" s="59"/>
      <c r="BX108" s="59"/>
      <c r="BY108" s="59"/>
      <c r="BZ108" s="59"/>
      <c r="CA108" s="59"/>
    </row>
    <row r="109" spans="1:79">
      <c r="A109" s="59"/>
      <c r="B109" s="44" t="str">
        <f t="shared" si="3"/>
        <v/>
      </c>
      <c r="C109" s="70"/>
      <c r="D109" s="71"/>
      <c r="E109" s="71"/>
      <c r="F109" s="71"/>
      <c r="G109" s="71"/>
      <c r="H109" s="71"/>
      <c r="I109" s="72"/>
      <c r="J109" s="70"/>
      <c r="K109" s="71"/>
      <c r="L109" s="71"/>
      <c r="M109" s="71"/>
      <c r="N109" s="71"/>
      <c r="O109" s="71"/>
      <c r="P109" s="72"/>
      <c r="Q109" s="67"/>
      <c r="R109" s="68"/>
      <c r="S109" s="68"/>
      <c r="T109" s="68"/>
      <c r="U109" s="68"/>
      <c r="V109" s="68"/>
      <c r="W109" s="69"/>
      <c r="X109" s="67"/>
      <c r="Y109" s="68"/>
      <c r="Z109" s="68"/>
      <c r="AA109" s="68"/>
      <c r="AB109" s="68"/>
      <c r="AC109" s="68"/>
      <c r="AD109" s="69"/>
      <c r="AE109" s="70"/>
      <c r="AF109" s="71"/>
      <c r="AG109" s="71"/>
      <c r="AH109" s="71"/>
      <c r="AI109" s="71"/>
      <c r="AJ109" s="71"/>
      <c r="AK109" s="72"/>
      <c r="AL109" s="70"/>
      <c r="AM109" s="71"/>
      <c r="AN109" s="71"/>
      <c r="AO109" s="71"/>
      <c r="AP109" s="71"/>
      <c r="AQ109" s="71"/>
      <c r="AR109" s="72"/>
      <c r="AS109" s="67"/>
      <c r="AT109" s="68"/>
      <c r="AU109" s="68"/>
      <c r="AV109" s="68"/>
      <c r="AW109" s="68"/>
      <c r="AX109" s="68"/>
      <c r="AY109" s="69"/>
      <c r="AZ109" s="67"/>
      <c r="BA109" s="68"/>
      <c r="BB109" s="68"/>
      <c r="BC109" s="68"/>
      <c r="BD109" s="68"/>
      <c r="BE109" s="68"/>
      <c r="BF109" s="69"/>
      <c r="BG109" s="70"/>
      <c r="BH109" s="71"/>
      <c r="BI109" s="71"/>
      <c r="BJ109" s="71"/>
      <c r="BK109" s="71"/>
      <c r="BL109" s="71"/>
      <c r="BM109" s="72"/>
      <c r="BN109" s="70"/>
      <c r="BO109" s="71"/>
      <c r="BP109" s="71"/>
      <c r="BQ109" s="71"/>
      <c r="BR109" s="71"/>
      <c r="BS109" s="71"/>
      <c r="BT109" s="72"/>
      <c r="BU109" s="59"/>
      <c r="BV109" s="59"/>
      <c r="BW109" s="59"/>
      <c r="BX109" s="59"/>
      <c r="BY109" s="59"/>
      <c r="BZ109" s="59"/>
      <c r="CA109" s="59"/>
    </row>
    <row r="110" spans="1:79">
      <c r="A110" s="59"/>
      <c r="B110" s="44" t="str">
        <f t="shared" si="3"/>
        <v/>
      </c>
      <c r="C110" s="70"/>
      <c r="D110" s="71"/>
      <c r="E110" s="71"/>
      <c r="F110" s="71"/>
      <c r="G110" s="71"/>
      <c r="H110" s="71"/>
      <c r="I110" s="72"/>
      <c r="J110" s="70"/>
      <c r="K110" s="71"/>
      <c r="L110" s="71"/>
      <c r="M110" s="71"/>
      <c r="N110" s="71"/>
      <c r="O110" s="71"/>
      <c r="P110" s="72"/>
      <c r="Q110" s="67"/>
      <c r="R110" s="68"/>
      <c r="S110" s="68"/>
      <c r="T110" s="68"/>
      <c r="U110" s="68"/>
      <c r="V110" s="68"/>
      <c r="W110" s="69"/>
      <c r="X110" s="67"/>
      <c r="Y110" s="68"/>
      <c r="Z110" s="68"/>
      <c r="AA110" s="68"/>
      <c r="AB110" s="68"/>
      <c r="AC110" s="68"/>
      <c r="AD110" s="69"/>
      <c r="AE110" s="70"/>
      <c r="AF110" s="71"/>
      <c r="AG110" s="71"/>
      <c r="AH110" s="71"/>
      <c r="AI110" s="71"/>
      <c r="AJ110" s="71"/>
      <c r="AK110" s="72"/>
      <c r="AL110" s="70"/>
      <c r="AM110" s="71"/>
      <c r="AN110" s="71"/>
      <c r="AO110" s="71"/>
      <c r="AP110" s="71"/>
      <c r="AQ110" s="71"/>
      <c r="AR110" s="72"/>
      <c r="AS110" s="67"/>
      <c r="AT110" s="68"/>
      <c r="AU110" s="68"/>
      <c r="AV110" s="68"/>
      <c r="AW110" s="68"/>
      <c r="AX110" s="68"/>
      <c r="AY110" s="69"/>
      <c r="AZ110" s="67"/>
      <c r="BA110" s="68"/>
      <c r="BB110" s="68"/>
      <c r="BC110" s="68"/>
      <c r="BD110" s="68"/>
      <c r="BE110" s="68"/>
      <c r="BF110" s="69"/>
      <c r="BG110" s="70"/>
      <c r="BH110" s="71"/>
      <c r="BI110" s="71"/>
      <c r="BJ110" s="71"/>
      <c r="BK110" s="71"/>
      <c r="BL110" s="71"/>
      <c r="BM110" s="72"/>
      <c r="BN110" s="70"/>
      <c r="BO110" s="71"/>
      <c r="BP110" s="71"/>
      <c r="BQ110" s="71"/>
      <c r="BR110" s="71"/>
      <c r="BS110" s="71"/>
      <c r="BT110" s="72"/>
      <c r="BU110" s="59"/>
      <c r="BV110" s="59"/>
      <c r="BW110" s="59"/>
      <c r="BX110" s="59"/>
      <c r="BY110" s="59"/>
      <c r="BZ110" s="59"/>
      <c r="CA110" s="59"/>
    </row>
    <row r="111" spans="1:79">
      <c r="A111" s="59"/>
      <c r="B111" s="44" t="str">
        <f t="shared" si="3"/>
        <v/>
      </c>
      <c r="C111" s="70"/>
      <c r="D111" s="71"/>
      <c r="E111" s="71"/>
      <c r="F111" s="71"/>
      <c r="G111" s="71"/>
      <c r="H111" s="71"/>
      <c r="I111" s="72"/>
      <c r="J111" s="70"/>
      <c r="K111" s="71"/>
      <c r="L111" s="71"/>
      <c r="M111" s="71"/>
      <c r="N111" s="71"/>
      <c r="O111" s="71"/>
      <c r="P111" s="72"/>
      <c r="Q111" s="67"/>
      <c r="R111" s="68"/>
      <c r="S111" s="68"/>
      <c r="T111" s="68"/>
      <c r="U111" s="68"/>
      <c r="V111" s="68"/>
      <c r="W111" s="69"/>
      <c r="X111" s="67"/>
      <c r="Y111" s="68"/>
      <c r="Z111" s="68"/>
      <c r="AA111" s="68"/>
      <c r="AB111" s="68"/>
      <c r="AC111" s="68"/>
      <c r="AD111" s="69"/>
      <c r="AE111" s="70"/>
      <c r="AF111" s="71"/>
      <c r="AG111" s="71"/>
      <c r="AH111" s="71"/>
      <c r="AI111" s="71"/>
      <c r="AJ111" s="71"/>
      <c r="AK111" s="72"/>
      <c r="AL111" s="70"/>
      <c r="AM111" s="71"/>
      <c r="AN111" s="71"/>
      <c r="AO111" s="71"/>
      <c r="AP111" s="71"/>
      <c r="AQ111" s="71"/>
      <c r="AR111" s="72"/>
      <c r="AS111" s="67"/>
      <c r="AT111" s="68"/>
      <c r="AU111" s="68"/>
      <c r="AV111" s="68"/>
      <c r="AW111" s="68"/>
      <c r="AX111" s="68"/>
      <c r="AY111" s="69"/>
      <c r="AZ111" s="67"/>
      <c r="BA111" s="68"/>
      <c r="BB111" s="68"/>
      <c r="BC111" s="68"/>
      <c r="BD111" s="68"/>
      <c r="BE111" s="68"/>
      <c r="BF111" s="69"/>
      <c r="BG111" s="70"/>
      <c r="BH111" s="71"/>
      <c r="BI111" s="71"/>
      <c r="BJ111" s="71"/>
      <c r="BK111" s="71"/>
      <c r="BL111" s="71"/>
      <c r="BM111" s="72"/>
      <c r="BN111" s="70"/>
      <c r="BO111" s="71"/>
      <c r="BP111" s="71"/>
      <c r="BQ111" s="71"/>
      <c r="BR111" s="71"/>
      <c r="BS111" s="71"/>
      <c r="BT111" s="72"/>
      <c r="BU111" s="59"/>
      <c r="BV111" s="59"/>
      <c r="BW111" s="59"/>
      <c r="BX111" s="59"/>
      <c r="BY111" s="59"/>
      <c r="BZ111" s="59"/>
      <c r="CA111" s="59"/>
    </row>
    <row r="112" spans="1:79">
      <c r="A112" s="59"/>
      <c r="B112" s="44" t="str">
        <f t="shared" si="3"/>
        <v/>
      </c>
      <c r="C112" s="70"/>
      <c r="D112" s="71"/>
      <c r="E112" s="71"/>
      <c r="F112" s="71"/>
      <c r="G112" s="71"/>
      <c r="H112" s="71"/>
      <c r="I112" s="72"/>
      <c r="J112" s="70"/>
      <c r="K112" s="71"/>
      <c r="L112" s="71"/>
      <c r="M112" s="71"/>
      <c r="N112" s="71"/>
      <c r="O112" s="71"/>
      <c r="P112" s="72"/>
      <c r="Q112" s="67"/>
      <c r="R112" s="68"/>
      <c r="S112" s="68"/>
      <c r="T112" s="68"/>
      <c r="U112" s="68"/>
      <c r="V112" s="68"/>
      <c r="W112" s="69"/>
      <c r="X112" s="67"/>
      <c r="Y112" s="68"/>
      <c r="Z112" s="68"/>
      <c r="AA112" s="68"/>
      <c r="AB112" s="68"/>
      <c r="AC112" s="68"/>
      <c r="AD112" s="69"/>
      <c r="AE112" s="70"/>
      <c r="AF112" s="71"/>
      <c r="AG112" s="71"/>
      <c r="AH112" s="71"/>
      <c r="AI112" s="71"/>
      <c r="AJ112" s="71"/>
      <c r="AK112" s="72"/>
      <c r="AL112" s="70"/>
      <c r="AM112" s="71"/>
      <c r="AN112" s="71"/>
      <c r="AO112" s="71"/>
      <c r="AP112" s="71"/>
      <c r="AQ112" s="71"/>
      <c r="AR112" s="72"/>
      <c r="AS112" s="67"/>
      <c r="AT112" s="68"/>
      <c r="AU112" s="68"/>
      <c r="AV112" s="68"/>
      <c r="AW112" s="68"/>
      <c r="AX112" s="68"/>
      <c r="AY112" s="69"/>
      <c r="AZ112" s="67"/>
      <c r="BA112" s="68"/>
      <c r="BB112" s="68"/>
      <c r="BC112" s="68"/>
      <c r="BD112" s="68"/>
      <c r="BE112" s="68"/>
      <c r="BF112" s="69"/>
      <c r="BG112" s="70"/>
      <c r="BH112" s="71"/>
      <c r="BI112" s="71"/>
      <c r="BJ112" s="71"/>
      <c r="BK112" s="71"/>
      <c r="BL112" s="71"/>
      <c r="BM112" s="72"/>
      <c r="BN112" s="70"/>
      <c r="BO112" s="71"/>
      <c r="BP112" s="71"/>
      <c r="BQ112" s="71"/>
      <c r="BR112" s="71"/>
      <c r="BS112" s="71"/>
      <c r="BT112" s="72"/>
      <c r="BU112" s="59"/>
      <c r="BV112" s="59"/>
      <c r="BW112" s="59"/>
      <c r="BX112" s="59"/>
      <c r="BY112" s="59"/>
      <c r="BZ112" s="59"/>
      <c r="CA112" s="59"/>
    </row>
    <row r="113" spans="1:79">
      <c r="A113" s="59"/>
      <c r="B113" s="44" t="str">
        <f t="shared" si="3"/>
        <v/>
      </c>
      <c r="C113" s="70"/>
      <c r="D113" s="71"/>
      <c r="E113" s="71"/>
      <c r="F113" s="71"/>
      <c r="G113" s="71"/>
      <c r="H113" s="71"/>
      <c r="I113" s="72"/>
      <c r="J113" s="70"/>
      <c r="K113" s="71"/>
      <c r="L113" s="71"/>
      <c r="M113" s="71"/>
      <c r="N113" s="71"/>
      <c r="O113" s="71"/>
      <c r="P113" s="72"/>
      <c r="Q113" s="67"/>
      <c r="R113" s="68"/>
      <c r="S113" s="68"/>
      <c r="T113" s="68"/>
      <c r="U113" s="68"/>
      <c r="V113" s="68"/>
      <c r="W113" s="69"/>
      <c r="X113" s="67"/>
      <c r="Y113" s="68"/>
      <c r="Z113" s="68"/>
      <c r="AA113" s="68"/>
      <c r="AB113" s="68"/>
      <c r="AC113" s="68"/>
      <c r="AD113" s="69"/>
      <c r="AE113" s="70"/>
      <c r="AF113" s="71"/>
      <c r="AG113" s="71"/>
      <c r="AH113" s="71"/>
      <c r="AI113" s="71"/>
      <c r="AJ113" s="71"/>
      <c r="AK113" s="72"/>
      <c r="AL113" s="70"/>
      <c r="AM113" s="71"/>
      <c r="AN113" s="71"/>
      <c r="AO113" s="71"/>
      <c r="AP113" s="71"/>
      <c r="AQ113" s="71"/>
      <c r="AR113" s="72"/>
      <c r="AS113" s="67"/>
      <c r="AT113" s="68"/>
      <c r="AU113" s="68"/>
      <c r="AV113" s="68"/>
      <c r="AW113" s="68"/>
      <c r="AX113" s="68"/>
      <c r="AY113" s="69"/>
      <c r="AZ113" s="67"/>
      <c r="BA113" s="68"/>
      <c r="BB113" s="68"/>
      <c r="BC113" s="68"/>
      <c r="BD113" s="68"/>
      <c r="BE113" s="68"/>
      <c r="BF113" s="69"/>
      <c r="BG113" s="70"/>
      <c r="BH113" s="71"/>
      <c r="BI113" s="71"/>
      <c r="BJ113" s="71"/>
      <c r="BK113" s="71"/>
      <c r="BL113" s="71"/>
      <c r="BM113" s="72"/>
      <c r="BN113" s="70"/>
      <c r="BO113" s="71"/>
      <c r="BP113" s="71"/>
      <c r="BQ113" s="71"/>
      <c r="BR113" s="71"/>
      <c r="BS113" s="71"/>
      <c r="BT113" s="72"/>
      <c r="BU113" s="59"/>
      <c r="BV113" s="59"/>
      <c r="BW113" s="59"/>
      <c r="BX113" s="59"/>
      <c r="BY113" s="59"/>
      <c r="BZ113" s="59"/>
      <c r="CA113" s="59"/>
    </row>
    <row r="114" spans="1:79">
      <c r="A114" s="59"/>
      <c r="B114" s="44" t="str">
        <f t="shared" si="3"/>
        <v/>
      </c>
      <c r="C114" s="70"/>
      <c r="D114" s="71"/>
      <c r="E114" s="71"/>
      <c r="F114" s="71"/>
      <c r="G114" s="71"/>
      <c r="H114" s="71"/>
      <c r="I114" s="72"/>
      <c r="J114" s="70"/>
      <c r="K114" s="71"/>
      <c r="L114" s="71"/>
      <c r="M114" s="71"/>
      <c r="N114" s="71"/>
      <c r="O114" s="71"/>
      <c r="P114" s="72"/>
      <c r="Q114" s="67"/>
      <c r="R114" s="68"/>
      <c r="S114" s="68"/>
      <c r="T114" s="68"/>
      <c r="U114" s="68"/>
      <c r="V114" s="68"/>
      <c r="W114" s="69"/>
      <c r="X114" s="67"/>
      <c r="Y114" s="68"/>
      <c r="Z114" s="68"/>
      <c r="AA114" s="68"/>
      <c r="AB114" s="68"/>
      <c r="AC114" s="68"/>
      <c r="AD114" s="69"/>
      <c r="AE114" s="70"/>
      <c r="AF114" s="71"/>
      <c r="AG114" s="71"/>
      <c r="AH114" s="71"/>
      <c r="AI114" s="71"/>
      <c r="AJ114" s="71"/>
      <c r="AK114" s="72"/>
      <c r="AL114" s="70"/>
      <c r="AM114" s="71"/>
      <c r="AN114" s="71"/>
      <c r="AO114" s="71"/>
      <c r="AP114" s="71"/>
      <c r="AQ114" s="71"/>
      <c r="AR114" s="72"/>
      <c r="AS114" s="67"/>
      <c r="AT114" s="68"/>
      <c r="AU114" s="68"/>
      <c r="AV114" s="68"/>
      <c r="AW114" s="68"/>
      <c r="AX114" s="68"/>
      <c r="AY114" s="69"/>
      <c r="AZ114" s="67"/>
      <c r="BA114" s="68"/>
      <c r="BB114" s="68"/>
      <c r="BC114" s="68"/>
      <c r="BD114" s="68"/>
      <c r="BE114" s="68"/>
      <c r="BF114" s="69"/>
      <c r="BG114" s="70"/>
      <c r="BH114" s="71"/>
      <c r="BI114" s="71"/>
      <c r="BJ114" s="71"/>
      <c r="BK114" s="71"/>
      <c r="BL114" s="71"/>
      <c r="BM114" s="72"/>
      <c r="BN114" s="70"/>
      <c r="BO114" s="71"/>
      <c r="BP114" s="71"/>
      <c r="BQ114" s="71"/>
      <c r="BR114" s="71"/>
      <c r="BS114" s="71"/>
      <c r="BT114" s="72"/>
      <c r="BU114" s="59"/>
      <c r="BV114" s="59"/>
      <c r="BW114" s="59"/>
      <c r="BX114" s="59"/>
      <c r="BY114" s="59"/>
      <c r="BZ114" s="59"/>
      <c r="CA114" s="59"/>
    </row>
    <row r="115" spans="1:79">
      <c r="A115" s="59"/>
      <c r="B115" s="44" t="str">
        <f t="shared" si="3"/>
        <v/>
      </c>
      <c r="C115" s="70"/>
      <c r="D115" s="71"/>
      <c r="E115" s="71"/>
      <c r="F115" s="71"/>
      <c r="G115" s="71"/>
      <c r="H115" s="71"/>
      <c r="I115" s="72"/>
      <c r="J115" s="70"/>
      <c r="K115" s="71"/>
      <c r="L115" s="71"/>
      <c r="M115" s="71"/>
      <c r="N115" s="71"/>
      <c r="O115" s="71"/>
      <c r="P115" s="72"/>
      <c r="Q115" s="67"/>
      <c r="R115" s="68"/>
      <c r="S115" s="68"/>
      <c r="T115" s="68"/>
      <c r="U115" s="68"/>
      <c r="V115" s="68"/>
      <c r="W115" s="69"/>
      <c r="X115" s="67"/>
      <c r="Y115" s="68"/>
      <c r="Z115" s="68"/>
      <c r="AA115" s="68"/>
      <c r="AB115" s="68"/>
      <c r="AC115" s="68"/>
      <c r="AD115" s="69"/>
      <c r="AE115" s="70"/>
      <c r="AF115" s="71"/>
      <c r="AG115" s="71"/>
      <c r="AH115" s="71"/>
      <c r="AI115" s="71"/>
      <c r="AJ115" s="71"/>
      <c r="AK115" s="72"/>
      <c r="AL115" s="70"/>
      <c r="AM115" s="71"/>
      <c r="AN115" s="71"/>
      <c r="AO115" s="71"/>
      <c r="AP115" s="71"/>
      <c r="AQ115" s="71"/>
      <c r="AR115" s="72"/>
      <c r="AS115" s="67"/>
      <c r="AT115" s="68"/>
      <c r="AU115" s="68"/>
      <c r="AV115" s="68"/>
      <c r="AW115" s="68"/>
      <c r="AX115" s="68"/>
      <c r="AY115" s="69"/>
      <c r="AZ115" s="67"/>
      <c r="BA115" s="68"/>
      <c r="BB115" s="68"/>
      <c r="BC115" s="68"/>
      <c r="BD115" s="68"/>
      <c r="BE115" s="68"/>
      <c r="BF115" s="69"/>
      <c r="BG115" s="70"/>
      <c r="BH115" s="71"/>
      <c r="BI115" s="71"/>
      <c r="BJ115" s="71"/>
      <c r="BK115" s="71"/>
      <c r="BL115" s="71"/>
      <c r="BM115" s="72"/>
      <c r="BN115" s="70"/>
      <c r="BO115" s="71"/>
      <c r="BP115" s="71"/>
      <c r="BQ115" s="71"/>
      <c r="BR115" s="71"/>
      <c r="BS115" s="71"/>
      <c r="BT115" s="72"/>
      <c r="BU115" s="59"/>
      <c r="BV115" s="59"/>
      <c r="BW115" s="59"/>
      <c r="BX115" s="59"/>
      <c r="BY115" s="59"/>
      <c r="BZ115" s="59"/>
      <c r="CA115" s="59"/>
    </row>
    <row r="116" spans="1:79">
      <c r="A116" s="59"/>
      <c r="B116" s="44" t="str">
        <f t="shared" si="3"/>
        <v/>
      </c>
      <c r="C116" s="70"/>
      <c r="D116" s="71"/>
      <c r="E116" s="71"/>
      <c r="F116" s="71"/>
      <c r="G116" s="71"/>
      <c r="H116" s="71"/>
      <c r="I116" s="72"/>
      <c r="J116" s="70"/>
      <c r="K116" s="71"/>
      <c r="L116" s="71"/>
      <c r="M116" s="71"/>
      <c r="N116" s="71"/>
      <c r="O116" s="71"/>
      <c r="P116" s="72"/>
      <c r="Q116" s="67"/>
      <c r="R116" s="68"/>
      <c r="S116" s="68"/>
      <c r="T116" s="68"/>
      <c r="U116" s="68"/>
      <c r="V116" s="68"/>
      <c r="W116" s="69"/>
      <c r="X116" s="67"/>
      <c r="Y116" s="68"/>
      <c r="Z116" s="68"/>
      <c r="AA116" s="68"/>
      <c r="AB116" s="68"/>
      <c r="AC116" s="68"/>
      <c r="AD116" s="69"/>
      <c r="AE116" s="70"/>
      <c r="AF116" s="71"/>
      <c r="AG116" s="71"/>
      <c r="AH116" s="71"/>
      <c r="AI116" s="71"/>
      <c r="AJ116" s="71"/>
      <c r="AK116" s="72"/>
      <c r="AL116" s="70"/>
      <c r="AM116" s="71"/>
      <c r="AN116" s="71"/>
      <c r="AO116" s="71"/>
      <c r="AP116" s="71"/>
      <c r="AQ116" s="71"/>
      <c r="AR116" s="72"/>
      <c r="AS116" s="67"/>
      <c r="AT116" s="68"/>
      <c r="AU116" s="68"/>
      <c r="AV116" s="68"/>
      <c r="AW116" s="68"/>
      <c r="AX116" s="68"/>
      <c r="AY116" s="69"/>
      <c r="AZ116" s="67"/>
      <c r="BA116" s="68"/>
      <c r="BB116" s="68"/>
      <c r="BC116" s="68"/>
      <c r="BD116" s="68"/>
      <c r="BE116" s="68"/>
      <c r="BF116" s="69"/>
      <c r="BG116" s="70"/>
      <c r="BH116" s="71"/>
      <c r="BI116" s="71"/>
      <c r="BJ116" s="71"/>
      <c r="BK116" s="71"/>
      <c r="BL116" s="71"/>
      <c r="BM116" s="72"/>
      <c r="BN116" s="70"/>
      <c r="BO116" s="71"/>
      <c r="BP116" s="71"/>
      <c r="BQ116" s="71"/>
      <c r="BR116" s="71"/>
      <c r="BS116" s="71"/>
      <c r="BT116" s="72"/>
      <c r="BU116" s="59"/>
      <c r="BV116" s="59"/>
      <c r="BW116" s="59"/>
      <c r="BX116" s="59"/>
      <c r="BY116" s="59"/>
      <c r="BZ116" s="59"/>
      <c r="CA116" s="59"/>
    </row>
    <row r="117" spans="1:79">
      <c r="A117" s="59"/>
      <c r="B117" s="44" t="str">
        <f t="shared" si="3"/>
        <v/>
      </c>
      <c r="C117" s="70"/>
      <c r="D117" s="71"/>
      <c r="E117" s="71"/>
      <c r="F117" s="71"/>
      <c r="G117" s="71"/>
      <c r="H117" s="71"/>
      <c r="I117" s="72"/>
      <c r="J117" s="70"/>
      <c r="K117" s="71"/>
      <c r="L117" s="71"/>
      <c r="M117" s="71"/>
      <c r="N117" s="71"/>
      <c r="O117" s="71"/>
      <c r="P117" s="72"/>
      <c r="Q117" s="67"/>
      <c r="R117" s="68"/>
      <c r="S117" s="68"/>
      <c r="T117" s="68"/>
      <c r="U117" s="68"/>
      <c r="V117" s="68"/>
      <c r="W117" s="69"/>
      <c r="X117" s="67"/>
      <c r="Y117" s="68"/>
      <c r="Z117" s="68"/>
      <c r="AA117" s="68"/>
      <c r="AB117" s="68"/>
      <c r="AC117" s="68"/>
      <c r="AD117" s="69"/>
      <c r="AE117" s="70"/>
      <c r="AF117" s="71"/>
      <c r="AG117" s="71"/>
      <c r="AH117" s="71"/>
      <c r="AI117" s="71"/>
      <c r="AJ117" s="71"/>
      <c r="AK117" s="72"/>
      <c r="AL117" s="70"/>
      <c r="AM117" s="71"/>
      <c r="AN117" s="71"/>
      <c r="AO117" s="71"/>
      <c r="AP117" s="71"/>
      <c r="AQ117" s="71"/>
      <c r="AR117" s="72"/>
      <c r="AS117" s="67"/>
      <c r="AT117" s="68"/>
      <c r="AU117" s="68"/>
      <c r="AV117" s="68"/>
      <c r="AW117" s="68"/>
      <c r="AX117" s="68"/>
      <c r="AY117" s="69"/>
      <c r="AZ117" s="67"/>
      <c r="BA117" s="68"/>
      <c r="BB117" s="68"/>
      <c r="BC117" s="68"/>
      <c r="BD117" s="68"/>
      <c r="BE117" s="68"/>
      <c r="BF117" s="69"/>
      <c r="BG117" s="70"/>
      <c r="BH117" s="71"/>
      <c r="BI117" s="71"/>
      <c r="BJ117" s="71"/>
      <c r="BK117" s="71"/>
      <c r="BL117" s="71"/>
      <c r="BM117" s="72"/>
      <c r="BN117" s="70"/>
      <c r="BO117" s="71"/>
      <c r="BP117" s="71"/>
      <c r="BQ117" s="71"/>
      <c r="BR117" s="71"/>
      <c r="BS117" s="71"/>
      <c r="BT117" s="72"/>
      <c r="BU117" s="59"/>
      <c r="BV117" s="59"/>
      <c r="BW117" s="59"/>
      <c r="BX117" s="59"/>
      <c r="BY117" s="59"/>
      <c r="BZ117" s="59"/>
      <c r="CA117" s="59"/>
    </row>
    <row r="118" spans="1:79">
      <c r="A118" s="59"/>
      <c r="B118" s="44" t="str">
        <f t="shared" si="3"/>
        <v/>
      </c>
      <c r="C118" s="70"/>
      <c r="D118" s="71"/>
      <c r="E118" s="71"/>
      <c r="F118" s="71"/>
      <c r="G118" s="71"/>
      <c r="H118" s="71"/>
      <c r="I118" s="72"/>
      <c r="J118" s="70"/>
      <c r="K118" s="71"/>
      <c r="L118" s="71"/>
      <c r="M118" s="71"/>
      <c r="N118" s="71"/>
      <c r="O118" s="71"/>
      <c r="P118" s="72"/>
      <c r="Q118" s="67"/>
      <c r="R118" s="68"/>
      <c r="S118" s="68"/>
      <c r="T118" s="68"/>
      <c r="U118" s="68"/>
      <c r="V118" s="68"/>
      <c r="W118" s="69"/>
      <c r="X118" s="67"/>
      <c r="Y118" s="68"/>
      <c r="Z118" s="68"/>
      <c r="AA118" s="68"/>
      <c r="AB118" s="68"/>
      <c r="AC118" s="68"/>
      <c r="AD118" s="69"/>
      <c r="AE118" s="70"/>
      <c r="AF118" s="71"/>
      <c r="AG118" s="71"/>
      <c r="AH118" s="71"/>
      <c r="AI118" s="71"/>
      <c r="AJ118" s="71"/>
      <c r="AK118" s="72"/>
      <c r="AL118" s="70"/>
      <c r="AM118" s="71"/>
      <c r="AN118" s="71"/>
      <c r="AO118" s="71"/>
      <c r="AP118" s="71"/>
      <c r="AQ118" s="71"/>
      <c r="AR118" s="72"/>
      <c r="AS118" s="67"/>
      <c r="AT118" s="68"/>
      <c r="AU118" s="68"/>
      <c r="AV118" s="68"/>
      <c r="AW118" s="68"/>
      <c r="AX118" s="68"/>
      <c r="AY118" s="69"/>
      <c r="AZ118" s="67"/>
      <c r="BA118" s="68"/>
      <c r="BB118" s="68"/>
      <c r="BC118" s="68"/>
      <c r="BD118" s="68"/>
      <c r="BE118" s="68"/>
      <c r="BF118" s="69"/>
      <c r="BG118" s="70"/>
      <c r="BH118" s="71"/>
      <c r="BI118" s="71"/>
      <c r="BJ118" s="71"/>
      <c r="BK118" s="71"/>
      <c r="BL118" s="71"/>
      <c r="BM118" s="72"/>
      <c r="BN118" s="70"/>
      <c r="BO118" s="71"/>
      <c r="BP118" s="71"/>
      <c r="BQ118" s="71"/>
      <c r="BR118" s="71"/>
      <c r="BS118" s="71"/>
      <c r="BT118" s="72"/>
      <c r="BU118" s="59"/>
      <c r="BV118" s="59"/>
      <c r="BW118" s="59"/>
      <c r="BX118" s="59"/>
      <c r="BY118" s="59"/>
      <c r="BZ118" s="59"/>
      <c r="CA118" s="59"/>
    </row>
    <row r="119" spans="1:79">
      <c r="A119" s="59"/>
      <c r="B119" s="44" t="str">
        <f t="shared" si="3"/>
        <v/>
      </c>
      <c r="C119" s="70"/>
      <c r="D119" s="71"/>
      <c r="E119" s="71"/>
      <c r="F119" s="71"/>
      <c r="G119" s="71"/>
      <c r="H119" s="71"/>
      <c r="I119" s="72"/>
      <c r="J119" s="70"/>
      <c r="K119" s="71"/>
      <c r="L119" s="71"/>
      <c r="M119" s="71"/>
      <c r="N119" s="71"/>
      <c r="O119" s="71"/>
      <c r="P119" s="72"/>
      <c r="Q119" s="67"/>
      <c r="R119" s="68"/>
      <c r="S119" s="68"/>
      <c r="T119" s="68"/>
      <c r="U119" s="68"/>
      <c r="V119" s="68"/>
      <c r="W119" s="69"/>
      <c r="X119" s="67"/>
      <c r="Y119" s="68"/>
      <c r="Z119" s="68"/>
      <c r="AA119" s="68"/>
      <c r="AB119" s="68"/>
      <c r="AC119" s="68"/>
      <c r="AD119" s="69"/>
      <c r="AE119" s="70"/>
      <c r="AF119" s="71"/>
      <c r="AG119" s="71"/>
      <c r="AH119" s="71"/>
      <c r="AI119" s="71"/>
      <c r="AJ119" s="71"/>
      <c r="AK119" s="72"/>
      <c r="AL119" s="70"/>
      <c r="AM119" s="71"/>
      <c r="AN119" s="71"/>
      <c r="AO119" s="71"/>
      <c r="AP119" s="71"/>
      <c r="AQ119" s="71"/>
      <c r="AR119" s="72"/>
      <c r="AS119" s="67"/>
      <c r="AT119" s="68"/>
      <c r="AU119" s="68"/>
      <c r="AV119" s="68"/>
      <c r="AW119" s="68"/>
      <c r="AX119" s="68"/>
      <c r="AY119" s="69"/>
      <c r="AZ119" s="67"/>
      <c r="BA119" s="68"/>
      <c r="BB119" s="68"/>
      <c r="BC119" s="68"/>
      <c r="BD119" s="68"/>
      <c r="BE119" s="68"/>
      <c r="BF119" s="69"/>
      <c r="BG119" s="70"/>
      <c r="BH119" s="71"/>
      <c r="BI119" s="71"/>
      <c r="BJ119" s="71"/>
      <c r="BK119" s="71"/>
      <c r="BL119" s="71"/>
      <c r="BM119" s="72"/>
      <c r="BN119" s="70"/>
      <c r="BO119" s="71"/>
      <c r="BP119" s="71"/>
      <c r="BQ119" s="71"/>
      <c r="BR119" s="71"/>
      <c r="BS119" s="71"/>
      <c r="BT119" s="72"/>
      <c r="BU119" s="59"/>
      <c r="BV119" s="59"/>
      <c r="BW119" s="59"/>
      <c r="BX119" s="59"/>
      <c r="BY119" s="59"/>
      <c r="BZ119" s="59"/>
      <c r="CA119" s="59"/>
    </row>
    <row r="120" spans="1:79">
      <c r="A120" s="59"/>
      <c r="B120" s="44" t="str">
        <f t="shared" si="3"/>
        <v/>
      </c>
      <c r="C120" s="70"/>
      <c r="D120" s="71"/>
      <c r="E120" s="71"/>
      <c r="F120" s="71"/>
      <c r="G120" s="71"/>
      <c r="H120" s="71"/>
      <c r="I120" s="72"/>
      <c r="J120" s="70"/>
      <c r="K120" s="71"/>
      <c r="L120" s="71"/>
      <c r="M120" s="71"/>
      <c r="N120" s="71"/>
      <c r="O120" s="71"/>
      <c r="P120" s="72"/>
      <c r="Q120" s="67"/>
      <c r="R120" s="68"/>
      <c r="S120" s="68"/>
      <c r="T120" s="68"/>
      <c r="U120" s="68"/>
      <c r="V120" s="68"/>
      <c r="W120" s="69"/>
      <c r="X120" s="67"/>
      <c r="Y120" s="68"/>
      <c r="Z120" s="68"/>
      <c r="AA120" s="68"/>
      <c r="AB120" s="68"/>
      <c r="AC120" s="68"/>
      <c r="AD120" s="69"/>
      <c r="AE120" s="70"/>
      <c r="AF120" s="71"/>
      <c r="AG120" s="71"/>
      <c r="AH120" s="71"/>
      <c r="AI120" s="71"/>
      <c r="AJ120" s="71"/>
      <c r="AK120" s="72"/>
      <c r="AL120" s="70"/>
      <c r="AM120" s="71"/>
      <c r="AN120" s="71"/>
      <c r="AO120" s="71"/>
      <c r="AP120" s="71"/>
      <c r="AQ120" s="71"/>
      <c r="AR120" s="72"/>
      <c r="AS120" s="67"/>
      <c r="AT120" s="68"/>
      <c r="AU120" s="68"/>
      <c r="AV120" s="68"/>
      <c r="AW120" s="68"/>
      <c r="AX120" s="68"/>
      <c r="AY120" s="69"/>
      <c r="AZ120" s="67"/>
      <c r="BA120" s="68"/>
      <c r="BB120" s="68"/>
      <c r="BC120" s="68"/>
      <c r="BD120" s="68"/>
      <c r="BE120" s="68"/>
      <c r="BF120" s="69"/>
      <c r="BG120" s="70"/>
      <c r="BH120" s="71"/>
      <c r="BI120" s="71"/>
      <c r="BJ120" s="71"/>
      <c r="BK120" s="71"/>
      <c r="BL120" s="71"/>
      <c r="BM120" s="72"/>
      <c r="BN120" s="70"/>
      <c r="BO120" s="71"/>
      <c r="BP120" s="71"/>
      <c r="BQ120" s="71"/>
      <c r="BR120" s="71"/>
      <c r="BS120" s="71"/>
      <c r="BT120" s="72"/>
      <c r="BU120" s="59"/>
      <c r="BV120" s="59"/>
      <c r="BW120" s="59"/>
      <c r="BX120" s="59"/>
      <c r="BY120" s="59"/>
      <c r="BZ120" s="59"/>
      <c r="CA120" s="59"/>
    </row>
    <row r="121" spans="1:79">
      <c r="A121" s="59"/>
      <c r="B121" s="44" t="str">
        <f t="shared" si="3"/>
        <v/>
      </c>
      <c r="C121" s="70"/>
      <c r="D121" s="71"/>
      <c r="E121" s="71"/>
      <c r="F121" s="71"/>
      <c r="G121" s="71"/>
      <c r="H121" s="71"/>
      <c r="I121" s="72"/>
      <c r="J121" s="70"/>
      <c r="K121" s="71"/>
      <c r="L121" s="71"/>
      <c r="M121" s="71"/>
      <c r="N121" s="71"/>
      <c r="O121" s="71"/>
      <c r="P121" s="72"/>
      <c r="Q121" s="67"/>
      <c r="R121" s="68"/>
      <c r="S121" s="68"/>
      <c r="T121" s="68"/>
      <c r="U121" s="68"/>
      <c r="V121" s="68"/>
      <c r="W121" s="69"/>
      <c r="X121" s="67"/>
      <c r="Y121" s="68"/>
      <c r="Z121" s="68"/>
      <c r="AA121" s="68"/>
      <c r="AB121" s="68"/>
      <c r="AC121" s="68"/>
      <c r="AD121" s="69"/>
      <c r="AE121" s="70"/>
      <c r="AF121" s="71"/>
      <c r="AG121" s="71"/>
      <c r="AH121" s="71"/>
      <c r="AI121" s="71"/>
      <c r="AJ121" s="71"/>
      <c r="AK121" s="72"/>
      <c r="AL121" s="70"/>
      <c r="AM121" s="71"/>
      <c r="AN121" s="71"/>
      <c r="AO121" s="71"/>
      <c r="AP121" s="71"/>
      <c r="AQ121" s="71"/>
      <c r="AR121" s="72"/>
      <c r="AS121" s="67"/>
      <c r="AT121" s="68"/>
      <c r="AU121" s="68"/>
      <c r="AV121" s="68"/>
      <c r="AW121" s="68"/>
      <c r="AX121" s="68"/>
      <c r="AY121" s="69"/>
      <c r="AZ121" s="67"/>
      <c r="BA121" s="68"/>
      <c r="BB121" s="68"/>
      <c r="BC121" s="68"/>
      <c r="BD121" s="68"/>
      <c r="BE121" s="68"/>
      <c r="BF121" s="69"/>
      <c r="BG121" s="70"/>
      <c r="BH121" s="71"/>
      <c r="BI121" s="71"/>
      <c r="BJ121" s="71"/>
      <c r="BK121" s="71"/>
      <c r="BL121" s="71"/>
      <c r="BM121" s="72"/>
      <c r="BN121" s="70"/>
      <c r="BO121" s="71"/>
      <c r="BP121" s="71"/>
      <c r="BQ121" s="71"/>
      <c r="BR121" s="71"/>
      <c r="BS121" s="71"/>
      <c r="BT121" s="72"/>
      <c r="BU121" s="59"/>
      <c r="BV121" s="59"/>
      <c r="BW121" s="59"/>
      <c r="BX121" s="59"/>
      <c r="BY121" s="59"/>
      <c r="BZ121" s="59"/>
      <c r="CA121" s="59"/>
    </row>
    <row r="122" spans="1:79">
      <c r="A122" s="59"/>
      <c r="B122" s="44" t="str">
        <f t="shared" si="3"/>
        <v/>
      </c>
      <c r="C122" s="70"/>
      <c r="D122" s="71"/>
      <c r="E122" s="71"/>
      <c r="F122" s="71"/>
      <c r="G122" s="71"/>
      <c r="H122" s="71"/>
      <c r="I122" s="72"/>
      <c r="J122" s="70"/>
      <c r="K122" s="71"/>
      <c r="L122" s="71"/>
      <c r="M122" s="71"/>
      <c r="N122" s="71"/>
      <c r="O122" s="71"/>
      <c r="P122" s="72"/>
      <c r="Q122" s="67"/>
      <c r="R122" s="68"/>
      <c r="S122" s="68"/>
      <c r="T122" s="68"/>
      <c r="U122" s="68"/>
      <c r="V122" s="68"/>
      <c r="W122" s="69"/>
      <c r="X122" s="67"/>
      <c r="Y122" s="68"/>
      <c r="Z122" s="68"/>
      <c r="AA122" s="68"/>
      <c r="AB122" s="68"/>
      <c r="AC122" s="68"/>
      <c r="AD122" s="69"/>
      <c r="AE122" s="70"/>
      <c r="AF122" s="71"/>
      <c r="AG122" s="71"/>
      <c r="AH122" s="71"/>
      <c r="AI122" s="71"/>
      <c r="AJ122" s="71"/>
      <c r="AK122" s="72"/>
      <c r="AL122" s="70"/>
      <c r="AM122" s="71"/>
      <c r="AN122" s="71"/>
      <c r="AO122" s="71"/>
      <c r="AP122" s="71"/>
      <c r="AQ122" s="71"/>
      <c r="AR122" s="72"/>
      <c r="AS122" s="67"/>
      <c r="AT122" s="68"/>
      <c r="AU122" s="68"/>
      <c r="AV122" s="68"/>
      <c r="AW122" s="68"/>
      <c r="AX122" s="68"/>
      <c r="AY122" s="69"/>
      <c r="AZ122" s="67"/>
      <c r="BA122" s="68"/>
      <c r="BB122" s="68"/>
      <c r="BC122" s="68"/>
      <c r="BD122" s="68"/>
      <c r="BE122" s="68"/>
      <c r="BF122" s="69"/>
      <c r="BG122" s="70"/>
      <c r="BH122" s="71"/>
      <c r="BI122" s="71"/>
      <c r="BJ122" s="71"/>
      <c r="BK122" s="71"/>
      <c r="BL122" s="71"/>
      <c r="BM122" s="72"/>
      <c r="BN122" s="70"/>
      <c r="BO122" s="71"/>
      <c r="BP122" s="71"/>
      <c r="BQ122" s="71"/>
      <c r="BR122" s="71"/>
      <c r="BS122" s="71"/>
      <c r="BT122" s="72"/>
      <c r="BU122" s="59"/>
      <c r="BV122" s="59"/>
      <c r="BW122" s="59"/>
      <c r="BX122" s="59"/>
      <c r="BY122" s="59"/>
      <c r="BZ122" s="59"/>
      <c r="CA122" s="59"/>
    </row>
    <row r="123" spans="1:79">
      <c r="A123" s="59"/>
      <c r="B123" s="44" t="str">
        <f t="shared" si="3"/>
        <v/>
      </c>
      <c r="C123" s="70"/>
      <c r="D123" s="71"/>
      <c r="E123" s="71"/>
      <c r="F123" s="71"/>
      <c r="G123" s="71"/>
      <c r="H123" s="71"/>
      <c r="I123" s="72"/>
      <c r="J123" s="70"/>
      <c r="K123" s="71"/>
      <c r="L123" s="71"/>
      <c r="M123" s="71"/>
      <c r="N123" s="71"/>
      <c r="O123" s="71"/>
      <c r="P123" s="72"/>
      <c r="Q123" s="67"/>
      <c r="R123" s="68"/>
      <c r="S123" s="68"/>
      <c r="T123" s="68"/>
      <c r="U123" s="68"/>
      <c r="V123" s="68"/>
      <c r="W123" s="69"/>
      <c r="X123" s="67"/>
      <c r="Y123" s="68"/>
      <c r="Z123" s="68"/>
      <c r="AA123" s="68"/>
      <c r="AB123" s="68"/>
      <c r="AC123" s="68"/>
      <c r="AD123" s="69"/>
      <c r="AE123" s="70"/>
      <c r="AF123" s="71"/>
      <c r="AG123" s="71"/>
      <c r="AH123" s="71"/>
      <c r="AI123" s="71"/>
      <c r="AJ123" s="71"/>
      <c r="AK123" s="72"/>
      <c r="AL123" s="70"/>
      <c r="AM123" s="71"/>
      <c r="AN123" s="71"/>
      <c r="AO123" s="71"/>
      <c r="AP123" s="71"/>
      <c r="AQ123" s="71"/>
      <c r="AR123" s="72"/>
      <c r="AS123" s="67"/>
      <c r="AT123" s="68"/>
      <c r="AU123" s="68"/>
      <c r="AV123" s="68"/>
      <c r="AW123" s="68"/>
      <c r="AX123" s="68"/>
      <c r="AY123" s="69"/>
      <c r="AZ123" s="67"/>
      <c r="BA123" s="68"/>
      <c r="BB123" s="68"/>
      <c r="BC123" s="68"/>
      <c r="BD123" s="68"/>
      <c r="BE123" s="68"/>
      <c r="BF123" s="69"/>
      <c r="BG123" s="70"/>
      <c r="BH123" s="71"/>
      <c r="BI123" s="71"/>
      <c r="BJ123" s="71"/>
      <c r="BK123" s="71"/>
      <c r="BL123" s="71"/>
      <c r="BM123" s="72"/>
      <c r="BN123" s="70"/>
      <c r="BO123" s="71"/>
      <c r="BP123" s="71"/>
      <c r="BQ123" s="71"/>
      <c r="BR123" s="71"/>
      <c r="BS123" s="71"/>
      <c r="BT123" s="72"/>
      <c r="BU123" s="59"/>
      <c r="BV123" s="59"/>
      <c r="BW123" s="59"/>
      <c r="BX123" s="59"/>
      <c r="BY123" s="59"/>
      <c r="BZ123" s="59"/>
      <c r="CA123" s="59"/>
    </row>
    <row r="124" spans="1:79">
      <c r="A124" s="59"/>
      <c r="B124" s="44" t="str">
        <f t="shared" si="3"/>
        <v/>
      </c>
      <c r="C124" s="70"/>
      <c r="D124" s="71"/>
      <c r="E124" s="71"/>
      <c r="F124" s="71"/>
      <c r="G124" s="71"/>
      <c r="H124" s="71"/>
      <c r="I124" s="72"/>
      <c r="J124" s="70"/>
      <c r="K124" s="71"/>
      <c r="L124" s="71"/>
      <c r="M124" s="71"/>
      <c r="N124" s="71"/>
      <c r="O124" s="71"/>
      <c r="P124" s="72"/>
      <c r="Q124" s="67"/>
      <c r="R124" s="68"/>
      <c r="S124" s="68"/>
      <c r="T124" s="68"/>
      <c r="U124" s="68"/>
      <c r="V124" s="68"/>
      <c r="W124" s="69"/>
      <c r="X124" s="67"/>
      <c r="Y124" s="68"/>
      <c r="Z124" s="68"/>
      <c r="AA124" s="68"/>
      <c r="AB124" s="68"/>
      <c r="AC124" s="68"/>
      <c r="AD124" s="69"/>
      <c r="AE124" s="70"/>
      <c r="AF124" s="71"/>
      <c r="AG124" s="71"/>
      <c r="AH124" s="71"/>
      <c r="AI124" s="71"/>
      <c r="AJ124" s="71"/>
      <c r="AK124" s="72"/>
      <c r="AL124" s="70"/>
      <c r="AM124" s="71"/>
      <c r="AN124" s="71"/>
      <c r="AO124" s="71"/>
      <c r="AP124" s="71"/>
      <c r="AQ124" s="71"/>
      <c r="AR124" s="72"/>
      <c r="AS124" s="67"/>
      <c r="AT124" s="68"/>
      <c r="AU124" s="68"/>
      <c r="AV124" s="68"/>
      <c r="AW124" s="68"/>
      <c r="AX124" s="68"/>
      <c r="AY124" s="69"/>
      <c r="AZ124" s="67"/>
      <c r="BA124" s="68"/>
      <c r="BB124" s="68"/>
      <c r="BC124" s="68"/>
      <c r="BD124" s="68"/>
      <c r="BE124" s="68"/>
      <c r="BF124" s="69"/>
      <c r="BG124" s="70"/>
      <c r="BH124" s="71"/>
      <c r="BI124" s="71"/>
      <c r="BJ124" s="71"/>
      <c r="BK124" s="71"/>
      <c r="BL124" s="71"/>
      <c r="BM124" s="72"/>
      <c r="BN124" s="70"/>
      <c r="BO124" s="71"/>
      <c r="BP124" s="71"/>
      <c r="BQ124" s="71"/>
      <c r="BR124" s="71"/>
      <c r="BS124" s="71"/>
      <c r="BT124" s="72"/>
      <c r="BU124" s="59"/>
      <c r="BV124" s="59"/>
      <c r="BW124" s="59"/>
      <c r="BX124" s="59"/>
      <c r="BY124" s="59"/>
      <c r="BZ124" s="59"/>
      <c r="CA124" s="59"/>
    </row>
    <row r="125" spans="1:79">
      <c r="A125" s="59"/>
      <c r="B125" s="44" t="str">
        <f t="shared" si="3"/>
        <v/>
      </c>
      <c r="C125" s="70"/>
      <c r="D125" s="71"/>
      <c r="E125" s="71"/>
      <c r="F125" s="71"/>
      <c r="G125" s="71"/>
      <c r="H125" s="71"/>
      <c r="I125" s="72"/>
      <c r="J125" s="70"/>
      <c r="K125" s="71"/>
      <c r="L125" s="71"/>
      <c r="M125" s="71"/>
      <c r="N125" s="71"/>
      <c r="O125" s="71"/>
      <c r="P125" s="72"/>
      <c r="Q125" s="67"/>
      <c r="R125" s="68"/>
      <c r="S125" s="68"/>
      <c r="T125" s="68"/>
      <c r="U125" s="68"/>
      <c r="V125" s="68"/>
      <c r="W125" s="69"/>
      <c r="X125" s="67"/>
      <c r="Y125" s="68"/>
      <c r="Z125" s="68"/>
      <c r="AA125" s="68"/>
      <c r="AB125" s="68"/>
      <c r="AC125" s="68"/>
      <c r="AD125" s="69"/>
      <c r="AE125" s="70"/>
      <c r="AF125" s="71"/>
      <c r="AG125" s="71"/>
      <c r="AH125" s="71"/>
      <c r="AI125" s="71"/>
      <c r="AJ125" s="71"/>
      <c r="AK125" s="72"/>
      <c r="AL125" s="70"/>
      <c r="AM125" s="71"/>
      <c r="AN125" s="71"/>
      <c r="AO125" s="71"/>
      <c r="AP125" s="71"/>
      <c r="AQ125" s="71"/>
      <c r="AR125" s="72"/>
      <c r="AS125" s="67"/>
      <c r="AT125" s="68"/>
      <c r="AU125" s="68"/>
      <c r="AV125" s="68"/>
      <c r="AW125" s="68"/>
      <c r="AX125" s="68"/>
      <c r="AY125" s="69"/>
      <c r="AZ125" s="67"/>
      <c r="BA125" s="68"/>
      <c r="BB125" s="68"/>
      <c r="BC125" s="68"/>
      <c r="BD125" s="68"/>
      <c r="BE125" s="68"/>
      <c r="BF125" s="69"/>
      <c r="BG125" s="70"/>
      <c r="BH125" s="71"/>
      <c r="BI125" s="71"/>
      <c r="BJ125" s="71"/>
      <c r="BK125" s="71"/>
      <c r="BL125" s="71"/>
      <c r="BM125" s="72"/>
      <c r="BN125" s="70"/>
      <c r="BO125" s="71"/>
      <c r="BP125" s="71"/>
      <c r="BQ125" s="71"/>
      <c r="BR125" s="71"/>
      <c r="BS125" s="71"/>
      <c r="BT125" s="72"/>
      <c r="BU125" s="59"/>
      <c r="BV125" s="59"/>
      <c r="BW125" s="59"/>
      <c r="BX125" s="59"/>
      <c r="BY125" s="59"/>
      <c r="BZ125" s="59"/>
      <c r="CA125" s="59"/>
    </row>
    <row r="126" spans="1:79">
      <c r="A126" s="59"/>
      <c r="B126" s="44" t="str">
        <f t="shared" si="3"/>
        <v/>
      </c>
      <c r="C126" s="70"/>
      <c r="D126" s="71"/>
      <c r="E126" s="71"/>
      <c r="F126" s="71"/>
      <c r="G126" s="71"/>
      <c r="H126" s="71"/>
      <c r="I126" s="72"/>
      <c r="J126" s="70"/>
      <c r="K126" s="71"/>
      <c r="L126" s="71"/>
      <c r="M126" s="71"/>
      <c r="N126" s="71"/>
      <c r="O126" s="71"/>
      <c r="P126" s="72"/>
      <c r="Q126" s="67"/>
      <c r="R126" s="68"/>
      <c r="S126" s="68"/>
      <c r="T126" s="68"/>
      <c r="U126" s="68"/>
      <c r="V126" s="68"/>
      <c r="W126" s="69"/>
      <c r="X126" s="67"/>
      <c r="Y126" s="68"/>
      <c r="Z126" s="68"/>
      <c r="AA126" s="68"/>
      <c r="AB126" s="68"/>
      <c r="AC126" s="68"/>
      <c r="AD126" s="69"/>
      <c r="AE126" s="70"/>
      <c r="AF126" s="71"/>
      <c r="AG126" s="71"/>
      <c r="AH126" s="71"/>
      <c r="AI126" s="71"/>
      <c r="AJ126" s="71"/>
      <c r="AK126" s="72"/>
      <c r="AL126" s="70"/>
      <c r="AM126" s="71"/>
      <c r="AN126" s="71"/>
      <c r="AO126" s="71"/>
      <c r="AP126" s="71"/>
      <c r="AQ126" s="71"/>
      <c r="AR126" s="72"/>
      <c r="AS126" s="67"/>
      <c r="AT126" s="68"/>
      <c r="AU126" s="68"/>
      <c r="AV126" s="68"/>
      <c r="AW126" s="68"/>
      <c r="AX126" s="68"/>
      <c r="AY126" s="69"/>
      <c r="AZ126" s="67"/>
      <c r="BA126" s="68"/>
      <c r="BB126" s="68"/>
      <c r="BC126" s="68"/>
      <c r="BD126" s="68"/>
      <c r="BE126" s="68"/>
      <c r="BF126" s="69"/>
      <c r="BG126" s="70"/>
      <c r="BH126" s="71"/>
      <c r="BI126" s="71"/>
      <c r="BJ126" s="71"/>
      <c r="BK126" s="71"/>
      <c r="BL126" s="71"/>
      <c r="BM126" s="72"/>
      <c r="BN126" s="70"/>
      <c r="BO126" s="71"/>
      <c r="BP126" s="71"/>
      <c r="BQ126" s="71"/>
      <c r="BR126" s="71"/>
      <c r="BS126" s="71"/>
      <c r="BT126" s="72"/>
      <c r="BU126" s="59"/>
      <c r="BV126" s="59"/>
      <c r="BW126" s="59"/>
      <c r="BX126" s="59"/>
      <c r="BY126" s="59"/>
      <c r="BZ126" s="59"/>
      <c r="CA126" s="59"/>
    </row>
    <row r="127" spans="1:79">
      <c r="A127" s="59"/>
      <c r="B127" s="44" t="str">
        <f t="shared" si="3"/>
        <v/>
      </c>
      <c r="C127" s="70"/>
      <c r="D127" s="71"/>
      <c r="E127" s="71"/>
      <c r="F127" s="71"/>
      <c r="G127" s="71"/>
      <c r="H127" s="71"/>
      <c r="I127" s="72"/>
      <c r="J127" s="70"/>
      <c r="K127" s="71"/>
      <c r="L127" s="71"/>
      <c r="M127" s="71"/>
      <c r="N127" s="71"/>
      <c r="O127" s="71"/>
      <c r="P127" s="72"/>
      <c r="Q127" s="67"/>
      <c r="R127" s="68"/>
      <c r="S127" s="68"/>
      <c r="T127" s="68"/>
      <c r="U127" s="68"/>
      <c r="V127" s="68"/>
      <c r="W127" s="69"/>
      <c r="X127" s="67"/>
      <c r="Y127" s="68"/>
      <c r="Z127" s="68"/>
      <c r="AA127" s="68"/>
      <c r="AB127" s="68"/>
      <c r="AC127" s="68"/>
      <c r="AD127" s="69"/>
      <c r="AE127" s="70"/>
      <c r="AF127" s="71"/>
      <c r="AG127" s="71"/>
      <c r="AH127" s="71"/>
      <c r="AI127" s="71"/>
      <c r="AJ127" s="71"/>
      <c r="AK127" s="72"/>
      <c r="AL127" s="70"/>
      <c r="AM127" s="71"/>
      <c r="AN127" s="71"/>
      <c r="AO127" s="71"/>
      <c r="AP127" s="71"/>
      <c r="AQ127" s="71"/>
      <c r="AR127" s="72"/>
      <c r="AS127" s="67"/>
      <c r="AT127" s="68"/>
      <c r="AU127" s="68"/>
      <c r="AV127" s="68"/>
      <c r="AW127" s="68"/>
      <c r="AX127" s="68"/>
      <c r="AY127" s="69"/>
      <c r="AZ127" s="67"/>
      <c r="BA127" s="68"/>
      <c r="BB127" s="68"/>
      <c r="BC127" s="68"/>
      <c r="BD127" s="68"/>
      <c r="BE127" s="68"/>
      <c r="BF127" s="69"/>
      <c r="BG127" s="70"/>
      <c r="BH127" s="71"/>
      <c r="BI127" s="71"/>
      <c r="BJ127" s="71"/>
      <c r="BK127" s="71"/>
      <c r="BL127" s="71"/>
      <c r="BM127" s="72"/>
      <c r="BN127" s="70"/>
      <c r="BO127" s="71"/>
      <c r="BP127" s="71"/>
      <c r="BQ127" s="71"/>
      <c r="BR127" s="71"/>
      <c r="BS127" s="71"/>
      <c r="BT127" s="72"/>
      <c r="BU127" s="59"/>
      <c r="BV127" s="59"/>
      <c r="BW127" s="59"/>
      <c r="BX127" s="59"/>
      <c r="BY127" s="59"/>
      <c r="BZ127" s="59"/>
      <c r="CA127" s="59"/>
    </row>
    <row r="128" spans="1:79">
      <c r="A128" s="59"/>
      <c r="B128" s="44" t="str">
        <f t="shared" si="3"/>
        <v/>
      </c>
      <c r="C128" s="70"/>
      <c r="D128" s="71"/>
      <c r="E128" s="71"/>
      <c r="F128" s="71"/>
      <c r="G128" s="71"/>
      <c r="H128" s="71"/>
      <c r="I128" s="72"/>
      <c r="J128" s="70"/>
      <c r="K128" s="71"/>
      <c r="L128" s="71"/>
      <c r="M128" s="71"/>
      <c r="N128" s="71"/>
      <c r="O128" s="71"/>
      <c r="P128" s="72"/>
      <c r="Q128" s="67"/>
      <c r="R128" s="68"/>
      <c r="S128" s="68"/>
      <c r="T128" s="68"/>
      <c r="U128" s="68"/>
      <c r="V128" s="68"/>
      <c r="W128" s="69"/>
      <c r="X128" s="67"/>
      <c r="Y128" s="68"/>
      <c r="Z128" s="68"/>
      <c r="AA128" s="68"/>
      <c r="AB128" s="68"/>
      <c r="AC128" s="68"/>
      <c r="AD128" s="69"/>
      <c r="AE128" s="70"/>
      <c r="AF128" s="71"/>
      <c r="AG128" s="71"/>
      <c r="AH128" s="71"/>
      <c r="AI128" s="71"/>
      <c r="AJ128" s="71"/>
      <c r="AK128" s="72"/>
      <c r="AL128" s="70"/>
      <c r="AM128" s="71"/>
      <c r="AN128" s="71"/>
      <c r="AO128" s="71"/>
      <c r="AP128" s="71"/>
      <c r="AQ128" s="71"/>
      <c r="AR128" s="72"/>
      <c r="AS128" s="67"/>
      <c r="AT128" s="68"/>
      <c r="AU128" s="68"/>
      <c r="AV128" s="68"/>
      <c r="AW128" s="68"/>
      <c r="AX128" s="68"/>
      <c r="AY128" s="69"/>
      <c r="AZ128" s="67"/>
      <c r="BA128" s="68"/>
      <c r="BB128" s="68"/>
      <c r="BC128" s="68"/>
      <c r="BD128" s="68"/>
      <c r="BE128" s="68"/>
      <c r="BF128" s="69"/>
      <c r="BG128" s="70"/>
      <c r="BH128" s="71"/>
      <c r="BI128" s="71"/>
      <c r="BJ128" s="71"/>
      <c r="BK128" s="71"/>
      <c r="BL128" s="71"/>
      <c r="BM128" s="72"/>
      <c r="BN128" s="70"/>
      <c r="BO128" s="71"/>
      <c r="BP128" s="71"/>
      <c r="BQ128" s="71"/>
      <c r="BR128" s="71"/>
      <c r="BS128" s="71"/>
      <c r="BT128" s="72"/>
      <c r="BU128" s="59"/>
      <c r="BV128" s="59"/>
      <c r="BW128" s="59"/>
      <c r="BX128" s="59"/>
      <c r="BY128" s="59"/>
      <c r="BZ128" s="59"/>
      <c r="CA128" s="59"/>
    </row>
    <row r="129" spans="1:79">
      <c r="A129" s="59"/>
      <c r="B129" s="44" t="str">
        <f t="shared" si="3"/>
        <v/>
      </c>
      <c r="C129" s="70"/>
      <c r="D129" s="71"/>
      <c r="E129" s="71"/>
      <c r="F129" s="71"/>
      <c r="G129" s="71"/>
      <c r="H129" s="71"/>
      <c r="I129" s="72"/>
      <c r="J129" s="70"/>
      <c r="K129" s="71"/>
      <c r="L129" s="71"/>
      <c r="M129" s="71"/>
      <c r="N129" s="71"/>
      <c r="O129" s="71"/>
      <c r="P129" s="72"/>
      <c r="Q129" s="67"/>
      <c r="R129" s="68"/>
      <c r="S129" s="68"/>
      <c r="T129" s="68"/>
      <c r="U129" s="68"/>
      <c r="V129" s="68"/>
      <c r="W129" s="69"/>
      <c r="X129" s="67"/>
      <c r="Y129" s="68"/>
      <c r="Z129" s="68"/>
      <c r="AA129" s="68"/>
      <c r="AB129" s="68"/>
      <c r="AC129" s="68"/>
      <c r="AD129" s="69"/>
      <c r="AE129" s="70"/>
      <c r="AF129" s="71"/>
      <c r="AG129" s="71"/>
      <c r="AH129" s="71"/>
      <c r="AI129" s="71"/>
      <c r="AJ129" s="71"/>
      <c r="AK129" s="72"/>
      <c r="AL129" s="70"/>
      <c r="AM129" s="71"/>
      <c r="AN129" s="71"/>
      <c r="AO129" s="71"/>
      <c r="AP129" s="71"/>
      <c r="AQ129" s="71"/>
      <c r="AR129" s="72"/>
      <c r="AS129" s="67"/>
      <c r="AT129" s="68"/>
      <c r="AU129" s="68"/>
      <c r="AV129" s="68"/>
      <c r="AW129" s="68"/>
      <c r="AX129" s="68"/>
      <c r="AY129" s="69"/>
      <c r="AZ129" s="67"/>
      <c r="BA129" s="68"/>
      <c r="BB129" s="68"/>
      <c r="BC129" s="68"/>
      <c r="BD129" s="68"/>
      <c r="BE129" s="68"/>
      <c r="BF129" s="69"/>
      <c r="BG129" s="70"/>
      <c r="BH129" s="71"/>
      <c r="BI129" s="71"/>
      <c r="BJ129" s="71"/>
      <c r="BK129" s="71"/>
      <c r="BL129" s="71"/>
      <c r="BM129" s="72"/>
      <c r="BN129" s="70"/>
      <c r="BO129" s="71"/>
      <c r="BP129" s="71"/>
      <c r="BQ129" s="71"/>
      <c r="BR129" s="71"/>
      <c r="BS129" s="71"/>
      <c r="BT129" s="72"/>
      <c r="BU129" s="59"/>
      <c r="BV129" s="59"/>
      <c r="BW129" s="59"/>
      <c r="BX129" s="59"/>
      <c r="BY129" s="59"/>
      <c r="BZ129" s="59"/>
      <c r="CA129" s="59"/>
    </row>
    <row r="130" spans="1:79">
      <c r="A130" s="59"/>
      <c r="B130" s="44" t="str">
        <f t="shared" si="3"/>
        <v/>
      </c>
      <c r="C130" s="70"/>
      <c r="D130" s="71"/>
      <c r="E130" s="71"/>
      <c r="F130" s="71"/>
      <c r="G130" s="71"/>
      <c r="H130" s="71"/>
      <c r="I130" s="72"/>
      <c r="J130" s="70"/>
      <c r="K130" s="71"/>
      <c r="L130" s="71"/>
      <c r="M130" s="71"/>
      <c r="N130" s="71"/>
      <c r="O130" s="71"/>
      <c r="P130" s="72"/>
      <c r="Q130" s="67"/>
      <c r="R130" s="68"/>
      <c r="S130" s="68"/>
      <c r="T130" s="68"/>
      <c r="U130" s="68"/>
      <c r="V130" s="68"/>
      <c r="W130" s="69"/>
      <c r="X130" s="67"/>
      <c r="Y130" s="68"/>
      <c r="Z130" s="68"/>
      <c r="AA130" s="68"/>
      <c r="AB130" s="68"/>
      <c r="AC130" s="68"/>
      <c r="AD130" s="69"/>
      <c r="AE130" s="70"/>
      <c r="AF130" s="71"/>
      <c r="AG130" s="71"/>
      <c r="AH130" s="71"/>
      <c r="AI130" s="71"/>
      <c r="AJ130" s="71"/>
      <c r="AK130" s="72"/>
      <c r="AL130" s="70"/>
      <c r="AM130" s="71"/>
      <c r="AN130" s="71"/>
      <c r="AO130" s="71"/>
      <c r="AP130" s="71"/>
      <c r="AQ130" s="71"/>
      <c r="AR130" s="72"/>
      <c r="AS130" s="67"/>
      <c r="AT130" s="68"/>
      <c r="AU130" s="68"/>
      <c r="AV130" s="68"/>
      <c r="AW130" s="68"/>
      <c r="AX130" s="68"/>
      <c r="AY130" s="69"/>
      <c r="AZ130" s="67"/>
      <c r="BA130" s="68"/>
      <c r="BB130" s="68"/>
      <c r="BC130" s="68"/>
      <c r="BD130" s="68"/>
      <c r="BE130" s="68"/>
      <c r="BF130" s="69"/>
      <c r="BG130" s="70"/>
      <c r="BH130" s="71"/>
      <c r="BI130" s="71"/>
      <c r="BJ130" s="71"/>
      <c r="BK130" s="71"/>
      <c r="BL130" s="71"/>
      <c r="BM130" s="72"/>
      <c r="BN130" s="70"/>
      <c r="BO130" s="71"/>
      <c r="BP130" s="71"/>
      <c r="BQ130" s="71"/>
      <c r="BR130" s="71"/>
      <c r="BS130" s="71"/>
      <c r="BT130" s="72"/>
      <c r="BU130" s="59"/>
      <c r="BV130" s="59"/>
      <c r="BW130" s="59"/>
      <c r="BX130" s="59"/>
      <c r="BY130" s="59"/>
      <c r="BZ130" s="59"/>
      <c r="CA130" s="59"/>
    </row>
    <row r="131" spans="1:79">
      <c r="A131" s="59"/>
      <c r="B131" s="44" t="str">
        <f t="shared" si="3"/>
        <v/>
      </c>
      <c r="C131" s="70"/>
      <c r="D131" s="71"/>
      <c r="E131" s="71"/>
      <c r="F131" s="71"/>
      <c r="G131" s="71"/>
      <c r="H131" s="71"/>
      <c r="I131" s="72"/>
      <c r="J131" s="70"/>
      <c r="K131" s="71"/>
      <c r="L131" s="71"/>
      <c r="M131" s="71"/>
      <c r="N131" s="71"/>
      <c r="O131" s="71"/>
      <c r="P131" s="72"/>
      <c r="Q131" s="67"/>
      <c r="R131" s="68"/>
      <c r="S131" s="68"/>
      <c r="T131" s="68"/>
      <c r="U131" s="68"/>
      <c r="V131" s="68"/>
      <c r="W131" s="69"/>
      <c r="X131" s="67"/>
      <c r="Y131" s="68"/>
      <c r="Z131" s="68"/>
      <c r="AA131" s="68"/>
      <c r="AB131" s="68"/>
      <c r="AC131" s="68"/>
      <c r="AD131" s="69"/>
      <c r="AE131" s="70"/>
      <c r="AF131" s="71"/>
      <c r="AG131" s="71"/>
      <c r="AH131" s="71"/>
      <c r="AI131" s="71"/>
      <c r="AJ131" s="71"/>
      <c r="AK131" s="72"/>
      <c r="AL131" s="70"/>
      <c r="AM131" s="71"/>
      <c r="AN131" s="71"/>
      <c r="AO131" s="71"/>
      <c r="AP131" s="71"/>
      <c r="AQ131" s="71"/>
      <c r="AR131" s="72"/>
      <c r="AS131" s="67"/>
      <c r="AT131" s="68"/>
      <c r="AU131" s="68"/>
      <c r="AV131" s="68"/>
      <c r="AW131" s="68"/>
      <c r="AX131" s="68"/>
      <c r="AY131" s="69"/>
      <c r="AZ131" s="67"/>
      <c r="BA131" s="68"/>
      <c r="BB131" s="68"/>
      <c r="BC131" s="68"/>
      <c r="BD131" s="68"/>
      <c r="BE131" s="68"/>
      <c r="BF131" s="69"/>
      <c r="BG131" s="70"/>
      <c r="BH131" s="71"/>
      <c r="BI131" s="71"/>
      <c r="BJ131" s="71"/>
      <c r="BK131" s="71"/>
      <c r="BL131" s="71"/>
      <c r="BM131" s="72"/>
      <c r="BN131" s="70"/>
      <c r="BO131" s="71"/>
      <c r="BP131" s="71"/>
      <c r="BQ131" s="71"/>
      <c r="BR131" s="71"/>
      <c r="BS131" s="71"/>
      <c r="BT131" s="72"/>
      <c r="BU131" s="59"/>
      <c r="BV131" s="59"/>
      <c r="BW131" s="59"/>
      <c r="BX131" s="59"/>
      <c r="BY131" s="59"/>
      <c r="BZ131" s="59"/>
      <c r="CA131" s="59"/>
    </row>
    <row r="132" spans="1:79">
      <c r="A132" s="59"/>
      <c r="B132" s="44" t="str">
        <f t="shared" si="3"/>
        <v/>
      </c>
      <c r="C132" s="70"/>
      <c r="D132" s="71"/>
      <c r="E132" s="71"/>
      <c r="F132" s="71"/>
      <c r="G132" s="71"/>
      <c r="H132" s="71"/>
      <c r="I132" s="72"/>
      <c r="J132" s="70"/>
      <c r="K132" s="71"/>
      <c r="L132" s="71"/>
      <c r="M132" s="71"/>
      <c r="N132" s="71"/>
      <c r="O132" s="71"/>
      <c r="P132" s="72"/>
      <c r="Q132" s="67"/>
      <c r="R132" s="68"/>
      <c r="S132" s="68"/>
      <c r="T132" s="68"/>
      <c r="U132" s="68"/>
      <c r="V132" s="68"/>
      <c r="W132" s="69"/>
      <c r="X132" s="67"/>
      <c r="Y132" s="68"/>
      <c r="Z132" s="68"/>
      <c r="AA132" s="68"/>
      <c r="AB132" s="68"/>
      <c r="AC132" s="68"/>
      <c r="AD132" s="69"/>
      <c r="AE132" s="70"/>
      <c r="AF132" s="71"/>
      <c r="AG132" s="71"/>
      <c r="AH132" s="71"/>
      <c r="AI132" s="71"/>
      <c r="AJ132" s="71"/>
      <c r="AK132" s="72"/>
      <c r="AL132" s="70"/>
      <c r="AM132" s="71"/>
      <c r="AN132" s="71"/>
      <c r="AO132" s="71"/>
      <c r="AP132" s="71"/>
      <c r="AQ132" s="71"/>
      <c r="AR132" s="72"/>
      <c r="AS132" s="67"/>
      <c r="AT132" s="68"/>
      <c r="AU132" s="68"/>
      <c r="AV132" s="68"/>
      <c r="AW132" s="68"/>
      <c r="AX132" s="68"/>
      <c r="AY132" s="69"/>
      <c r="AZ132" s="67"/>
      <c r="BA132" s="68"/>
      <c r="BB132" s="68"/>
      <c r="BC132" s="68"/>
      <c r="BD132" s="68"/>
      <c r="BE132" s="68"/>
      <c r="BF132" s="69"/>
      <c r="BG132" s="70"/>
      <c r="BH132" s="71"/>
      <c r="BI132" s="71"/>
      <c r="BJ132" s="71"/>
      <c r="BK132" s="71"/>
      <c r="BL132" s="71"/>
      <c r="BM132" s="72"/>
      <c r="BN132" s="70"/>
      <c r="BO132" s="71"/>
      <c r="BP132" s="71"/>
      <c r="BQ132" s="71"/>
      <c r="BR132" s="71"/>
      <c r="BS132" s="71"/>
      <c r="BT132" s="72"/>
      <c r="BU132" s="59"/>
      <c r="BV132" s="59"/>
      <c r="BW132" s="59"/>
      <c r="BX132" s="59"/>
      <c r="BY132" s="59"/>
      <c r="BZ132" s="59"/>
      <c r="CA132" s="59"/>
    </row>
    <row r="133" spans="1:79">
      <c r="A133" s="59"/>
      <c r="B133" s="44" t="str">
        <f t="shared" si="3"/>
        <v/>
      </c>
      <c r="C133" s="70"/>
      <c r="D133" s="71"/>
      <c r="E133" s="71"/>
      <c r="F133" s="71"/>
      <c r="G133" s="71"/>
      <c r="H133" s="71"/>
      <c r="I133" s="72"/>
      <c r="J133" s="70"/>
      <c r="K133" s="71"/>
      <c r="L133" s="71"/>
      <c r="M133" s="71"/>
      <c r="N133" s="71"/>
      <c r="O133" s="71"/>
      <c r="P133" s="72"/>
      <c r="Q133" s="67"/>
      <c r="R133" s="68"/>
      <c r="S133" s="68"/>
      <c r="T133" s="68"/>
      <c r="U133" s="68"/>
      <c r="V133" s="68"/>
      <c r="W133" s="69"/>
      <c r="X133" s="67"/>
      <c r="Y133" s="68"/>
      <c r="Z133" s="68"/>
      <c r="AA133" s="68"/>
      <c r="AB133" s="68"/>
      <c r="AC133" s="68"/>
      <c r="AD133" s="69"/>
      <c r="AE133" s="70"/>
      <c r="AF133" s="71"/>
      <c r="AG133" s="71"/>
      <c r="AH133" s="71"/>
      <c r="AI133" s="71"/>
      <c r="AJ133" s="71"/>
      <c r="AK133" s="72"/>
      <c r="AL133" s="70"/>
      <c r="AM133" s="71"/>
      <c r="AN133" s="71"/>
      <c r="AO133" s="71"/>
      <c r="AP133" s="71"/>
      <c r="AQ133" s="71"/>
      <c r="AR133" s="72"/>
      <c r="AS133" s="67"/>
      <c r="AT133" s="68"/>
      <c r="AU133" s="68"/>
      <c r="AV133" s="68"/>
      <c r="AW133" s="68"/>
      <c r="AX133" s="68"/>
      <c r="AY133" s="69"/>
      <c r="AZ133" s="67"/>
      <c r="BA133" s="68"/>
      <c r="BB133" s="68"/>
      <c r="BC133" s="68"/>
      <c r="BD133" s="68"/>
      <c r="BE133" s="68"/>
      <c r="BF133" s="69"/>
      <c r="BG133" s="70"/>
      <c r="BH133" s="71"/>
      <c r="BI133" s="71"/>
      <c r="BJ133" s="71"/>
      <c r="BK133" s="71"/>
      <c r="BL133" s="71"/>
      <c r="BM133" s="72"/>
      <c r="BN133" s="70"/>
      <c r="BO133" s="71"/>
      <c r="BP133" s="71"/>
      <c r="BQ133" s="71"/>
      <c r="BR133" s="71"/>
      <c r="BS133" s="71"/>
      <c r="BT133" s="72"/>
      <c r="BU133" s="59"/>
      <c r="BV133" s="59"/>
      <c r="BW133" s="59"/>
      <c r="BX133" s="59"/>
      <c r="BY133" s="59"/>
      <c r="BZ133" s="59"/>
      <c r="CA133" s="59"/>
    </row>
    <row r="134" spans="1:79">
      <c r="A134" s="59"/>
      <c r="B134" s="44" t="str">
        <f t="shared" si="3"/>
        <v/>
      </c>
      <c r="C134" s="70"/>
      <c r="D134" s="71"/>
      <c r="E134" s="71"/>
      <c r="F134" s="71"/>
      <c r="G134" s="71"/>
      <c r="H134" s="71"/>
      <c r="I134" s="72"/>
      <c r="J134" s="70"/>
      <c r="K134" s="71"/>
      <c r="L134" s="71"/>
      <c r="M134" s="71"/>
      <c r="N134" s="71"/>
      <c r="O134" s="71"/>
      <c r="P134" s="72"/>
      <c r="Q134" s="67"/>
      <c r="R134" s="68"/>
      <c r="S134" s="68"/>
      <c r="T134" s="68"/>
      <c r="U134" s="68"/>
      <c r="V134" s="68"/>
      <c r="W134" s="69"/>
      <c r="X134" s="67"/>
      <c r="Y134" s="68"/>
      <c r="Z134" s="68"/>
      <c r="AA134" s="68"/>
      <c r="AB134" s="68"/>
      <c r="AC134" s="68"/>
      <c r="AD134" s="69"/>
      <c r="AE134" s="70"/>
      <c r="AF134" s="71"/>
      <c r="AG134" s="71"/>
      <c r="AH134" s="71"/>
      <c r="AI134" s="71"/>
      <c r="AJ134" s="71"/>
      <c r="AK134" s="72"/>
      <c r="AL134" s="70"/>
      <c r="AM134" s="71"/>
      <c r="AN134" s="71"/>
      <c r="AO134" s="71"/>
      <c r="AP134" s="71"/>
      <c r="AQ134" s="71"/>
      <c r="AR134" s="72"/>
      <c r="AS134" s="67"/>
      <c r="AT134" s="68"/>
      <c r="AU134" s="68"/>
      <c r="AV134" s="68"/>
      <c r="AW134" s="68"/>
      <c r="AX134" s="68"/>
      <c r="AY134" s="69"/>
      <c r="AZ134" s="67"/>
      <c r="BA134" s="68"/>
      <c r="BB134" s="68"/>
      <c r="BC134" s="68"/>
      <c r="BD134" s="68"/>
      <c r="BE134" s="68"/>
      <c r="BF134" s="69"/>
      <c r="BG134" s="70"/>
      <c r="BH134" s="71"/>
      <c r="BI134" s="71"/>
      <c r="BJ134" s="71"/>
      <c r="BK134" s="71"/>
      <c r="BL134" s="71"/>
      <c r="BM134" s="72"/>
      <c r="BN134" s="70"/>
      <c r="BO134" s="71"/>
      <c r="BP134" s="71"/>
      <c r="BQ134" s="71"/>
      <c r="BR134" s="71"/>
      <c r="BS134" s="71"/>
      <c r="BT134" s="72"/>
      <c r="BU134" s="59"/>
      <c r="BV134" s="59"/>
      <c r="BW134" s="59"/>
      <c r="BX134" s="59"/>
      <c r="BY134" s="59"/>
      <c r="BZ134" s="59"/>
      <c r="CA134" s="59"/>
    </row>
    <row r="135" spans="1:79">
      <c r="A135" s="59"/>
      <c r="B135" s="44" t="str">
        <f t="shared" si="3"/>
        <v/>
      </c>
      <c r="C135" s="70"/>
      <c r="D135" s="71"/>
      <c r="E135" s="71"/>
      <c r="F135" s="71"/>
      <c r="G135" s="71"/>
      <c r="H135" s="71"/>
      <c r="I135" s="72"/>
      <c r="J135" s="70"/>
      <c r="K135" s="71"/>
      <c r="L135" s="71"/>
      <c r="M135" s="71"/>
      <c r="N135" s="71"/>
      <c r="O135" s="71"/>
      <c r="P135" s="72"/>
      <c r="Q135" s="67"/>
      <c r="R135" s="68"/>
      <c r="S135" s="68"/>
      <c r="T135" s="68"/>
      <c r="U135" s="68"/>
      <c r="V135" s="68"/>
      <c r="W135" s="69"/>
      <c r="X135" s="67"/>
      <c r="Y135" s="68"/>
      <c r="Z135" s="68"/>
      <c r="AA135" s="68"/>
      <c r="AB135" s="68"/>
      <c r="AC135" s="68"/>
      <c r="AD135" s="69"/>
      <c r="AE135" s="70"/>
      <c r="AF135" s="71"/>
      <c r="AG135" s="71"/>
      <c r="AH135" s="71"/>
      <c r="AI135" s="71"/>
      <c r="AJ135" s="71"/>
      <c r="AK135" s="72"/>
      <c r="AL135" s="70"/>
      <c r="AM135" s="71"/>
      <c r="AN135" s="71"/>
      <c r="AO135" s="71"/>
      <c r="AP135" s="71"/>
      <c r="AQ135" s="71"/>
      <c r="AR135" s="72"/>
      <c r="AS135" s="67"/>
      <c r="AT135" s="68"/>
      <c r="AU135" s="68"/>
      <c r="AV135" s="68"/>
      <c r="AW135" s="68"/>
      <c r="AX135" s="68"/>
      <c r="AY135" s="69"/>
      <c r="AZ135" s="67"/>
      <c r="BA135" s="68"/>
      <c r="BB135" s="68"/>
      <c r="BC135" s="68"/>
      <c r="BD135" s="68"/>
      <c r="BE135" s="68"/>
      <c r="BF135" s="69"/>
      <c r="BG135" s="70"/>
      <c r="BH135" s="71"/>
      <c r="BI135" s="71"/>
      <c r="BJ135" s="71"/>
      <c r="BK135" s="71"/>
      <c r="BL135" s="71"/>
      <c r="BM135" s="72"/>
      <c r="BN135" s="70"/>
      <c r="BO135" s="71"/>
      <c r="BP135" s="71"/>
      <c r="BQ135" s="71"/>
      <c r="BR135" s="71"/>
      <c r="BS135" s="71"/>
      <c r="BT135" s="72"/>
      <c r="BU135" s="59"/>
      <c r="BV135" s="59"/>
      <c r="BW135" s="59"/>
      <c r="BX135" s="59"/>
      <c r="BY135" s="59"/>
      <c r="BZ135" s="59"/>
      <c r="CA135" s="59"/>
    </row>
    <row r="136" spans="1:79">
      <c r="A136" s="59"/>
      <c r="B136" s="44" t="str">
        <f t="shared" si="3"/>
        <v/>
      </c>
      <c r="C136" s="70"/>
      <c r="D136" s="71"/>
      <c r="E136" s="71"/>
      <c r="F136" s="71"/>
      <c r="G136" s="71"/>
      <c r="H136" s="71"/>
      <c r="I136" s="72"/>
      <c r="J136" s="70"/>
      <c r="K136" s="71"/>
      <c r="L136" s="71"/>
      <c r="M136" s="71"/>
      <c r="N136" s="71"/>
      <c r="O136" s="71"/>
      <c r="P136" s="72"/>
      <c r="Q136" s="67"/>
      <c r="R136" s="68"/>
      <c r="S136" s="68"/>
      <c r="T136" s="68"/>
      <c r="U136" s="68"/>
      <c r="V136" s="68"/>
      <c r="W136" s="69"/>
      <c r="X136" s="67"/>
      <c r="Y136" s="68"/>
      <c r="Z136" s="68"/>
      <c r="AA136" s="68"/>
      <c r="AB136" s="68"/>
      <c r="AC136" s="68"/>
      <c r="AD136" s="69"/>
      <c r="AE136" s="70"/>
      <c r="AF136" s="71"/>
      <c r="AG136" s="71"/>
      <c r="AH136" s="71"/>
      <c r="AI136" s="71"/>
      <c r="AJ136" s="71"/>
      <c r="AK136" s="72"/>
      <c r="AL136" s="70"/>
      <c r="AM136" s="71"/>
      <c r="AN136" s="71"/>
      <c r="AO136" s="71"/>
      <c r="AP136" s="71"/>
      <c r="AQ136" s="71"/>
      <c r="AR136" s="72"/>
      <c r="AS136" s="67"/>
      <c r="AT136" s="68"/>
      <c r="AU136" s="68"/>
      <c r="AV136" s="68"/>
      <c r="AW136" s="68"/>
      <c r="AX136" s="68"/>
      <c r="AY136" s="69"/>
      <c r="AZ136" s="67"/>
      <c r="BA136" s="68"/>
      <c r="BB136" s="68"/>
      <c r="BC136" s="68"/>
      <c r="BD136" s="68"/>
      <c r="BE136" s="68"/>
      <c r="BF136" s="69"/>
      <c r="BG136" s="70"/>
      <c r="BH136" s="71"/>
      <c r="BI136" s="71"/>
      <c r="BJ136" s="71"/>
      <c r="BK136" s="71"/>
      <c r="BL136" s="71"/>
      <c r="BM136" s="72"/>
      <c r="BN136" s="70"/>
      <c r="BO136" s="71"/>
      <c r="BP136" s="71"/>
      <c r="BQ136" s="71"/>
      <c r="BR136" s="71"/>
      <c r="BS136" s="71"/>
      <c r="BT136" s="72"/>
      <c r="BU136" s="59"/>
      <c r="BV136" s="59"/>
      <c r="BW136" s="59"/>
      <c r="BX136" s="59"/>
      <c r="BY136" s="59"/>
      <c r="BZ136" s="59"/>
      <c r="CA136" s="59"/>
    </row>
    <row r="137" spans="1:79">
      <c r="A137" s="59"/>
      <c r="B137" s="44" t="str">
        <f t="shared" si="3"/>
        <v/>
      </c>
      <c r="C137" s="70"/>
      <c r="D137" s="71"/>
      <c r="E137" s="71"/>
      <c r="F137" s="71"/>
      <c r="G137" s="71"/>
      <c r="H137" s="71"/>
      <c r="I137" s="72"/>
      <c r="J137" s="70"/>
      <c r="K137" s="71"/>
      <c r="L137" s="71"/>
      <c r="M137" s="71"/>
      <c r="N137" s="71"/>
      <c r="O137" s="71"/>
      <c r="P137" s="72"/>
      <c r="Q137" s="67"/>
      <c r="R137" s="68"/>
      <c r="S137" s="68"/>
      <c r="T137" s="68"/>
      <c r="U137" s="68"/>
      <c r="V137" s="68"/>
      <c r="W137" s="69"/>
      <c r="X137" s="67"/>
      <c r="Y137" s="68"/>
      <c r="Z137" s="68"/>
      <c r="AA137" s="68"/>
      <c r="AB137" s="68"/>
      <c r="AC137" s="68"/>
      <c r="AD137" s="69"/>
      <c r="AE137" s="70"/>
      <c r="AF137" s="71"/>
      <c r="AG137" s="71"/>
      <c r="AH137" s="71"/>
      <c r="AI137" s="71"/>
      <c r="AJ137" s="71"/>
      <c r="AK137" s="72"/>
      <c r="AL137" s="70"/>
      <c r="AM137" s="71"/>
      <c r="AN137" s="71"/>
      <c r="AO137" s="71"/>
      <c r="AP137" s="71"/>
      <c r="AQ137" s="71"/>
      <c r="AR137" s="72"/>
      <c r="AS137" s="67"/>
      <c r="AT137" s="68"/>
      <c r="AU137" s="68"/>
      <c r="AV137" s="68"/>
      <c r="AW137" s="68"/>
      <c r="AX137" s="68"/>
      <c r="AY137" s="69"/>
      <c r="AZ137" s="67"/>
      <c r="BA137" s="68"/>
      <c r="BB137" s="68"/>
      <c r="BC137" s="68"/>
      <c r="BD137" s="68"/>
      <c r="BE137" s="68"/>
      <c r="BF137" s="69"/>
      <c r="BG137" s="70"/>
      <c r="BH137" s="71"/>
      <c r="BI137" s="71"/>
      <c r="BJ137" s="71"/>
      <c r="BK137" s="71"/>
      <c r="BL137" s="71"/>
      <c r="BM137" s="72"/>
      <c r="BN137" s="70"/>
      <c r="BO137" s="71"/>
      <c r="BP137" s="71"/>
      <c r="BQ137" s="71"/>
      <c r="BR137" s="71"/>
      <c r="BS137" s="71"/>
      <c r="BT137" s="72"/>
      <c r="BU137" s="59"/>
      <c r="BV137" s="59"/>
      <c r="BW137" s="59"/>
      <c r="BX137" s="59"/>
      <c r="BY137" s="59"/>
      <c r="BZ137" s="59"/>
      <c r="CA137" s="59"/>
    </row>
    <row r="138" spans="1:79">
      <c r="A138" s="59"/>
      <c r="B138" s="44" t="str">
        <f t="shared" si="3"/>
        <v/>
      </c>
      <c r="C138" s="70"/>
      <c r="D138" s="71"/>
      <c r="E138" s="71"/>
      <c r="F138" s="71"/>
      <c r="G138" s="71"/>
      <c r="H138" s="71"/>
      <c r="I138" s="72"/>
      <c r="J138" s="70"/>
      <c r="K138" s="71"/>
      <c r="L138" s="71"/>
      <c r="M138" s="71"/>
      <c r="N138" s="71"/>
      <c r="O138" s="71"/>
      <c r="P138" s="72"/>
      <c r="Q138" s="67"/>
      <c r="R138" s="68"/>
      <c r="S138" s="68"/>
      <c r="T138" s="68"/>
      <c r="U138" s="68"/>
      <c r="V138" s="68"/>
      <c r="W138" s="69"/>
      <c r="X138" s="67"/>
      <c r="Y138" s="68"/>
      <c r="Z138" s="68"/>
      <c r="AA138" s="68"/>
      <c r="AB138" s="68"/>
      <c r="AC138" s="68"/>
      <c r="AD138" s="69"/>
      <c r="AE138" s="70"/>
      <c r="AF138" s="71"/>
      <c r="AG138" s="71"/>
      <c r="AH138" s="71"/>
      <c r="AI138" s="71"/>
      <c r="AJ138" s="71"/>
      <c r="AK138" s="72"/>
      <c r="AL138" s="70"/>
      <c r="AM138" s="71"/>
      <c r="AN138" s="71"/>
      <c r="AO138" s="71"/>
      <c r="AP138" s="71"/>
      <c r="AQ138" s="71"/>
      <c r="AR138" s="72"/>
      <c r="AS138" s="67"/>
      <c r="AT138" s="68"/>
      <c r="AU138" s="68"/>
      <c r="AV138" s="68"/>
      <c r="AW138" s="68"/>
      <c r="AX138" s="68"/>
      <c r="AY138" s="69"/>
      <c r="AZ138" s="67"/>
      <c r="BA138" s="68"/>
      <c r="BB138" s="68"/>
      <c r="BC138" s="68"/>
      <c r="BD138" s="68"/>
      <c r="BE138" s="68"/>
      <c r="BF138" s="69"/>
      <c r="BG138" s="70"/>
      <c r="BH138" s="71"/>
      <c r="BI138" s="71"/>
      <c r="BJ138" s="71"/>
      <c r="BK138" s="71"/>
      <c r="BL138" s="71"/>
      <c r="BM138" s="72"/>
      <c r="BN138" s="70"/>
      <c r="BO138" s="71"/>
      <c r="BP138" s="71"/>
      <c r="BQ138" s="71"/>
      <c r="BR138" s="71"/>
      <c r="BS138" s="71"/>
      <c r="BT138" s="72"/>
      <c r="BU138" s="59"/>
      <c r="BV138" s="59"/>
      <c r="BW138" s="59"/>
      <c r="BX138" s="59"/>
      <c r="BY138" s="59"/>
      <c r="BZ138" s="59"/>
      <c r="CA138" s="59"/>
    </row>
    <row r="139" spans="1:79">
      <c r="A139" s="59"/>
      <c r="B139" s="44" t="str">
        <f t="shared" ref="B139:B170" si="4">IF(Start_year+ROW(B139)-ROW($B$11)&gt;End_year,"",Start_year+ROW(B139)-ROW($B$11))</f>
        <v/>
      </c>
      <c r="C139" s="70"/>
      <c r="D139" s="71"/>
      <c r="E139" s="71"/>
      <c r="F139" s="71"/>
      <c r="G139" s="71"/>
      <c r="H139" s="71"/>
      <c r="I139" s="72"/>
      <c r="J139" s="70"/>
      <c r="K139" s="71"/>
      <c r="L139" s="71"/>
      <c r="M139" s="71"/>
      <c r="N139" s="71"/>
      <c r="O139" s="71"/>
      <c r="P139" s="72"/>
      <c r="Q139" s="67"/>
      <c r="R139" s="68"/>
      <c r="S139" s="68"/>
      <c r="T139" s="68"/>
      <c r="U139" s="68"/>
      <c r="V139" s="68"/>
      <c r="W139" s="69"/>
      <c r="X139" s="67"/>
      <c r="Y139" s="68"/>
      <c r="Z139" s="68"/>
      <c r="AA139" s="68"/>
      <c r="AB139" s="68"/>
      <c r="AC139" s="68"/>
      <c r="AD139" s="69"/>
      <c r="AE139" s="70"/>
      <c r="AF139" s="71"/>
      <c r="AG139" s="71"/>
      <c r="AH139" s="71"/>
      <c r="AI139" s="71"/>
      <c r="AJ139" s="71"/>
      <c r="AK139" s="72"/>
      <c r="AL139" s="70"/>
      <c r="AM139" s="71"/>
      <c r="AN139" s="71"/>
      <c r="AO139" s="71"/>
      <c r="AP139" s="71"/>
      <c r="AQ139" s="71"/>
      <c r="AR139" s="72"/>
      <c r="AS139" s="67"/>
      <c r="AT139" s="68"/>
      <c r="AU139" s="68"/>
      <c r="AV139" s="68"/>
      <c r="AW139" s="68"/>
      <c r="AX139" s="68"/>
      <c r="AY139" s="69"/>
      <c r="AZ139" s="67"/>
      <c r="BA139" s="68"/>
      <c r="BB139" s="68"/>
      <c r="BC139" s="68"/>
      <c r="BD139" s="68"/>
      <c r="BE139" s="68"/>
      <c r="BF139" s="69"/>
      <c r="BG139" s="70"/>
      <c r="BH139" s="71"/>
      <c r="BI139" s="71"/>
      <c r="BJ139" s="71"/>
      <c r="BK139" s="71"/>
      <c r="BL139" s="71"/>
      <c r="BM139" s="72"/>
      <c r="BN139" s="70"/>
      <c r="BO139" s="71"/>
      <c r="BP139" s="71"/>
      <c r="BQ139" s="71"/>
      <c r="BR139" s="71"/>
      <c r="BS139" s="71"/>
      <c r="BT139" s="72"/>
      <c r="BU139" s="59"/>
      <c r="BV139" s="59"/>
      <c r="BW139" s="59"/>
      <c r="BX139" s="59"/>
      <c r="BY139" s="59"/>
      <c r="BZ139" s="59"/>
      <c r="CA139" s="59"/>
    </row>
    <row r="140" spans="1:79">
      <c r="A140" s="59"/>
      <c r="B140" s="44" t="str">
        <f t="shared" si="4"/>
        <v/>
      </c>
      <c r="C140" s="70"/>
      <c r="D140" s="71"/>
      <c r="E140" s="71"/>
      <c r="F140" s="71"/>
      <c r="G140" s="71"/>
      <c r="H140" s="71"/>
      <c r="I140" s="72"/>
      <c r="J140" s="70"/>
      <c r="K140" s="71"/>
      <c r="L140" s="71"/>
      <c r="M140" s="71"/>
      <c r="N140" s="71"/>
      <c r="O140" s="71"/>
      <c r="P140" s="72"/>
      <c r="Q140" s="67"/>
      <c r="R140" s="68"/>
      <c r="S140" s="68"/>
      <c r="T140" s="68"/>
      <c r="U140" s="68"/>
      <c r="V140" s="68"/>
      <c r="W140" s="69"/>
      <c r="X140" s="67"/>
      <c r="Y140" s="68"/>
      <c r="Z140" s="68"/>
      <c r="AA140" s="68"/>
      <c r="AB140" s="68"/>
      <c r="AC140" s="68"/>
      <c r="AD140" s="69"/>
      <c r="AE140" s="70"/>
      <c r="AF140" s="71"/>
      <c r="AG140" s="71"/>
      <c r="AH140" s="71"/>
      <c r="AI140" s="71"/>
      <c r="AJ140" s="71"/>
      <c r="AK140" s="72"/>
      <c r="AL140" s="70"/>
      <c r="AM140" s="71"/>
      <c r="AN140" s="71"/>
      <c r="AO140" s="71"/>
      <c r="AP140" s="71"/>
      <c r="AQ140" s="71"/>
      <c r="AR140" s="72"/>
      <c r="AS140" s="67"/>
      <c r="AT140" s="68"/>
      <c r="AU140" s="68"/>
      <c r="AV140" s="68"/>
      <c r="AW140" s="68"/>
      <c r="AX140" s="68"/>
      <c r="AY140" s="69"/>
      <c r="AZ140" s="67"/>
      <c r="BA140" s="68"/>
      <c r="BB140" s="68"/>
      <c r="BC140" s="68"/>
      <c r="BD140" s="68"/>
      <c r="BE140" s="68"/>
      <c r="BF140" s="69"/>
      <c r="BG140" s="70"/>
      <c r="BH140" s="71"/>
      <c r="BI140" s="71"/>
      <c r="BJ140" s="71"/>
      <c r="BK140" s="71"/>
      <c r="BL140" s="71"/>
      <c r="BM140" s="72"/>
      <c r="BN140" s="70"/>
      <c r="BO140" s="71"/>
      <c r="BP140" s="71"/>
      <c r="BQ140" s="71"/>
      <c r="BR140" s="71"/>
      <c r="BS140" s="71"/>
      <c r="BT140" s="72"/>
      <c r="BU140" s="59"/>
      <c r="BV140" s="59"/>
      <c r="BW140" s="59"/>
      <c r="BX140" s="59"/>
      <c r="BY140" s="59"/>
      <c r="BZ140" s="59"/>
      <c r="CA140" s="59"/>
    </row>
    <row r="141" spans="1:79">
      <c r="A141" s="59"/>
      <c r="B141" s="44" t="str">
        <f t="shared" si="4"/>
        <v/>
      </c>
      <c r="C141" s="70"/>
      <c r="D141" s="71"/>
      <c r="E141" s="71"/>
      <c r="F141" s="71"/>
      <c r="G141" s="71"/>
      <c r="H141" s="71"/>
      <c r="I141" s="72"/>
      <c r="J141" s="70"/>
      <c r="K141" s="71"/>
      <c r="L141" s="71"/>
      <c r="M141" s="71"/>
      <c r="N141" s="71"/>
      <c r="O141" s="71"/>
      <c r="P141" s="72"/>
      <c r="Q141" s="67"/>
      <c r="R141" s="68"/>
      <c r="S141" s="68"/>
      <c r="T141" s="68"/>
      <c r="U141" s="68"/>
      <c r="V141" s="68"/>
      <c r="W141" s="69"/>
      <c r="X141" s="67"/>
      <c r="Y141" s="68"/>
      <c r="Z141" s="68"/>
      <c r="AA141" s="68"/>
      <c r="AB141" s="68"/>
      <c r="AC141" s="68"/>
      <c r="AD141" s="69"/>
      <c r="AE141" s="70"/>
      <c r="AF141" s="71"/>
      <c r="AG141" s="71"/>
      <c r="AH141" s="71"/>
      <c r="AI141" s="71"/>
      <c r="AJ141" s="71"/>
      <c r="AK141" s="72"/>
      <c r="AL141" s="70"/>
      <c r="AM141" s="71"/>
      <c r="AN141" s="71"/>
      <c r="AO141" s="71"/>
      <c r="AP141" s="71"/>
      <c r="AQ141" s="71"/>
      <c r="AR141" s="72"/>
      <c r="AS141" s="67"/>
      <c r="AT141" s="68"/>
      <c r="AU141" s="68"/>
      <c r="AV141" s="68"/>
      <c r="AW141" s="68"/>
      <c r="AX141" s="68"/>
      <c r="AY141" s="69"/>
      <c r="AZ141" s="67"/>
      <c r="BA141" s="68"/>
      <c r="BB141" s="68"/>
      <c r="BC141" s="68"/>
      <c r="BD141" s="68"/>
      <c r="BE141" s="68"/>
      <c r="BF141" s="69"/>
      <c r="BG141" s="70"/>
      <c r="BH141" s="71"/>
      <c r="BI141" s="71"/>
      <c r="BJ141" s="71"/>
      <c r="BK141" s="71"/>
      <c r="BL141" s="71"/>
      <c r="BM141" s="72"/>
      <c r="BN141" s="70"/>
      <c r="BO141" s="71"/>
      <c r="BP141" s="71"/>
      <c r="BQ141" s="71"/>
      <c r="BR141" s="71"/>
      <c r="BS141" s="71"/>
      <c r="BT141" s="72"/>
      <c r="BU141" s="59"/>
      <c r="BV141" s="59"/>
      <c r="BW141" s="59"/>
      <c r="BX141" s="59"/>
      <c r="BY141" s="59"/>
      <c r="BZ141" s="59"/>
      <c r="CA141" s="59"/>
    </row>
    <row r="142" spans="1:79">
      <c r="A142" s="59"/>
      <c r="B142" s="44" t="str">
        <f t="shared" si="4"/>
        <v/>
      </c>
      <c r="C142" s="70"/>
      <c r="D142" s="71"/>
      <c r="E142" s="71"/>
      <c r="F142" s="71"/>
      <c r="G142" s="71"/>
      <c r="H142" s="71"/>
      <c r="I142" s="72"/>
      <c r="J142" s="70"/>
      <c r="K142" s="71"/>
      <c r="L142" s="71"/>
      <c r="M142" s="71"/>
      <c r="N142" s="71"/>
      <c r="O142" s="71"/>
      <c r="P142" s="72"/>
      <c r="Q142" s="67"/>
      <c r="R142" s="68"/>
      <c r="S142" s="68"/>
      <c r="T142" s="68"/>
      <c r="U142" s="68"/>
      <c r="V142" s="68"/>
      <c r="W142" s="69"/>
      <c r="X142" s="67"/>
      <c r="Y142" s="68"/>
      <c r="Z142" s="68"/>
      <c r="AA142" s="68"/>
      <c r="AB142" s="68"/>
      <c r="AC142" s="68"/>
      <c r="AD142" s="69"/>
      <c r="AE142" s="70"/>
      <c r="AF142" s="71"/>
      <c r="AG142" s="71"/>
      <c r="AH142" s="71"/>
      <c r="AI142" s="71"/>
      <c r="AJ142" s="71"/>
      <c r="AK142" s="72"/>
      <c r="AL142" s="70"/>
      <c r="AM142" s="71"/>
      <c r="AN142" s="71"/>
      <c r="AO142" s="71"/>
      <c r="AP142" s="71"/>
      <c r="AQ142" s="71"/>
      <c r="AR142" s="72"/>
      <c r="AS142" s="67"/>
      <c r="AT142" s="68"/>
      <c r="AU142" s="68"/>
      <c r="AV142" s="68"/>
      <c r="AW142" s="68"/>
      <c r="AX142" s="68"/>
      <c r="AY142" s="69"/>
      <c r="AZ142" s="67"/>
      <c r="BA142" s="68"/>
      <c r="BB142" s="68"/>
      <c r="BC142" s="68"/>
      <c r="BD142" s="68"/>
      <c r="BE142" s="68"/>
      <c r="BF142" s="69"/>
      <c r="BG142" s="70"/>
      <c r="BH142" s="71"/>
      <c r="BI142" s="71"/>
      <c r="BJ142" s="71"/>
      <c r="BK142" s="71"/>
      <c r="BL142" s="71"/>
      <c r="BM142" s="72"/>
      <c r="BN142" s="70"/>
      <c r="BO142" s="71"/>
      <c r="BP142" s="71"/>
      <c r="BQ142" s="71"/>
      <c r="BR142" s="71"/>
      <c r="BS142" s="71"/>
      <c r="BT142" s="72"/>
      <c r="BU142" s="59"/>
      <c r="BV142" s="59"/>
      <c r="BW142" s="59"/>
      <c r="BX142" s="59"/>
      <c r="BY142" s="59"/>
      <c r="BZ142" s="59"/>
      <c r="CA142" s="59"/>
    </row>
    <row r="143" spans="1:79">
      <c r="A143" s="59"/>
      <c r="B143" s="44" t="str">
        <f t="shared" si="4"/>
        <v/>
      </c>
      <c r="C143" s="70"/>
      <c r="D143" s="71"/>
      <c r="E143" s="71"/>
      <c r="F143" s="71"/>
      <c r="G143" s="71"/>
      <c r="H143" s="71"/>
      <c r="I143" s="72"/>
      <c r="J143" s="70"/>
      <c r="K143" s="71"/>
      <c r="L143" s="71"/>
      <c r="M143" s="71"/>
      <c r="N143" s="71"/>
      <c r="O143" s="71"/>
      <c r="P143" s="72"/>
      <c r="Q143" s="67"/>
      <c r="R143" s="68"/>
      <c r="S143" s="68"/>
      <c r="T143" s="68"/>
      <c r="U143" s="68"/>
      <c r="V143" s="68"/>
      <c r="W143" s="69"/>
      <c r="X143" s="67"/>
      <c r="Y143" s="68"/>
      <c r="Z143" s="68"/>
      <c r="AA143" s="68"/>
      <c r="AB143" s="68"/>
      <c r="AC143" s="68"/>
      <c r="AD143" s="69"/>
      <c r="AE143" s="70"/>
      <c r="AF143" s="71"/>
      <c r="AG143" s="71"/>
      <c r="AH143" s="71"/>
      <c r="AI143" s="71"/>
      <c r="AJ143" s="71"/>
      <c r="AK143" s="72"/>
      <c r="AL143" s="70"/>
      <c r="AM143" s="71"/>
      <c r="AN143" s="71"/>
      <c r="AO143" s="71"/>
      <c r="AP143" s="71"/>
      <c r="AQ143" s="71"/>
      <c r="AR143" s="72"/>
      <c r="AS143" s="67"/>
      <c r="AT143" s="68"/>
      <c r="AU143" s="68"/>
      <c r="AV143" s="68"/>
      <c r="AW143" s="68"/>
      <c r="AX143" s="68"/>
      <c r="AY143" s="69"/>
      <c r="AZ143" s="67"/>
      <c r="BA143" s="68"/>
      <c r="BB143" s="68"/>
      <c r="BC143" s="68"/>
      <c r="BD143" s="68"/>
      <c r="BE143" s="68"/>
      <c r="BF143" s="69"/>
      <c r="BG143" s="70"/>
      <c r="BH143" s="71"/>
      <c r="BI143" s="71"/>
      <c r="BJ143" s="71"/>
      <c r="BK143" s="71"/>
      <c r="BL143" s="71"/>
      <c r="BM143" s="72"/>
      <c r="BN143" s="70"/>
      <c r="BO143" s="71"/>
      <c r="BP143" s="71"/>
      <c r="BQ143" s="71"/>
      <c r="BR143" s="71"/>
      <c r="BS143" s="71"/>
      <c r="BT143" s="72"/>
      <c r="BU143" s="59"/>
      <c r="BV143" s="59"/>
      <c r="BW143" s="59"/>
      <c r="BX143" s="59"/>
      <c r="BY143" s="59"/>
      <c r="BZ143" s="59"/>
      <c r="CA143" s="59"/>
    </row>
    <row r="144" spans="1:79">
      <c r="A144" s="59"/>
      <c r="B144" s="44" t="str">
        <f t="shared" si="4"/>
        <v/>
      </c>
      <c r="C144" s="70"/>
      <c r="D144" s="71"/>
      <c r="E144" s="71"/>
      <c r="F144" s="71"/>
      <c r="G144" s="71"/>
      <c r="H144" s="71"/>
      <c r="I144" s="72"/>
      <c r="J144" s="70"/>
      <c r="K144" s="71"/>
      <c r="L144" s="71"/>
      <c r="M144" s="71"/>
      <c r="N144" s="71"/>
      <c r="O144" s="71"/>
      <c r="P144" s="72"/>
      <c r="Q144" s="67"/>
      <c r="R144" s="68"/>
      <c r="S144" s="68"/>
      <c r="T144" s="68"/>
      <c r="U144" s="68"/>
      <c r="V144" s="68"/>
      <c r="W144" s="69"/>
      <c r="X144" s="67"/>
      <c r="Y144" s="68"/>
      <c r="Z144" s="68"/>
      <c r="AA144" s="68"/>
      <c r="AB144" s="68"/>
      <c r="AC144" s="68"/>
      <c r="AD144" s="69"/>
      <c r="AE144" s="70"/>
      <c r="AF144" s="71"/>
      <c r="AG144" s="71"/>
      <c r="AH144" s="71"/>
      <c r="AI144" s="71"/>
      <c r="AJ144" s="71"/>
      <c r="AK144" s="72"/>
      <c r="AL144" s="70"/>
      <c r="AM144" s="71"/>
      <c r="AN144" s="71"/>
      <c r="AO144" s="71"/>
      <c r="AP144" s="71"/>
      <c r="AQ144" s="71"/>
      <c r="AR144" s="72"/>
      <c r="AS144" s="67"/>
      <c r="AT144" s="68"/>
      <c r="AU144" s="68"/>
      <c r="AV144" s="68"/>
      <c r="AW144" s="68"/>
      <c r="AX144" s="68"/>
      <c r="AY144" s="69"/>
      <c r="AZ144" s="67"/>
      <c r="BA144" s="68"/>
      <c r="BB144" s="68"/>
      <c r="BC144" s="68"/>
      <c r="BD144" s="68"/>
      <c r="BE144" s="68"/>
      <c r="BF144" s="69"/>
      <c r="BG144" s="70"/>
      <c r="BH144" s="71"/>
      <c r="BI144" s="71"/>
      <c r="BJ144" s="71"/>
      <c r="BK144" s="71"/>
      <c r="BL144" s="71"/>
      <c r="BM144" s="72"/>
      <c r="BN144" s="70"/>
      <c r="BO144" s="71"/>
      <c r="BP144" s="71"/>
      <c r="BQ144" s="71"/>
      <c r="BR144" s="71"/>
      <c r="BS144" s="71"/>
      <c r="BT144" s="72"/>
      <c r="BU144" s="59"/>
      <c r="BV144" s="59"/>
      <c r="BW144" s="59"/>
      <c r="BX144" s="59"/>
      <c r="BY144" s="59"/>
      <c r="BZ144" s="59"/>
      <c r="CA144" s="59"/>
    </row>
    <row r="145" spans="1:79">
      <c r="A145" s="59"/>
      <c r="B145" s="44" t="str">
        <f t="shared" si="4"/>
        <v/>
      </c>
      <c r="C145" s="70"/>
      <c r="D145" s="71"/>
      <c r="E145" s="71"/>
      <c r="F145" s="71"/>
      <c r="G145" s="71"/>
      <c r="H145" s="71"/>
      <c r="I145" s="72"/>
      <c r="J145" s="70"/>
      <c r="K145" s="71"/>
      <c r="L145" s="71"/>
      <c r="M145" s="71"/>
      <c r="N145" s="71"/>
      <c r="O145" s="71"/>
      <c r="P145" s="72"/>
      <c r="Q145" s="67"/>
      <c r="R145" s="68"/>
      <c r="S145" s="68"/>
      <c r="T145" s="68"/>
      <c r="U145" s="68"/>
      <c r="V145" s="68"/>
      <c r="W145" s="69"/>
      <c r="X145" s="67"/>
      <c r="Y145" s="68"/>
      <c r="Z145" s="68"/>
      <c r="AA145" s="68"/>
      <c r="AB145" s="68"/>
      <c r="AC145" s="68"/>
      <c r="AD145" s="69"/>
      <c r="AE145" s="70"/>
      <c r="AF145" s="71"/>
      <c r="AG145" s="71"/>
      <c r="AH145" s="71"/>
      <c r="AI145" s="71"/>
      <c r="AJ145" s="71"/>
      <c r="AK145" s="72"/>
      <c r="AL145" s="70"/>
      <c r="AM145" s="71"/>
      <c r="AN145" s="71"/>
      <c r="AO145" s="71"/>
      <c r="AP145" s="71"/>
      <c r="AQ145" s="71"/>
      <c r="AR145" s="72"/>
      <c r="AS145" s="67"/>
      <c r="AT145" s="68"/>
      <c r="AU145" s="68"/>
      <c r="AV145" s="68"/>
      <c r="AW145" s="68"/>
      <c r="AX145" s="68"/>
      <c r="AY145" s="69"/>
      <c r="AZ145" s="67"/>
      <c r="BA145" s="68"/>
      <c r="BB145" s="68"/>
      <c r="BC145" s="68"/>
      <c r="BD145" s="68"/>
      <c r="BE145" s="68"/>
      <c r="BF145" s="69"/>
      <c r="BG145" s="70"/>
      <c r="BH145" s="71"/>
      <c r="BI145" s="71"/>
      <c r="BJ145" s="71"/>
      <c r="BK145" s="71"/>
      <c r="BL145" s="71"/>
      <c r="BM145" s="72"/>
      <c r="BN145" s="70"/>
      <c r="BO145" s="71"/>
      <c r="BP145" s="71"/>
      <c r="BQ145" s="71"/>
      <c r="BR145" s="71"/>
      <c r="BS145" s="71"/>
      <c r="BT145" s="72"/>
      <c r="BU145" s="59"/>
      <c r="BV145" s="59"/>
      <c r="BW145" s="59"/>
      <c r="BX145" s="59"/>
      <c r="BY145" s="59"/>
      <c r="BZ145" s="59"/>
      <c r="CA145" s="59"/>
    </row>
    <row r="146" spans="1:79">
      <c r="A146" s="59"/>
      <c r="B146" s="44" t="str">
        <f t="shared" si="4"/>
        <v/>
      </c>
      <c r="C146" s="70"/>
      <c r="D146" s="71"/>
      <c r="E146" s="71"/>
      <c r="F146" s="71"/>
      <c r="G146" s="71"/>
      <c r="H146" s="71"/>
      <c r="I146" s="72"/>
      <c r="J146" s="70"/>
      <c r="K146" s="71"/>
      <c r="L146" s="71"/>
      <c r="M146" s="71"/>
      <c r="N146" s="71"/>
      <c r="O146" s="71"/>
      <c r="P146" s="72"/>
      <c r="Q146" s="67"/>
      <c r="R146" s="68"/>
      <c r="S146" s="68"/>
      <c r="T146" s="68"/>
      <c r="U146" s="68"/>
      <c r="V146" s="68"/>
      <c r="W146" s="69"/>
      <c r="X146" s="67"/>
      <c r="Y146" s="68"/>
      <c r="Z146" s="68"/>
      <c r="AA146" s="68"/>
      <c r="AB146" s="68"/>
      <c r="AC146" s="68"/>
      <c r="AD146" s="69"/>
      <c r="AE146" s="70"/>
      <c r="AF146" s="71"/>
      <c r="AG146" s="71"/>
      <c r="AH146" s="71"/>
      <c r="AI146" s="71"/>
      <c r="AJ146" s="71"/>
      <c r="AK146" s="72"/>
      <c r="AL146" s="70"/>
      <c r="AM146" s="71"/>
      <c r="AN146" s="71"/>
      <c r="AO146" s="71"/>
      <c r="AP146" s="71"/>
      <c r="AQ146" s="71"/>
      <c r="AR146" s="72"/>
      <c r="AS146" s="67"/>
      <c r="AT146" s="68"/>
      <c r="AU146" s="68"/>
      <c r="AV146" s="68"/>
      <c r="AW146" s="68"/>
      <c r="AX146" s="68"/>
      <c r="AY146" s="69"/>
      <c r="AZ146" s="67"/>
      <c r="BA146" s="68"/>
      <c r="BB146" s="68"/>
      <c r="BC146" s="68"/>
      <c r="BD146" s="68"/>
      <c r="BE146" s="68"/>
      <c r="BF146" s="69"/>
      <c r="BG146" s="70"/>
      <c r="BH146" s="71"/>
      <c r="BI146" s="71"/>
      <c r="BJ146" s="71"/>
      <c r="BK146" s="71"/>
      <c r="BL146" s="71"/>
      <c r="BM146" s="72"/>
      <c r="BN146" s="70"/>
      <c r="BO146" s="71"/>
      <c r="BP146" s="71"/>
      <c r="BQ146" s="71"/>
      <c r="BR146" s="71"/>
      <c r="BS146" s="71"/>
      <c r="BT146" s="72"/>
      <c r="BU146" s="59"/>
      <c r="BV146" s="59"/>
      <c r="BW146" s="59"/>
      <c r="BX146" s="59"/>
      <c r="BY146" s="59"/>
      <c r="BZ146" s="59"/>
      <c r="CA146" s="59"/>
    </row>
    <row r="147" spans="1:79">
      <c r="A147" s="59"/>
      <c r="B147" s="44" t="str">
        <f t="shared" si="4"/>
        <v/>
      </c>
      <c r="C147" s="70"/>
      <c r="D147" s="71"/>
      <c r="E147" s="71"/>
      <c r="F147" s="71"/>
      <c r="G147" s="71"/>
      <c r="H147" s="71"/>
      <c r="I147" s="72"/>
      <c r="J147" s="70"/>
      <c r="K147" s="71"/>
      <c r="L147" s="71"/>
      <c r="M147" s="71"/>
      <c r="N147" s="71"/>
      <c r="O147" s="71"/>
      <c r="P147" s="72"/>
      <c r="Q147" s="67"/>
      <c r="R147" s="68"/>
      <c r="S147" s="68"/>
      <c r="T147" s="68"/>
      <c r="U147" s="68"/>
      <c r="V147" s="68"/>
      <c r="W147" s="69"/>
      <c r="X147" s="67"/>
      <c r="Y147" s="68"/>
      <c r="Z147" s="68"/>
      <c r="AA147" s="68"/>
      <c r="AB147" s="68"/>
      <c r="AC147" s="68"/>
      <c r="AD147" s="69"/>
      <c r="AE147" s="70"/>
      <c r="AF147" s="71"/>
      <c r="AG147" s="71"/>
      <c r="AH147" s="71"/>
      <c r="AI147" s="71"/>
      <c r="AJ147" s="71"/>
      <c r="AK147" s="72"/>
      <c r="AL147" s="70"/>
      <c r="AM147" s="71"/>
      <c r="AN147" s="71"/>
      <c r="AO147" s="71"/>
      <c r="AP147" s="71"/>
      <c r="AQ147" s="71"/>
      <c r="AR147" s="72"/>
      <c r="AS147" s="67"/>
      <c r="AT147" s="68"/>
      <c r="AU147" s="68"/>
      <c r="AV147" s="68"/>
      <c r="AW147" s="68"/>
      <c r="AX147" s="68"/>
      <c r="AY147" s="69"/>
      <c r="AZ147" s="67"/>
      <c r="BA147" s="68"/>
      <c r="BB147" s="68"/>
      <c r="BC147" s="68"/>
      <c r="BD147" s="68"/>
      <c r="BE147" s="68"/>
      <c r="BF147" s="69"/>
      <c r="BG147" s="70"/>
      <c r="BH147" s="71"/>
      <c r="BI147" s="71"/>
      <c r="BJ147" s="71"/>
      <c r="BK147" s="71"/>
      <c r="BL147" s="71"/>
      <c r="BM147" s="72"/>
      <c r="BN147" s="70"/>
      <c r="BO147" s="71"/>
      <c r="BP147" s="71"/>
      <c r="BQ147" s="71"/>
      <c r="BR147" s="71"/>
      <c r="BS147" s="71"/>
      <c r="BT147" s="72"/>
      <c r="BU147" s="59"/>
      <c r="BV147" s="59"/>
      <c r="BW147" s="59"/>
      <c r="BX147" s="59"/>
      <c r="BY147" s="59"/>
      <c r="BZ147" s="59"/>
      <c r="CA147" s="59"/>
    </row>
    <row r="148" spans="1:79">
      <c r="A148" s="59"/>
      <c r="B148" s="44" t="str">
        <f t="shared" si="4"/>
        <v/>
      </c>
      <c r="C148" s="70"/>
      <c r="D148" s="71"/>
      <c r="E148" s="71"/>
      <c r="F148" s="71"/>
      <c r="G148" s="71"/>
      <c r="H148" s="71"/>
      <c r="I148" s="72"/>
      <c r="J148" s="70"/>
      <c r="K148" s="71"/>
      <c r="L148" s="71"/>
      <c r="M148" s="71"/>
      <c r="N148" s="71"/>
      <c r="O148" s="71"/>
      <c r="P148" s="72"/>
      <c r="Q148" s="67"/>
      <c r="R148" s="68"/>
      <c r="S148" s="68"/>
      <c r="T148" s="68"/>
      <c r="U148" s="68"/>
      <c r="V148" s="68"/>
      <c r="W148" s="69"/>
      <c r="X148" s="67"/>
      <c r="Y148" s="68"/>
      <c r="Z148" s="68"/>
      <c r="AA148" s="68"/>
      <c r="AB148" s="68"/>
      <c r="AC148" s="68"/>
      <c r="AD148" s="69"/>
      <c r="AE148" s="70"/>
      <c r="AF148" s="71"/>
      <c r="AG148" s="71"/>
      <c r="AH148" s="71"/>
      <c r="AI148" s="71"/>
      <c r="AJ148" s="71"/>
      <c r="AK148" s="72"/>
      <c r="AL148" s="70"/>
      <c r="AM148" s="71"/>
      <c r="AN148" s="71"/>
      <c r="AO148" s="71"/>
      <c r="AP148" s="71"/>
      <c r="AQ148" s="71"/>
      <c r="AR148" s="72"/>
      <c r="AS148" s="67"/>
      <c r="AT148" s="68"/>
      <c r="AU148" s="68"/>
      <c r="AV148" s="68"/>
      <c r="AW148" s="68"/>
      <c r="AX148" s="68"/>
      <c r="AY148" s="69"/>
      <c r="AZ148" s="67"/>
      <c r="BA148" s="68"/>
      <c r="BB148" s="68"/>
      <c r="BC148" s="68"/>
      <c r="BD148" s="68"/>
      <c r="BE148" s="68"/>
      <c r="BF148" s="69"/>
      <c r="BG148" s="70"/>
      <c r="BH148" s="71"/>
      <c r="BI148" s="71"/>
      <c r="BJ148" s="71"/>
      <c r="BK148" s="71"/>
      <c r="BL148" s="71"/>
      <c r="BM148" s="72"/>
      <c r="BN148" s="70"/>
      <c r="BO148" s="71"/>
      <c r="BP148" s="71"/>
      <c r="BQ148" s="71"/>
      <c r="BR148" s="71"/>
      <c r="BS148" s="71"/>
      <c r="BT148" s="72"/>
      <c r="BU148" s="59"/>
      <c r="BV148" s="59"/>
      <c r="BW148" s="59"/>
      <c r="BX148" s="59"/>
      <c r="BY148" s="59"/>
      <c r="BZ148" s="59"/>
      <c r="CA148" s="59"/>
    </row>
    <row r="149" spans="1:79">
      <c r="A149" s="59"/>
      <c r="B149" s="44" t="str">
        <f t="shared" si="4"/>
        <v/>
      </c>
      <c r="C149" s="70"/>
      <c r="D149" s="71"/>
      <c r="E149" s="71"/>
      <c r="F149" s="71"/>
      <c r="G149" s="71"/>
      <c r="H149" s="71"/>
      <c r="I149" s="72"/>
      <c r="J149" s="70"/>
      <c r="K149" s="71"/>
      <c r="L149" s="71"/>
      <c r="M149" s="71"/>
      <c r="N149" s="71"/>
      <c r="O149" s="71"/>
      <c r="P149" s="72"/>
      <c r="Q149" s="67"/>
      <c r="R149" s="68"/>
      <c r="S149" s="68"/>
      <c r="T149" s="68"/>
      <c r="U149" s="68"/>
      <c r="V149" s="68"/>
      <c r="W149" s="69"/>
      <c r="X149" s="67"/>
      <c r="Y149" s="68"/>
      <c r="Z149" s="68"/>
      <c r="AA149" s="68"/>
      <c r="AB149" s="68"/>
      <c r="AC149" s="68"/>
      <c r="AD149" s="69"/>
      <c r="AE149" s="70"/>
      <c r="AF149" s="71"/>
      <c r="AG149" s="71"/>
      <c r="AH149" s="71"/>
      <c r="AI149" s="71"/>
      <c r="AJ149" s="71"/>
      <c r="AK149" s="72"/>
      <c r="AL149" s="70"/>
      <c r="AM149" s="71"/>
      <c r="AN149" s="71"/>
      <c r="AO149" s="71"/>
      <c r="AP149" s="71"/>
      <c r="AQ149" s="71"/>
      <c r="AR149" s="72"/>
      <c r="AS149" s="67"/>
      <c r="AT149" s="68"/>
      <c r="AU149" s="68"/>
      <c r="AV149" s="68"/>
      <c r="AW149" s="68"/>
      <c r="AX149" s="68"/>
      <c r="AY149" s="69"/>
      <c r="AZ149" s="67"/>
      <c r="BA149" s="68"/>
      <c r="BB149" s="68"/>
      <c r="BC149" s="68"/>
      <c r="BD149" s="68"/>
      <c r="BE149" s="68"/>
      <c r="BF149" s="69"/>
      <c r="BG149" s="70"/>
      <c r="BH149" s="71"/>
      <c r="BI149" s="71"/>
      <c r="BJ149" s="71"/>
      <c r="BK149" s="71"/>
      <c r="BL149" s="71"/>
      <c r="BM149" s="72"/>
      <c r="BN149" s="70"/>
      <c r="BO149" s="71"/>
      <c r="BP149" s="71"/>
      <c r="BQ149" s="71"/>
      <c r="BR149" s="71"/>
      <c r="BS149" s="71"/>
      <c r="BT149" s="72"/>
      <c r="BU149" s="59"/>
      <c r="BV149" s="59"/>
      <c r="BW149" s="59"/>
      <c r="BX149" s="59"/>
      <c r="BY149" s="59"/>
      <c r="BZ149" s="59"/>
      <c r="CA149" s="59"/>
    </row>
    <row r="150" spans="1:79">
      <c r="A150" s="59"/>
      <c r="B150" s="44" t="str">
        <f t="shared" si="4"/>
        <v/>
      </c>
      <c r="C150" s="70"/>
      <c r="D150" s="71"/>
      <c r="E150" s="71"/>
      <c r="F150" s="71"/>
      <c r="G150" s="71"/>
      <c r="H150" s="71"/>
      <c r="I150" s="72"/>
      <c r="J150" s="70"/>
      <c r="K150" s="71"/>
      <c r="L150" s="71"/>
      <c r="M150" s="71"/>
      <c r="N150" s="71"/>
      <c r="O150" s="71"/>
      <c r="P150" s="72"/>
      <c r="Q150" s="67"/>
      <c r="R150" s="68"/>
      <c r="S150" s="68"/>
      <c r="T150" s="68"/>
      <c r="U150" s="68"/>
      <c r="V150" s="68"/>
      <c r="W150" s="69"/>
      <c r="X150" s="67"/>
      <c r="Y150" s="68"/>
      <c r="Z150" s="68"/>
      <c r="AA150" s="68"/>
      <c r="AB150" s="68"/>
      <c r="AC150" s="68"/>
      <c r="AD150" s="69"/>
      <c r="AE150" s="70"/>
      <c r="AF150" s="71"/>
      <c r="AG150" s="71"/>
      <c r="AH150" s="71"/>
      <c r="AI150" s="71"/>
      <c r="AJ150" s="71"/>
      <c r="AK150" s="72"/>
      <c r="AL150" s="70"/>
      <c r="AM150" s="71"/>
      <c r="AN150" s="71"/>
      <c r="AO150" s="71"/>
      <c r="AP150" s="71"/>
      <c r="AQ150" s="71"/>
      <c r="AR150" s="72"/>
      <c r="AS150" s="67"/>
      <c r="AT150" s="68"/>
      <c r="AU150" s="68"/>
      <c r="AV150" s="68"/>
      <c r="AW150" s="68"/>
      <c r="AX150" s="68"/>
      <c r="AY150" s="69"/>
      <c r="AZ150" s="67"/>
      <c r="BA150" s="68"/>
      <c r="BB150" s="68"/>
      <c r="BC150" s="68"/>
      <c r="BD150" s="68"/>
      <c r="BE150" s="68"/>
      <c r="BF150" s="69"/>
      <c r="BG150" s="70"/>
      <c r="BH150" s="71"/>
      <c r="BI150" s="71"/>
      <c r="BJ150" s="71"/>
      <c r="BK150" s="71"/>
      <c r="BL150" s="71"/>
      <c r="BM150" s="72"/>
      <c r="BN150" s="70"/>
      <c r="BO150" s="71"/>
      <c r="BP150" s="71"/>
      <c r="BQ150" s="71"/>
      <c r="BR150" s="71"/>
      <c r="BS150" s="71"/>
      <c r="BT150" s="72"/>
      <c r="BU150" s="59"/>
      <c r="BV150" s="59"/>
      <c r="BW150" s="59"/>
      <c r="BX150" s="59"/>
      <c r="BY150" s="59"/>
      <c r="BZ150" s="59"/>
      <c r="CA150" s="59"/>
    </row>
    <row r="151" spans="1:79">
      <c r="A151" s="59"/>
      <c r="B151" s="44" t="str">
        <f t="shared" si="4"/>
        <v/>
      </c>
      <c r="C151" s="70"/>
      <c r="D151" s="71"/>
      <c r="E151" s="71"/>
      <c r="F151" s="71"/>
      <c r="G151" s="71"/>
      <c r="H151" s="71"/>
      <c r="I151" s="72"/>
      <c r="J151" s="70"/>
      <c r="K151" s="71"/>
      <c r="L151" s="71"/>
      <c r="M151" s="71"/>
      <c r="N151" s="71"/>
      <c r="O151" s="71"/>
      <c r="P151" s="72"/>
      <c r="Q151" s="67"/>
      <c r="R151" s="68"/>
      <c r="S151" s="68"/>
      <c r="T151" s="68"/>
      <c r="U151" s="68"/>
      <c r="V151" s="68"/>
      <c r="W151" s="69"/>
      <c r="X151" s="67"/>
      <c r="Y151" s="68"/>
      <c r="Z151" s="68"/>
      <c r="AA151" s="68"/>
      <c r="AB151" s="68"/>
      <c r="AC151" s="68"/>
      <c r="AD151" s="69"/>
      <c r="AE151" s="70"/>
      <c r="AF151" s="71"/>
      <c r="AG151" s="71"/>
      <c r="AH151" s="71"/>
      <c r="AI151" s="71"/>
      <c r="AJ151" s="71"/>
      <c r="AK151" s="72"/>
      <c r="AL151" s="70"/>
      <c r="AM151" s="71"/>
      <c r="AN151" s="71"/>
      <c r="AO151" s="71"/>
      <c r="AP151" s="71"/>
      <c r="AQ151" s="71"/>
      <c r="AR151" s="72"/>
      <c r="AS151" s="67"/>
      <c r="AT151" s="68"/>
      <c r="AU151" s="68"/>
      <c r="AV151" s="68"/>
      <c r="AW151" s="68"/>
      <c r="AX151" s="68"/>
      <c r="AY151" s="69"/>
      <c r="AZ151" s="67"/>
      <c r="BA151" s="68"/>
      <c r="BB151" s="68"/>
      <c r="BC151" s="68"/>
      <c r="BD151" s="68"/>
      <c r="BE151" s="68"/>
      <c r="BF151" s="69"/>
      <c r="BG151" s="70"/>
      <c r="BH151" s="71"/>
      <c r="BI151" s="71"/>
      <c r="BJ151" s="71"/>
      <c r="BK151" s="71"/>
      <c r="BL151" s="71"/>
      <c r="BM151" s="72"/>
      <c r="BN151" s="70"/>
      <c r="BO151" s="71"/>
      <c r="BP151" s="71"/>
      <c r="BQ151" s="71"/>
      <c r="BR151" s="71"/>
      <c r="BS151" s="71"/>
      <c r="BT151" s="72"/>
      <c r="BU151" s="59"/>
      <c r="BV151" s="59"/>
      <c r="BW151" s="59"/>
      <c r="BX151" s="59"/>
      <c r="BY151" s="59"/>
      <c r="BZ151" s="59"/>
      <c r="CA151" s="59"/>
    </row>
    <row r="152" spans="1:79">
      <c r="A152" s="59"/>
      <c r="B152" s="44" t="str">
        <f t="shared" si="4"/>
        <v/>
      </c>
      <c r="C152" s="70"/>
      <c r="D152" s="71"/>
      <c r="E152" s="71"/>
      <c r="F152" s="71"/>
      <c r="G152" s="71"/>
      <c r="H152" s="71"/>
      <c r="I152" s="72"/>
      <c r="J152" s="70"/>
      <c r="K152" s="71"/>
      <c r="L152" s="71"/>
      <c r="M152" s="71"/>
      <c r="N152" s="71"/>
      <c r="O152" s="71"/>
      <c r="P152" s="72"/>
      <c r="Q152" s="67"/>
      <c r="R152" s="68"/>
      <c r="S152" s="68"/>
      <c r="T152" s="68"/>
      <c r="U152" s="68"/>
      <c r="V152" s="68"/>
      <c r="W152" s="69"/>
      <c r="X152" s="67"/>
      <c r="Y152" s="68"/>
      <c r="Z152" s="68"/>
      <c r="AA152" s="68"/>
      <c r="AB152" s="68"/>
      <c r="AC152" s="68"/>
      <c r="AD152" s="69"/>
      <c r="AE152" s="70"/>
      <c r="AF152" s="71"/>
      <c r="AG152" s="71"/>
      <c r="AH152" s="71"/>
      <c r="AI152" s="71"/>
      <c r="AJ152" s="71"/>
      <c r="AK152" s="72"/>
      <c r="AL152" s="70"/>
      <c r="AM152" s="71"/>
      <c r="AN152" s="71"/>
      <c r="AO152" s="71"/>
      <c r="AP152" s="71"/>
      <c r="AQ152" s="71"/>
      <c r="AR152" s="72"/>
      <c r="AS152" s="67"/>
      <c r="AT152" s="68"/>
      <c r="AU152" s="68"/>
      <c r="AV152" s="68"/>
      <c r="AW152" s="68"/>
      <c r="AX152" s="68"/>
      <c r="AY152" s="69"/>
      <c r="AZ152" s="67"/>
      <c r="BA152" s="68"/>
      <c r="BB152" s="68"/>
      <c r="BC152" s="68"/>
      <c r="BD152" s="68"/>
      <c r="BE152" s="68"/>
      <c r="BF152" s="69"/>
      <c r="BG152" s="70"/>
      <c r="BH152" s="71"/>
      <c r="BI152" s="71"/>
      <c r="BJ152" s="71"/>
      <c r="BK152" s="71"/>
      <c r="BL152" s="71"/>
      <c r="BM152" s="72"/>
      <c r="BN152" s="70"/>
      <c r="BO152" s="71"/>
      <c r="BP152" s="71"/>
      <c r="BQ152" s="71"/>
      <c r="BR152" s="71"/>
      <c r="BS152" s="71"/>
      <c r="BT152" s="72"/>
      <c r="BU152" s="59"/>
      <c r="BV152" s="59"/>
      <c r="BW152" s="59"/>
      <c r="BX152" s="59"/>
      <c r="BY152" s="59"/>
      <c r="BZ152" s="59"/>
      <c r="CA152" s="59"/>
    </row>
    <row r="153" spans="1:79">
      <c r="A153" s="59"/>
      <c r="B153" s="44" t="str">
        <f t="shared" si="4"/>
        <v/>
      </c>
      <c r="C153" s="70"/>
      <c r="D153" s="71"/>
      <c r="E153" s="71"/>
      <c r="F153" s="71"/>
      <c r="G153" s="71"/>
      <c r="H153" s="71"/>
      <c r="I153" s="72"/>
      <c r="J153" s="70"/>
      <c r="K153" s="71"/>
      <c r="L153" s="71"/>
      <c r="M153" s="71"/>
      <c r="N153" s="71"/>
      <c r="O153" s="71"/>
      <c r="P153" s="72"/>
      <c r="Q153" s="67"/>
      <c r="R153" s="68"/>
      <c r="S153" s="68"/>
      <c r="T153" s="68"/>
      <c r="U153" s="68"/>
      <c r="V153" s="68"/>
      <c r="W153" s="69"/>
      <c r="X153" s="67"/>
      <c r="Y153" s="68"/>
      <c r="Z153" s="68"/>
      <c r="AA153" s="68"/>
      <c r="AB153" s="68"/>
      <c r="AC153" s="68"/>
      <c r="AD153" s="69"/>
      <c r="AE153" s="70"/>
      <c r="AF153" s="71"/>
      <c r="AG153" s="71"/>
      <c r="AH153" s="71"/>
      <c r="AI153" s="71"/>
      <c r="AJ153" s="71"/>
      <c r="AK153" s="72"/>
      <c r="AL153" s="70"/>
      <c r="AM153" s="71"/>
      <c r="AN153" s="71"/>
      <c r="AO153" s="71"/>
      <c r="AP153" s="71"/>
      <c r="AQ153" s="71"/>
      <c r="AR153" s="72"/>
      <c r="AS153" s="67"/>
      <c r="AT153" s="68"/>
      <c r="AU153" s="68"/>
      <c r="AV153" s="68"/>
      <c r="AW153" s="68"/>
      <c r="AX153" s="68"/>
      <c r="AY153" s="69"/>
      <c r="AZ153" s="67"/>
      <c r="BA153" s="68"/>
      <c r="BB153" s="68"/>
      <c r="BC153" s="68"/>
      <c r="BD153" s="68"/>
      <c r="BE153" s="68"/>
      <c r="BF153" s="69"/>
      <c r="BG153" s="70"/>
      <c r="BH153" s="71"/>
      <c r="BI153" s="71"/>
      <c r="BJ153" s="71"/>
      <c r="BK153" s="71"/>
      <c r="BL153" s="71"/>
      <c r="BM153" s="72"/>
      <c r="BN153" s="70"/>
      <c r="BO153" s="71"/>
      <c r="BP153" s="71"/>
      <c r="BQ153" s="71"/>
      <c r="BR153" s="71"/>
      <c r="BS153" s="71"/>
      <c r="BT153" s="72"/>
      <c r="BU153" s="59"/>
      <c r="BV153" s="59"/>
      <c r="BW153" s="59"/>
      <c r="BX153" s="59"/>
      <c r="BY153" s="59"/>
      <c r="BZ153" s="59"/>
      <c r="CA153" s="59"/>
    </row>
    <row r="154" spans="1:79">
      <c r="A154" s="59"/>
      <c r="B154" s="44" t="str">
        <f t="shared" si="4"/>
        <v/>
      </c>
      <c r="C154" s="70"/>
      <c r="D154" s="71"/>
      <c r="E154" s="71"/>
      <c r="F154" s="71"/>
      <c r="G154" s="71"/>
      <c r="H154" s="71"/>
      <c r="I154" s="72"/>
      <c r="J154" s="70"/>
      <c r="K154" s="71"/>
      <c r="L154" s="71"/>
      <c r="M154" s="71"/>
      <c r="N154" s="71"/>
      <c r="O154" s="71"/>
      <c r="P154" s="72"/>
      <c r="Q154" s="67"/>
      <c r="R154" s="68"/>
      <c r="S154" s="68"/>
      <c r="T154" s="68"/>
      <c r="U154" s="68"/>
      <c r="V154" s="68"/>
      <c r="W154" s="69"/>
      <c r="X154" s="67"/>
      <c r="Y154" s="68"/>
      <c r="Z154" s="68"/>
      <c r="AA154" s="68"/>
      <c r="AB154" s="68"/>
      <c r="AC154" s="68"/>
      <c r="AD154" s="69"/>
      <c r="AE154" s="70"/>
      <c r="AF154" s="71"/>
      <c r="AG154" s="71"/>
      <c r="AH154" s="71"/>
      <c r="AI154" s="71"/>
      <c r="AJ154" s="71"/>
      <c r="AK154" s="72"/>
      <c r="AL154" s="70"/>
      <c r="AM154" s="71"/>
      <c r="AN154" s="71"/>
      <c r="AO154" s="71"/>
      <c r="AP154" s="71"/>
      <c r="AQ154" s="71"/>
      <c r="AR154" s="72"/>
      <c r="AS154" s="67"/>
      <c r="AT154" s="68"/>
      <c r="AU154" s="68"/>
      <c r="AV154" s="68"/>
      <c r="AW154" s="68"/>
      <c r="AX154" s="68"/>
      <c r="AY154" s="69"/>
      <c r="AZ154" s="67"/>
      <c r="BA154" s="68"/>
      <c r="BB154" s="68"/>
      <c r="BC154" s="68"/>
      <c r="BD154" s="68"/>
      <c r="BE154" s="68"/>
      <c r="BF154" s="69"/>
      <c r="BG154" s="70"/>
      <c r="BH154" s="71"/>
      <c r="BI154" s="71"/>
      <c r="BJ154" s="71"/>
      <c r="BK154" s="71"/>
      <c r="BL154" s="71"/>
      <c r="BM154" s="72"/>
      <c r="BN154" s="70"/>
      <c r="BO154" s="71"/>
      <c r="BP154" s="71"/>
      <c r="BQ154" s="71"/>
      <c r="BR154" s="71"/>
      <c r="BS154" s="71"/>
      <c r="BT154" s="72"/>
      <c r="BU154" s="59"/>
      <c r="BV154" s="59"/>
      <c r="BW154" s="59"/>
      <c r="BX154" s="59"/>
      <c r="BY154" s="59"/>
      <c r="BZ154" s="59"/>
      <c r="CA154" s="59"/>
    </row>
    <row r="155" spans="1:79">
      <c r="A155" s="59"/>
      <c r="B155" s="44" t="str">
        <f t="shared" si="4"/>
        <v/>
      </c>
      <c r="C155" s="70"/>
      <c r="D155" s="71"/>
      <c r="E155" s="71"/>
      <c r="F155" s="71"/>
      <c r="G155" s="71"/>
      <c r="H155" s="71"/>
      <c r="I155" s="72"/>
      <c r="J155" s="70"/>
      <c r="K155" s="71"/>
      <c r="L155" s="71"/>
      <c r="M155" s="71"/>
      <c r="N155" s="71"/>
      <c r="O155" s="71"/>
      <c r="P155" s="72"/>
      <c r="Q155" s="67"/>
      <c r="R155" s="68"/>
      <c r="S155" s="68"/>
      <c r="T155" s="68"/>
      <c r="U155" s="68"/>
      <c r="V155" s="68"/>
      <c r="W155" s="69"/>
      <c r="X155" s="67"/>
      <c r="Y155" s="68"/>
      <c r="Z155" s="68"/>
      <c r="AA155" s="68"/>
      <c r="AB155" s="68"/>
      <c r="AC155" s="68"/>
      <c r="AD155" s="69"/>
      <c r="AE155" s="70"/>
      <c r="AF155" s="71"/>
      <c r="AG155" s="71"/>
      <c r="AH155" s="71"/>
      <c r="AI155" s="71"/>
      <c r="AJ155" s="71"/>
      <c r="AK155" s="72"/>
      <c r="AL155" s="70"/>
      <c r="AM155" s="71"/>
      <c r="AN155" s="71"/>
      <c r="AO155" s="71"/>
      <c r="AP155" s="71"/>
      <c r="AQ155" s="71"/>
      <c r="AR155" s="72"/>
      <c r="AS155" s="67"/>
      <c r="AT155" s="68"/>
      <c r="AU155" s="68"/>
      <c r="AV155" s="68"/>
      <c r="AW155" s="68"/>
      <c r="AX155" s="68"/>
      <c r="AY155" s="69"/>
      <c r="AZ155" s="67"/>
      <c r="BA155" s="68"/>
      <c r="BB155" s="68"/>
      <c r="BC155" s="68"/>
      <c r="BD155" s="68"/>
      <c r="BE155" s="68"/>
      <c r="BF155" s="69"/>
      <c r="BG155" s="70"/>
      <c r="BH155" s="71"/>
      <c r="BI155" s="71"/>
      <c r="BJ155" s="71"/>
      <c r="BK155" s="71"/>
      <c r="BL155" s="71"/>
      <c r="BM155" s="72"/>
      <c r="BN155" s="70"/>
      <c r="BO155" s="71"/>
      <c r="BP155" s="71"/>
      <c r="BQ155" s="71"/>
      <c r="BR155" s="71"/>
      <c r="BS155" s="71"/>
      <c r="BT155" s="72"/>
      <c r="BU155" s="59"/>
      <c r="BV155" s="59"/>
      <c r="BW155" s="59"/>
      <c r="BX155" s="59"/>
      <c r="BY155" s="59"/>
      <c r="BZ155" s="59"/>
      <c r="CA155" s="59"/>
    </row>
    <row r="156" spans="1:79">
      <c r="A156" s="59"/>
      <c r="B156" s="44" t="str">
        <f t="shared" si="4"/>
        <v/>
      </c>
      <c r="C156" s="70"/>
      <c r="D156" s="71"/>
      <c r="E156" s="71"/>
      <c r="F156" s="71"/>
      <c r="G156" s="71"/>
      <c r="H156" s="71"/>
      <c r="I156" s="72"/>
      <c r="J156" s="70"/>
      <c r="K156" s="71"/>
      <c r="L156" s="71"/>
      <c r="M156" s="71"/>
      <c r="N156" s="71"/>
      <c r="O156" s="71"/>
      <c r="P156" s="72"/>
      <c r="Q156" s="67"/>
      <c r="R156" s="68"/>
      <c r="S156" s="68"/>
      <c r="T156" s="68"/>
      <c r="U156" s="68"/>
      <c r="V156" s="68"/>
      <c r="W156" s="69"/>
      <c r="X156" s="67"/>
      <c r="Y156" s="68"/>
      <c r="Z156" s="68"/>
      <c r="AA156" s="68"/>
      <c r="AB156" s="68"/>
      <c r="AC156" s="68"/>
      <c r="AD156" s="69"/>
      <c r="AE156" s="70"/>
      <c r="AF156" s="71"/>
      <c r="AG156" s="71"/>
      <c r="AH156" s="71"/>
      <c r="AI156" s="71"/>
      <c r="AJ156" s="71"/>
      <c r="AK156" s="72"/>
      <c r="AL156" s="70"/>
      <c r="AM156" s="71"/>
      <c r="AN156" s="71"/>
      <c r="AO156" s="71"/>
      <c r="AP156" s="71"/>
      <c r="AQ156" s="71"/>
      <c r="AR156" s="72"/>
      <c r="AS156" s="67"/>
      <c r="AT156" s="68"/>
      <c r="AU156" s="68"/>
      <c r="AV156" s="68"/>
      <c r="AW156" s="68"/>
      <c r="AX156" s="68"/>
      <c r="AY156" s="69"/>
      <c r="AZ156" s="67"/>
      <c r="BA156" s="68"/>
      <c r="BB156" s="68"/>
      <c r="BC156" s="68"/>
      <c r="BD156" s="68"/>
      <c r="BE156" s="68"/>
      <c r="BF156" s="69"/>
      <c r="BG156" s="70"/>
      <c r="BH156" s="71"/>
      <c r="BI156" s="71"/>
      <c r="BJ156" s="71"/>
      <c r="BK156" s="71"/>
      <c r="BL156" s="71"/>
      <c r="BM156" s="72"/>
      <c r="BN156" s="70"/>
      <c r="BO156" s="71"/>
      <c r="BP156" s="71"/>
      <c r="BQ156" s="71"/>
      <c r="BR156" s="71"/>
      <c r="BS156" s="71"/>
      <c r="BT156" s="72"/>
      <c r="BU156" s="59"/>
      <c r="BV156" s="59"/>
      <c r="BW156" s="59"/>
      <c r="BX156" s="59"/>
      <c r="BY156" s="59"/>
      <c r="BZ156" s="59"/>
      <c r="CA156" s="59"/>
    </row>
    <row r="157" spans="1:79">
      <c r="A157" s="59"/>
      <c r="B157" s="44" t="str">
        <f t="shared" si="4"/>
        <v/>
      </c>
      <c r="C157" s="70"/>
      <c r="D157" s="71"/>
      <c r="E157" s="71"/>
      <c r="F157" s="71"/>
      <c r="G157" s="71"/>
      <c r="H157" s="71"/>
      <c r="I157" s="72"/>
      <c r="J157" s="70"/>
      <c r="K157" s="71"/>
      <c r="L157" s="71"/>
      <c r="M157" s="71"/>
      <c r="N157" s="71"/>
      <c r="O157" s="71"/>
      <c r="P157" s="72"/>
      <c r="Q157" s="67"/>
      <c r="R157" s="68"/>
      <c r="S157" s="68"/>
      <c r="T157" s="68"/>
      <c r="U157" s="68"/>
      <c r="V157" s="68"/>
      <c r="W157" s="69"/>
      <c r="X157" s="67"/>
      <c r="Y157" s="68"/>
      <c r="Z157" s="68"/>
      <c r="AA157" s="68"/>
      <c r="AB157" s="68"/>
      <c r="AC157" s="68"/>
      <c r="AD157" s="69"/>
      <c r="AE157" s="70"/>
      <c r="AF157" s="71"/>
      <c r="AG157" s="71"/>
      <c r="AH157" s="71"/>
      <c r="AI157" s="71"/>
      <c r="AJ157" s="71"/>
      <c r="AK157" s="72"/>
      <c r="AL157" s="70"/>
      <c r="AM157" s="71"/>
      <c r="AN157" s="71"/>
      <c r="AO157" s="71"/>
      <c r="AP157" s="71"/>
      <c r="AQ157" s="71"/>
      <c r="AR157" s="72"/>
      <c r="AS157" s="67"/>
      <c r="AT157" s="68"/>
      <c r="AU157" s="68"/>
      <c r="AV157" s="68"/>
      <c r="AW157" s="68"/>
      <c r="AX157" s="68"/>
      <c r="AY157" s="69"/>
      <c r="AZ157" s="67"/>
      <c r="BA157" s="68"/>
      <c r="BB157" s="68"/>
      <c r="BC157" s="68"/>
      <c r="BD157" s="68"/>
      <c r="BE157" s="68"/>
      <c r="BF157" s="69"/>
      <c r="BG157" s="70"/>
      <c r="BH157" s="71"/>
      <c r="BI157" s="71"/>
      <c r="BJ157" s="71"/>
      <c r="BK157" s="71"/>
      <c r="BL157" s="71"/>
      <c r="BM157" s="72"/>
      <c r="BN157" s="70"/>
      <c r="BO157" s="71"/>
      <c r="BP157" s="71"/>
      <c r="BQ157" s="71"/>
      <c r="BR157" s="71"/>
      <c r="BS157" s="71"/>
      <c r="BT157" s="72"/>
      <c r="BU157" s="59"/>
      <c r="BV157" s="59"/>
      <c r="BW157" s="59"/>
      <c r="BX157" s="59"/>
      <c r="BY157" s="59"/>
      <c r="BZ157" s="59"/>
      <c r="CA157" s="59"/>
    </row>
    <row r="158" spans="1:79">
      <c r="A158" s="59"/>
      <c r="B158" s="44" t="str">
        <f t="shared" si="4"/>
        <v/>
      </c>
      <c r="C158" s="70"/>
      <c r="D158" s="71"/>
      <c r="E158" s="71"/>
      <c r="F158" s="71"/>
      <c r="G158" s="71"/>
      <c r="H158" s="71"/>
      <c r="I158" s="72"/>
      <c r="J158" s="70"/>
      <c r="K158" s="71"/>
      <c r="L158" s="71"/>
      <c r="M158" s="71"/>
      <c r="N158" s="71"/>
      <c r="O158" s="71"/>
      <c r="P158" s="72"/>
      <c r="Q158" s="67"/>
      <c r="R158" s="68"/>
      <c r="S158" s="68"/>
      <c r="T158" s="68"/>
      <c r="U158" s="68"/>
      <c r="V158" s="68"/>
      <c r="W158" s="69"/>
      <c r="X158" s="67"/>
      <c r="Y158" s="68"/>
      <c r="Z158" s="68"/>
      <c r="AA158" s="68"/>
      <c r="AB158" s="68"/>
      <c r="AC158" s="68"/>
      <c r="AD158" s="69"/>
      <c r="AE158" s="70"/>
      <c r="AF158" s="71"/>
      <c r="AG158" s="71"/>
      <c r="AH158" s="71"/>
      <c r="AI158" s="71"/>
      <c r="AJ158" s="71"/>
      <c r="AK158" s="72"/>
      <c r="AL158" s="70"/>
      <c r="AM158" s="71"/>
      <c r="AN158" s="71"/>
      <c r="AO158" s="71"/>
      <c r="AP158" s="71"/>
      <c r="AQ158" s="71"/>
      <c r="AR158" s="72"/>
      <c r="AS158" s="67"/>
      <c r="AT158" s="68"/>
      <c r="AU158" s="68"/>
      <c r="AV158" s="68"/>
      <c r="AW158" s="68"/>
      <c r="AX158" s="68"/>
      <c r="AY158" s="69"/>
      <c r="AZ158" s="67"/>
      <c r="BA158" s="68"/>
      <c r="BB158" s="68"/>
      <c r="BC158" s="68"/>
      <c r="BD158" s="68"/>
      <c r="BE158" s="68"/>
      <c r="BF158" s="69"/>
      <c r="BG158" s="70"/>
      <c r="BH158" s="71"/>
      <c r="BI158" s="71"/>
      <c r="BJ158" s="71"/>
      <c r="BK158" s="71"/>
      <c r="BL158" s="71"/>
      <c r="BM158" s="72"/>
      <c r="BN158" s="70"/>
      <c r="BO158" s="71"/>
      <c r="BP158" s="71"/>
      <c r="BQ158" s="71"/>
      <c r="BR158" s="71"/>
      <c r="BS158" s="71"/>
      <c r="BT158" s="72"/>
      <c r="BU158" s="59"/>
      <c r="BV158" s="59"/>
      <c r="BW158" s="59"/>
      <c r="BX158" s="59"/>
      <c r="BY158" s="59"/>
      <c r="BZ158" s="59"/>
      <c r="CA158" s="59"/>
    </row>
    <row r="159" spans="1:79">
      <c r="A159" s="59"/>
      <c r="B159" s="44" t="str">
        <f t="shared" si="4"/>
        <v/>
      </c>
      <c r="C159" s="70"/>
      <c r="D159" s="71"/>
      <c r="E159" s="71"/>
      <c r="F159" s="71"/>
      <c r="G159" s="71"/>
      <c r="H159" s="71"/>
      <c r="I159" s="72"/>
      <c r="J159" s="70"/>
      <c r="K159" s="71"/>
      <c r="L159" s="71"/>
      <c r="M159" s="71"/>
      <c r="N159" s="71"/>
      <c r="O159" s="71"/>
      <c r="P159" s="72"/>
      <c r="Q159" s="67"/>
      <c r="R159" s="68"/>
      <c r="S159" s="68"/>
      <c r="T159" s="68"/>
      <c r="U159" s="68"/>
      <c r="V159" s="68"/>
      <c r="W159" s="69"/>
      <c r="X159" s="67"/>
      <c r="Y159" s="68"/>
      <c r="Z159" s="68"/>
      <c r="AA159" s="68"/>
      <c r="AB159" s="68"/>
      <c r="AC159" s="68"/>
      <c r="AD159" s="69"/>
      <c r="AE159" s="70"/>
      <c r="AF159" s="71"/>
      <c r="AG159" s="71"/>
      <c r="AH159" s="71"/>
      <c r="AI159" s="71"/>
      <c r="AJ159" s="71"/>
      <c r="AK159" s="72"/>
      <c r="AL159" s="70"/>
      <c r="AM159" s="71"/>
      <c r="AN159" s="71"/>
      <c r="AO159" s="71"/>
      <c r="AP159" s="71"/>
      <c r="AQ159" s="71"/>
      <c r="AR159" s="72"/>
      <c r="AS159" s="67"/>
      <c r="AT159" s="68"/>
      <c r="AU159" s="68"/>
      <c r="AV159" s="68"/>
      <c r="AW159" s="68"/>
      <c r="AX159" s="68"/>
      <c r="AY159" s="69"/>
      <c r="AZ159" s="67"/>
      <c r="BA159" s="68"/>
      <c r="BB159" s="68"/>
      <c r="BC159" s="68"/>
      <c r="BD159" s="68"/>
      <c r="BE159" s="68"/>
      <c r="BF159" s="69"/>
      <c r="BG159" s="70"/>
      <c r="BH159" s="71"/>
      <c r="BI159" s="71"/>
      <c r="BJ159" s="71"/>
      <c r="BK159" s="71"/>
      <c r="BL159" s="71"/>
      <c r="BM159" s="72"/>
      <c r="BN159" s="70"/>
      <c r="BO159" s="71"/>
      <c r="BP159" s="71"/>
      <c r="BQ159" s="71"/>
      <c r="BR159" s="71"/>
      <c r="BS159" s="71"/>
      <c r="BT159" s="72"/>
      <c r="BU159" s="59"/>
      <c r="BV159" s="59"/>
      <c r="BW159" s="59"/>
      <c r="BX159" s="59"/>
      <c r="BY159" s="59"/>
      <c r="BZ159" s="59"/>
      <c r="CA159" s="59"/>
    </row>
    <row r="160" spans="1:79">
      <c r="A160" s="59"/>
      <c r="B160" s="44" t="str">
        <f t="shared" si="4"/>
        <v/>
      </c>
      <c r="C160" s="70"/>
      <c r="D160" s="71"/>
      <c r="E160" s="71"/>
      <c r="F160" s="71"/>
      <c r="G160" s="71"/>
      <c r="H160" s="71"/>
      <c r="I160" s="72"/>
      <c r="J160" s="70"/>
      <c r="K160" s="71"/>
      <c r="L160" s="71"/>
      <c r="M160" s="71"/>
      <c r="N160" s="71"/>
      <c r="O160" s="71"/>
      <c r="P160" s="72"/>
      <c r="Q160" s="67"/>
      <c r="R160" s="68"/>
      <c r="S160" s="68"/>
      <c r="T160" s="68"/>
      <c r="U160" s="68"/>
      <c r="V160" s="68"/>
      <c r="W160" s="69"/>
      <c r="X160" s="67"/>
      <c r="Y160" s="68"/>
      <c r="Z160" s="68"/>
      <c r="AA160" s="68"/>
      <c r="AB160" s="68"/>
      <c r="AC160" s="68"/>
      <c r="AD160" s="69"/>
      <c r="AE160" s="70"/>
      <c r="AF160" s="71"/>
      <c r="AG160" s="71"/>
      <c r="AH160" s="71"/>
      <c r="AI160" s="71"/>
      <c r="AJ160" s="71"/>
      <c r="AK160" s="72"/>
      <c r="AL160" s="70"/>
      <c r="AM160" s="71"/>
      <c r="AN160" s="71"/>
      <c r="AO160" s="71"/>
      <c r="AP160" s="71"/>
      <c r="AQ160" s="71"/>
      <c r="AR160" s="72"/>
      <c r="AS160" s="67"/>
      <c r="AT160" s="68"/>
      <c r="AU160" s="68"/>
      <c r="AV160" s="68"/>
      <c r="AW160" s="68"/>
      <c r="AX160" s="68"/>
      <c r="AY160" s="69"/>
      <c r="AZ160" s="67"/>
      <c r="BA160" s="68"/>
      <c r="BB160" s="68"/>
      <c r="BC160" s="68"/>
      <c r="BD160" s="68"/>
      <c r="BE160" s="68"/>
      <c r="BF160" s="69"/>
      <c r="BG160" s="70"/>
      <c r="BH160" s="71"/>
      <c r="BI160" s="71"/>
      <c r="BJ160" s="71"/>
      <c r="BK160" s="71"/>
      <c r="BL160" s="71"/>
      <c r="BM160" s="72"/>
      <c r="BN160" s="70"/>
      <c r="BO160" s="71"/>
      <c r="BP160" s="71"/>
      <c r="BQ160" s="71"/>
      <c r="BR160" s="71"/>
      <c r="BS160" s="71"/>
      <c r="BT160" s="72"/>
      <c r="BU160" s="59"/>
      <c r="BV160" s="59"/>
      <c r="BW160" s="59"/>
      <c r="BX160" s="59"/>
      <c r="BY160" s="59"/>
      <c r="BZ160" s="59"/>
      <c r="CA160" s="59"/>
    </row>
    <row r="161" spans="1:79">
      <c r="A161" s="59"/>
      <c r="B161" s="44" t="str">
        <f t="shared" si="4"/>
        <v/>
      </c>
      <c r="C161" s="70"/>
      <c r="D161" s="71"/>
      <c r="E161" s="71"/>
      <c r="F161" s="71"/>
      <c r="G161" s="71"/>
      <c r="H161" s="71"/>
      <c r="I161" s="72"/>
      <c r="J161" s="70"/>
      <c r="K161" s="71"/>
      <c r="L161" s="71"/>
      <c r="M161" s="71"/>
      <c r="N161" s="71"/>
      <c r="O161" s="71"/>
      <c r="P161" s="72"/>
      <c r="Q161" s="67"/>
      <c r="R161" s="68"/>
      <c r="S161" s="68"/>
      <c r="T161" s="68"/>
      <c r="U161" s="68"/>
      <c r="V161" s="68"/>
      <c r="W161" s="69"/>
      <c r="X161" s="67"/>
      <c r="Y161" s="68"/>
      <c r="Z161" s="68"/>
      <c r="AA161" s="68"/>
      <c r="AB161" s="68"/>
      <c r="AC161" s="68"/>
      <c r="AD161" s="69"/>
      <c r="AE161" s="70"/>
      <c r="AF161" s="71"/>
      <c r="AG161" s="71"/>
      <c r="AH161" s="71"/>
      <c r="AI161" s="71"/>
      <c r="AJ161" s="71"/>
      <c r="AK161" s="72"/>
      <c r="AL161" s="70"/>
      <c r="AM161" s="71"/>
      <c r="AN161" s="71"/>
      <c r="AO161" s="71"/>
      <c r="AP161" s="71"/>
      <c r="AQ161" s="71"/>
      <c r="AR161" s="72"/>
      <c r="AS161" s="67"/>
      <c r="AT161" s="68"/>
      <c r="AU161" s="68"/>
      <c r="AV161" s="68"/>
      <c r="AW161" s="68"/>
      <c r="AX161" s="68"/>
      <c r="AY161" s="69"/>
      <c r="AZ161" s="67"/>
      <c r="BA161" s="68"/>
      <c r="BB161" s="68"/>
      <c r="BC161" s="68"/>
      <c r="BD161" s="68"/>
      <c r="BE161" s="68"/>
      <c r="BF161" s="69"/>
      <c r="BG161" s="70"/>
      <c r="BH161" s="71"/>
      <c r="BI161" s="71"/>
      <c r="BJ161" s="71"/>
      <c r="BK161" s="71"/>
      <c r="BL161" s="71"/>
      <c r="BM161" s="72"/>
      <c r="BN161" s="70"/>
      <c r="BO161" s="71"/>
      <c r="BP161" s="71"/>
      <c r="BQ161" s="71"/>
      <c r="BR161" s="71"/>
      <c r="BS161" s="71"/>
      <c r="BT161" s="72"/>
      <c r="BU161" s="59"/>
      <c r="BV161" s="59"/>
      <c r="BW161" s="59"/>
      <c r="BX161" s="59"/>
      <c r="BY161" s="59"/>
      <c r="BZ161" s="59"/>
      <c r="CA161" s="59"/>
    </row>
    <row r="162" spans="1:79">
      <c r="A162" s="59"/>
      <c r="B162" s="44" t="str">
        <f t="shared" si="4"/>
        <v/>
      </c>
      <c r="C162" s="70"/>
      <c r="D162" s="71"/>
      <c r="E162" s="71"/>
      <c r="F162" s="71"/>
      <c r="G162" s="71"/>
      <c r="H162" s="71"/>
      <c r="I162" s="72"/>
      <c r="J162" s="70"/>
      <c r="K162" s="71"/>
      <c r="L162" s="71"/>
      <c r="M162" s="71"/>
      <c r="N162" s="71"/>
      <c r="O162" s="71"/>
      <c r="P162" s="72"/>
      <c r="Q162" s="67"/>
      <c r="R162" s="68"/>
      <c r="S162" s="68"/>
      <c r="T162" s="68"/>
      <c r="U162" s="68"/>
      <c r="V162" s="68"/>
      <c r="W162" s="69"/>
      <c r="X162" s="67"/>
      <c r="Y162" s="68"/>
      <c r="Z162" s="68"/>
      <c r="AA162" s="68"/>
      <c r="AB162" s="68"/>
      <c r="AC162" s="68"/>
      <c r="AD162" s="69"/>
      <c r="AE162" s="70"/>
      <c r="AF162" s="71"/>
      <c r="AG162" s="71"/>
      <c r="AH162" s="71"/>
      <c r="AI162" s="71"/>
      <c r="AJ162" s="71"/>
      <c r="AK162" s="72"/>
      <c r="AL162" s="70"/>
      <c r="AM162" s="71"/>
      <c r="AN162" s="71"/>
      <c r="AO162" s="71"/>
      <c r="AP162" s="71"/>
      <c r="AQ162" s="71"/>
      <c r="AR162" s="72"/>
      <c r="AS162" s="67"/>
      <c r="AT162" s="68"/>
      <c r="AU162" s="68"/>
      <c r="AV162" s="68"/>
      <c r="AW162" s="68"/>
      <c r="AX162" s="68"/>
      <c r="AY162" s="69"/>
      <c r="AZ162" s="67"/>
      <c r="BA162" s="68"/>
      <c r="BB162" s="68"/>
      <c r="BC162" s="68"/>
      <c r="BD162" s="68"/>
      <c r="BE162" s="68"/>
      <c r="BF162" s="69"/>
      <c r="BG162" s="70"/>
      <c r="BH162" s="71"/>
      <c r="BI162" s="71"/>
      <c r="BJ162" s="71"/>
      <c r="BK162" s="71"/>
      <c r="BL162" s="71"/>
      <c r="BM162" s="72"/>
      <c r="BN162" s="70"/>
      <c r="BO162" s="71"/>
      <c r="BP162" s="71"/>
      <c r="BQ162" s="71"/>
      <c r="BR162" s="71"/>
      <c r="BS162" s="71"/>
      <c r="BT162" s="72"/>
      <c r="BU162" s="59"/>
      <c r="BV162" s="59"/>
      <c r="BW162" s="59"/>
      <c r="BX162" s="59"/>
      <c r="BY162" s="59"/>
      <c r="BZ162" s="59"/>
      <c r="CA162" s="59"/>
    </row>
    <row r="163" spans="1:79">
      <c r="A163" s="59"/>
      <c r="B163" s="44" t="str">
        <f t="shared" si="4"/>
        <v/>
      </c>
      <c r="C163" s="70"/>
      <c r="D163" s="71"/>
      <c r="E163" s="71"/>
      <c r="F163" s="71"/>
      <c r="G163" s="71"/>
      <c r="H163" s="71"/>
      <c r="I163" s="72"/>
      <c r="J163" s="70"/>
      <c r="K163" s="71"/>
      <c r="L163" s="71"/>
      <c r="M163" s="71"/>
      <c r="N163" s="71"/>
      <c r="O163" s="71"/>
      <c r="P163" s="72"/>
      <c r="Q163" s="67"/>
      <c r="R163" s="68"/>
      <c r="S163" s="68"/>
      <c r="T163" s="68"/>
      <c r="U163" s="68"/>
      <c r="V163" s="68"/>
      <c r="W163" s="69"/>
      <c r="X163" s="67"/>
      <c r="Y163" s="68"/>
      <c r="Z163" s="68"/>
      <c r="AA163" s="68"/>
      <c r="AB163" s="68"/>
      <c r="AC163" s="68"/>
      <c r="AD163" s="69"/>
      <c r="AE163" s="70"/>
      <c r="AF163" s="71"/>
      <c r="AG163" s="71"/>
      <c r="AH163" s="71"/>
      <c r="AI163" s="71"/>
      <c r="AJ163" s="71"/>
      <c r="AK163" s="72"/>
      <c r="AL163" s="70"/>
      <c r="AM163" s="71"/>
      <c r="AN163" s="71"/>
      <c r="AO163" s="71"/>
      <c r="AP163" s="71"/>
      <c r="AQ163" s="71"/>
      <c r="AR163" s="72"/>
      <c r="AS163" s="67"/>
      <c r="AT163" s="68"/>
      <c r="AU163" s="68"/>
      <c r="AV163" s="68"/>
      <c r="AW163" s="68"/>
      <c r="AX163" s="68"/>
      <c r="AY163" s="69"/>
      <c r="AZ163" s="67"/>
      <c r="BA163" s="68"/>
      <c r="BB163" s="68"/>
      <c r="BC163" s="68"/>
      <c r="BD163" s="68"/>
      <c r="BE163" s="68"/>
      <c r="BF163" s="69"/>
      <c r="BG163" s="70"/>
      <c r="BH163" s="71"/>
      <c r="BI163" s="71"/>
      <c r="BJ163" s="71"/>
      <c r="BK163" s="71"/>
      <c r="BL163" s="71"/>
      <c r="BM163" s="72"/>
      <c r="BN163" s="70"/>
      <c r="BO163" s="71"/>
      <c r="BP163" s="71"/>
      <c r="BQ163" s="71"/>
      <c r="BR163" s="71"/>
      <c r="BS163" s="71"/>
      <c r="BT163" s="72"/>
      <c r="BU163" s="59"/>
      <c r="BV163" s="59"/>
      <c r="BW163" s="59"/>
      <c r="BX163" s="59"/>
      <c r="BY163" s="59"/>
      <c r="BZ163" s="59"/>
      <c r="CA163" s="59"/>
    </row>
    <row r="164" spans="1:79">
      <c r="A164" s="59"/>
      <c r="B164" s="44" t="str">
        <f t="shared" si="4"/>
        <v/>
      </c>
      <c r="C164" s="70"/>
      <c r="D164" s="71"/>
      <c r="E164" s="71"/>
      <c r="F164" s="71"/>
      <c r="G164" s="71"/>
      <c r="H164" s="71"/>
      <c r="I164" s="72"/>
      <c r="J164" s="70"/>
      <c r="K164" s="71"/>
      <c r="L164" s="71"/>
      <c r="M164" s="71"/>
      <c r="N164" s="71"/>
      <c r="O164" s="71"/>
      <c r="P164" s="72"/>
      <c r="Q164" s="67"/>
      <c r="R164" s="68"/>
      <c r="S164" s="68"/>
      <c r="T164" s="68"/>
      <c r="U164" s="68"/>
      <c r="V164" s="68"/>
      <c r="W164" s="69"/>
      <c r="X164" s="67"/>
      <c r="Y164" s="68"/>
      <c r="Z164" s="68"/>
      <c r="AA164" s="68"/>
      <c r="AB164" s="68"/>
      <c r="AC164" s="68"/>
      <c r="AD164" s="69"/>
      <c r="AE164" s="70"/>
      <c r="AF164" s="71"/>
      <c r="AG164" s="71"/>
      <c r="AH164" s="71"/>
      <c r="AI164" s="71"/>
      <c r="AJ164" s="71"/>
      <c r="AK164" s="72"/>
      <c r="AL164" s="70"/>
      <c r="AM164" s="71"/>
      <c r="AN164" s="71"/>
      <c r="AO164" s="71"/>
      <c r="AP164" s="71"/>
      <c r="AQ164" s="71"/>
      <c r="AR164" s="72"/>
      <c r="AS164" s="67"/>
      <c r="AT164" s="68"/>
      <c r="AU164" s="68"/>
      <c r="AV164" s="68"/>
      <c r="AW164" s="68"/>
      <c r="AX164" s="68"/>
      <c r="AY164" s="69"/>
      <c r="AZ164" s="67"/>
      <c r="BA164" s="68"/>
      <c r="BB164" s="68"/>
      <c r="BC164" s="68"/>
      <c r="BD164" s="68"/>
      <c r="BE164" s="68"/>
      <c r="BF164" s="69"/>
      <c r="BG164" s="70"/>
      <c r="BH164" s="71"/>
      <c r="BI164" s="71"/>
      <c r="BJ164" s="71"/>
      <c r="BK164" s="71"/>
      <c r="BL164" s="71"/>
      <c r="BM164" s="72"/>
      <c r="BN164" s="70"/>
      <c r="BO164" s="71"/>
      <c r="BP164" s="71"/>
      <c r="BQ164" s="71"/>
      <c r="BR164" s="71"/>
      <c r="BS164" s="71"/>
      <c r="BT164" s="72"/>
      <c r="BU164" s="59"/>
      <c r="BV164" s="59"/>
      <c r="BW164" s="59"/>
      <c r="BX164" s="59"/>
      <c r="BY164" s="59"/>
      <c r="BZ164" s="59"/>
      <c r="CA164" s="59"/>
    </row>
    <row r="165" spans="1:79">
      <c r="A165" s="59"/>
      <c r="B165" s="44" t="str">
        <f t="shared" si="4"/>
        <v/>
      </c>
      <c r="C165" s="70"/>
      <c r="D165" s="71"/>
      <c r="E165" s="71"/>
      <c r="F165" s="71"/>
      <c r="G165" s="71"/>
      <c r="H165" s="71"/>
      <c r="I165" s="72"/>
      <c r="J165" s="70"/>
      <c r="K165" s="71"/>
      <c r="L165" s="71"/>
      <c r="M165" s="71"/>
      <c r="N165" s="71"/>
      <c r="O165" s="71"/>
      <c r="P165" s="72"/>
      <c r="Q165" s="67"/>
      <c r="R165" s="68"/>
      <c r="S165" s="68"/>
      <c r="T165" s="68"/>
      <c r="U165" s="68"/>
      <c r="V165" s="68"/>
      <c r="W165" s="69"/>
      <c r="X165" s="67"/>
      <c r="Y165" s="68"/>
      <c r="Z165" s="68"/>
      <c r="AA165" s="68"/>
      <c r="AB165" s="68"/>
      <c r="AC165" s="68"/>
      <c r="AD165" s="69"/>
      <c r="AE165" s="70"/>
      <c r="AF165" s="71"/>
      <c r="AG165" s="71"/>
      <c r="AH165" s="71"/>
      <c r="AI165" s="71"/>
      <c r="AJ165" s="71"/>
      <c r="AK165" s="72"/>
      <c r="AL165" s="70"/>
      <c r="AM165" s="71"/>
      <c r="AN165" s="71"/>
      <c r="AO165" s="71"/>
      <c r="AP165" s="71"/>
      <c r="AQ165" s="71"/>
      <c r="AR165" s="72"/>
      <c r="AS165" s="67"/>
      <c r="AT165" s="68"/>
      <c r="AU165" s="68"/>
      <c r="AV165" s="68"/>
      <c r="AW165" s="68"/>
      <c r="AX165" s="68"/>
      <c r="AY165" s="69"/>
      <c r="AZ165" s="67"/>
      <c r="BA165" s="68"/>
      <c r="BB165" s="68"/>
      <c r="BC165" s="68"/>
      <c r="BD165" s="68"/>
      <c r="BE165" s="68"/>
      <c r="BF165" s="69"/>
      <c r="BG165" s="70"/>
      <c r="BH165" s="71"/>
      <c r="BI165" s="71"/>
      <c r="BJ165" s="71"/>
      <c r="BK165" s="71"/>
      <c r="BL165" s="71"/>
      <c r="BM165" s="72"/>
      <c r="BN165" s="70"/>
      <c r="BO165" s="71"/>
      <c r="BP165" s="71"/>
      <c r="BQ165" s="71"/>
      <c r="BR165" s="71"/>
      <c r="BS165" s="71"/>
      <c r="BT165" s="72"/>
      <c r="BU165" s="59"/>
      <c r="BV165" s="59"/>
      <c r="BW165" s="59"/>
      <c r="BX165" s="59"/>
      <c r="BY165" s="59"/>
      <c r="BZ165" s="59"/>
      <c r="CA165" s="59"/>
    </row>
    <row r="166" spans="1:79">
      <c r="A166" s="59"/>
      <c r="B166" s="44" t="str">
        <f t="shared" si="4"/>
        <v/>
      </c>
      <c r="C166" s="70"/>
      <c r="D166" s="71"/>
      <c r="E166" s="71"/>
      <c r="F166" s="71"/>
      <c r="G166" s="71"/>
      <c r="H166" s="71"/>
      <c r="I166" s="72"/>
      <c r="J166" s="70"/>
      <c r="K166" s="71"/>
      <c r="L166" s="71"/>
      <c r="M166" s="71"/>
      <c r="N166" s="71"/>
      <c r="O166" s="71"/>
      <c r="P166" s="72"/>
      <c r="Q166" s="67"/>
      <c r="R166" s="68"/>
      <c r="S166" s="68"/>
      <c r="T166" s="68"/>
      <c r="U166" s="68"/>
      <c r="V166" s="68"/>
      <c r="W166" s="69"/>
      <c r="X166" s="67"/>
      <c r="Y166" s="68"/>
      <c r="Z166" s="68"/>
      <c r="AA166" s="68"/>
      <c r="AB166" s="68"/>
      <c r="AC166" s="68"/>
      <c r="AD166" s="69"/>
      <c r="AE166" s="70"/>
      <c r="AF166" s="71"/>
      <c r="AG166" s="71"/>
      <c r="AH166" s="71"/>
      <c r="AI166" s="71"/>
      <c r="AJ166" s="71"/>
      <c r="AK166" s="72"/>
      <c r="AL166" s="70"/>
      <c r="AM166" s="71"/>
      <c r="AN166" s="71"/>
      <c r="AO166" s="71"/>
      <c r="AP166" s="71"/>
      <c r="AQ166" s="71"/>
      <c r="AR166" s="72"/>
      <c r="AS166" s="67"/>
      <c r="AT166" s="68"/>
      <c r="AU166" s="68"/>
      <c r="AV166" s="68"/>
      <c r="AW166" s="68"/>
      <c r="AX166" s="68"/>
      <c r="AY166" s="69"/>
      <c r="AZ166" s="67"/>
      <c r="BA166" s="68"/>
      <c r="BB166" s="68"/>
      <c r="BC166" s="68"/>
      <c r="BD166" s="68"/>
      <c r="BE166" s="68"/>
      <c r="BF166" s="69"/>
      <c r="BG166" s="70"/>
      <c r="BH166" s="71"/>
      <c r="BI166" s="71"/>
      <c r="BJ166" s="71"/>
      <c r="BK166" s="71"/>
      <c r="BL166" s="71"/>
      <c r="BM166" s="72"/>
      <c r="BN166" s="70"/>
      <c r="BO166" s="71"/>
      <c r="BP166" s="71"/>
      <c r="BQ166" s="71"/>
      <c r="BR166" s="71"/>
      <c r="BS166" s="71"/>
      <c r="BT166" s="72"/>
      <c r="BU166" s="59"/>
      <c r="BV166" s="59"/>
      <c r="BW166" s="59"/>
      <c r="BX166" s="59"/>
      <c r="BY166" s="59"/>
      <c r="BZ166" s="59"/>
      <c r="CA166" s="59"/>
    </row>
    <row r="167" spans="1:79">
      <c r="A167" s="59"/>
      <c r="B167" s="44" t="str">
        <f t="shared" si="4"/>
        <v/>
      </c>
      <c r="C167" s="70"/>
      <c r="D167" s="71"/>
      <c r="E167" s="71"/>
      <c r="F167" s="71"/>
      <c r="G167" s="71"/>
      <c r="H167" s="71"/>
      <c r="I167" s="72"/>
      <c r="J167" s="70"/>
      <c r="K167" s="71"/>
      <c r="L167" s="71"/>
      <c r="M167" s="71"/>
      <c r="N167" s="71"/>
      <c r="O167" s="71"/>
      <c r="P167" s="72"/>
      <c r="Q167" s="67"/>
      <c r="R167" s="68"/>
      <c r="S167" s="68"/>
      <c r="T167" s="68"/>
      <c r="U167" s="68"/>
      <c r="V167" s="68"/>
      <c r="W167" s="69"/>
      <c r="X167" s="67"/>
      <c r="Y167" s="68"/>
      <c r="Z167" s="68"/>
      <c r="AA167" s="68"/>
      <c r="AB167" s="68"/>
      <c r="AC167" s="68"/>
      <c r="AD167" s="69"/>
      <c r="AE167" s="70"/>
      <c r="AF167" s="71"/>
      <c r="AG167" s="71"/>
      <c r="AH167" s="71"/>
      <c r="AI167" s="71"/>
      <c r="AJ167" s="71"/>
      <c r="AK167" s="72"/>
      <c r="AL167" s="70"/>
      <c r="AM167" s="71"/>
      <c r="AN167" s="71"/>
      <c r="AO167" s="71"/>
      <c r="AP167" s="71"/>
      <c r="AQ167" s="71"/>
      <c r="AR167" s="72"/>
      <c r="AS167" s="67"/>
      <c r="AT167" s="68"/>
      <c r="AU167" s="68"/>
      <c r="AV167" s="68"/>
      <c r="AW167" s="68"/>
      <c r="AX167" s="68"/>
      <c r="AY167" s="69"/>
      <c r="AZ167" s="67"/>
      <c r="BA167" s="68"/>
      <c r="BB167" s="68"/>
      <c r="BC167" s="68"/>
      <c r="BD167" s="68"/>
      <c r="BE167" s="68"/>
      <c r="BF167" s="69"/>
      <c r="BG167" s="70"/>
      <c r="BH167" s="71"/>
      <c r="BI167" s="71"/>
      <c r="BJ167" s="71"/>
      <c r="BK167" s="71"/>
      <c r="BL167" s="71"/>
      <c r="BM167" s="72"/>
      <c r="BN167" s="70"/>
      <c r="BO167" s="71"/>
      <c r="BP167" s="71"/>
      <c r="BQ167" s="71"/>
      <c r="BR167" s="71"/>
      <c r="BS167" s="71"/>
      <c r="BT167" s="72"/>
      <c r="BU167" s="59"/>
      <c r="BV167" s="59"/>
      <c r="BW167" s="59"/>
      <c r="BX167" s="59"/>
      <c r="BY167" s="59"/>
      <c r="BZ167" s="59"/>
      <c r="CA167" s="59"/>
    </row>
    <row r="168" spans="1:79">
      <c r="A168" s="59"/>
      <c r="B168" s="44" t="str">
        <f t="shared" si="4"/>
        <v/>
      </c>
      <c r="C168" s="70"/>
      <c r="D168" s="71"/>
      <c r="E168" s="71"/>
      <c r="F168" s="71"/>
      <c r="G168" s="71"/>
      <c r="H168" s="71"/>
      <c r="I168" s="72"/>
      <c r="J168" s="70"/>
      <c r="K168" s="71"/>
      <c r="L168" s="71"/>
      <c r="M168" s="71"/>
      <c r="N168" s="71"/>
      <c r="O168" s="71"/>
      <c r="P168" s="72"/>
      <c r="Q168" s="67"/>
      <c r="R168" s="68"/>
      <c r="S168" s="68"/>
      <c r="T168" s="68"/>
      <c r="U168" s="68"/>
      <c r="V168" s="68"/>
      <c r="W168" s="69"/>
      <c r="X168" s="67"/>
      <c r="Y168" s="68"/>
      <c r="Z168" s="68"/>
      <c r="AA168" s="68"/>
      <c r="AB168" s="68"/>
      <c r="AC168" s="68"/>
      <c r="AD168" s="69"/>
      <c r="AE168" s="70"/>
      <c r="AF168" s="71"/>
      <c r="AG168" s="71"/>
      <c r="AH168" s="71"/>
      <c r="AI168" s="71"/>
      <c r="AJ168" s="71"/>
      <c r="AK168" s="72"/>
      <c r="AL168" s="70"/>
      <c r="AM168" s="71"/>
      <c r="AN168" s="71"/>
      <c r="AO168" s="71"/>
      <c r="AP168" s="71"/>
      <c r="AQ168" s="71"/>
      <c r="AR168" s="72"/>
      <c r="AS168" s="67"/>
      <c r="AT168" s="68"/>
      <c r="AU168" s="68"/>
      <c r="AV168" s="68"/>
      <c r="AW168" s="68"/>
      <c r="AX168" s="68"/>
      <c r="AY168" s="69"/>
      <c r="AZ168" s="67"/>
      <c r="BA168" s="68"/>
      <c r="BB168" s="68"/>
      <c r="BC168" s="68"/>
      <c r="BD168" s="68"/>
      <c r="BE168" s="68"/>
      <c r="BF168" s="69"/>
      <c r="BG168" s="70"/>
      <c r="BH168" s="71"/>
      <c r="BI168" s="71"/>
      <c r="BJ168" s="71"/>
      <c r="BK168" s="71"/>
      <c r="BL168" s="71"/>
      <c r="BM168" s="72"/>
      <c r="BN168" s="70"/>
      <c r="BO168" s="71"/>
      <c r="BP168" s="71"/>
      <c r="BQ168" s="71"/>
      <c r="BR168" s="71"/>
      <c r="BS168" s="71"/>
      <c r="BT168" s="72"/>
      <c r="BU168" s="59"/>
      <c r="BV168" s="59"/>
      <c r="BW168" s="59"/>
      <c r="BX168" s="59"/>
      <c r="BY168" s="59"/>
      <c r="BZ168" s="59"/>
      <c r="CA168" s="59"/>
    </row>
    <row r="169" spans="1:79">
      <c r="A169" s="59"/>
      <c r="B169" s="44" t="str">
        <f t="shared" si="4"/>
        <v/>
      </c>
      <c r="C169" s="70"/>
      <c r="D169" s="71"/>
      <c r="E169" s="71"/>
      <c r="F169" s="71"/>
      <c r="G169" s="71"/>
      <c r="H169" s="71"/>
      <c r="I169" s="72"/>
      <c r="J169" s="70"/>
      <c r="K169" s="71"/>
      <c r="L169" s="71"/>
      <c r="M169" s="71"/>
      <c r="N169" s="71"/>
      <c r="O169" s="71"/>
      <c r="P169" s="72"/>
      <c r="Q169" s="67"/>
      <c r="R169" s="68"/>
      <c r="S169" s="68"/>
      <c r="T169" s="68"/>
      <c r="U169" s="68"/>
      <c r="V169" s="68"/>
      <c r="W169" s="69"/>
      <c r="X169" s="67"/>
      <c r="Y169" s="68"/>
      <c r="Z169" s="68"/>
      <c r="AA169" s="68"/>
      <c r="AB169" s="68"/>
      <c r="AC169" s="68"/>
      <c r="AD169" s="69"/>
      <c r="AE169" s="70"/>
      <c r="AF169" s="71"/>
      <c r="AG169" s="71"/>
      <c r="AH169" s="71"/>
      <c r="AI169" s="71"/>
      <c r="AJ169" s="71"/>
      <c r="AK169" s="72"/>
      <c r="AL169" s="70"/>
      <c r="AM169" s="71"/>
      <c r="AN169" s="71"/>
      <c r="AO169" s="71"/>
      <c r="AP169" s="71"/>
      <c r="AQ169" s="71"/>
      <c r="AR169" s="72"/>
      <c r="AS169" s="67"/>
      <c r="AT169" s="68"/>
      <c r="AU169" s="68"/>
      <c r="AV169" s="68"/>
      <c r="AW169" s="68"/>
      <c r="AX169" s="68"/>
      <c r="AY169" s="69"/>
      <c r="AZ169" s="67"/>
      <c r="BA169" s="68"/>
      <c r="BB169" s="68"/>
      <c r="BC169" s="68"/>
      <c r="BD169" s="68"/>
      <c r="BE169" s="68"/>
      <c r="BF169" s="69"/>
      <c r="BG169" s="70"/>
      <c r="BH169" s="71"/>
      <c r="BI169" s="71"/>
      <c r="BJ169" s="71"/>
      <c r="BK169" s="71"/>
      <c r="BL169" s="71"/>
      <c r="BM169" s="72"/>
      <c r="BN169" s="70"/>
      <c r="BO169" s="71"/>
      <c r="BP169" s="71"/>
      <c r="BQ169" s="71"/>
      <c r="BR169" s="71"/>
      <c r="BS169" s="71"/>
      <c r="BT169" s="72"/>
      <c r="BU169" s="59"/>
      <c r="BV169" s="59"/>
      <c r="BW169" s="59"/>
      <c r="BX169" s="59"/>
      <c r="BY169" s="59"/>
      <c r="BZ169" s="59"/>
      <c r="CA169" s="59"/>
    </row>
    <row r="170" spans="1:79">
      <c r="A170" s="59"/>
      <c r="B170" s="44" t="str">
        <f t="shared" si="4"/>
        <v/>
      </c>
      <c r="C170" s="70"/>
      <c r="D170" s="71"/>
      <c r="E170" s="71"/>
      <c r="F170" s="71"/>
      <c r="G170" s="71"/>
      <c r="H170" s="71"/>
      <c r="I170" s="72"/>
      <c r="J170" s="70"/>
      <c r="K170" s="71"/>
      <c r="L170" s="71"/>
      <c r="M170" s="71"/>
      <c r="N170" s="71"/>
      <c r="O170" s="71"/>
      <c r="P170" s="72"/>
      <c r="Q170" s="67"/>
      <c r="R170" s="68"/>
      <c r="S170" s="68"/>
      <c r="T170" s="68"/>
      <c r="U170" s="68"/>
      <c r="V170" s="68"/>
      <c r="W170" s="69"/>
      <c r="X170" s="67"/>
      <c r="Y170" s="68"/>
      <c r="Z170" s="68"/>
      <c r="AA170" s="68"/>
      <c r="AB170" s="68"/>
      <c r="AC170" s="68"/>
      <c r="AD170" s="69"/>
      <c r="AE170" s="70"/>
      <c r="AF170" s="71"/>
      <c r="AG170" s="71"/>
      <c r="AH170" s="71"/>
      <c r="AI170" s="71"/>
      <c r="AJ170" s="71"/>
      <c r="AK170" s="72"/>
      <c r="AL170" s="70"/>
      <c r="AM170" s="71"/>
      <c r="AN170" s="71"/>
      <c r="AO170" s="71"/>
      <c r="AP170" s="71"/>
      <c r="AQ170" s="71"/>
      <c r="AR170" s="72"/>
      <c r="AS170" s="67"/>
      <c r="AT170" s="68"/>
      <c r="AU170" s="68"/>
      <c r="AV170" s="68"/>
      <c r="AW170" s="68"/>
      <c r="AX170" s="68"/>
      <c r="AY170" s="69"/>
      <c r="AZ170" s="67"/>
      <c r="BA170" s="68"/>
      <c r="BB170" s="68"/>
      <c r="BC170" s="68"/>
      <c r="BD170" s="68"/>
      <c r="BE170" s="68"/>
      <c r="BF170" s="69"/>
      <c r="BG170" s="70"/>
      <c r="BH170" s="71"/>
      <c r="BI170" s="71"/>
      <c r="BJ170" s="71"/>
      <c r="BK170" s="71"/>
      <c r="BL170" s="71"/>
      <c r="BM170" s="72"/>
      <c r="BN170" s="70"/>
      <c r="BO170" s="71"/>
      <c r="BP170" s="71"/>
      <c r="BQ170" s="71"/>
      <c r="BR170" s="71"/>
      <c r="BS170" s="71"/>
      <c r="BT170" s="72"/>
      <c r="BU170" s="59"/>
      <c r="BV170" s="59"/>
      <c r="BW170" s="59"/>
      <c r="BX170" s="59"/>
      <c r="BY170" s="59"/>
      <c r="BZ170" s="59"/>
      <c r="CA170" s="59"/>
    </row>
    <row r="171" spans="1:79">
      <c r="A171" s="59"/>
      <c r="B171" s="44" t="str">
        <f t="shared" ref="B171:B202" si="5">IF(Start_year+ROW(B171)-ROW($B$11)&gt;End_year,"",Start_year+ROW(B171)-ROW($B$11))</f>
        <v/>
      </c>
      <c r="C171" s="70"/>
      <c r="D171" s="71"/>
      <c r="E171" s="71"/>
      <c r="F171" s="71"/>
      <c r="G171" s="71"/>
      <c r="H171" s="71"/>
      <c r="I171" s="72"/>
      <c r="J171" s="70"/>
      <c r="K171" s="71"/>
      <c r="L171" s="71"/>
      <c r="M171" s="71"/>
      <c r="N171" s="71"/>
      <c r="O171" s="71"/>
      <c r="P171" s="72"/>
      <c r="Q171" s="67"/>
      <c r="R171" s="68"/>
      <c r="S171" s="68"/>
      <c r="T171" s="68"/>
      <c r="U171" s="68"/>
      <c r="V171" s="68"/>
      <c r="W171" s="69"/>
      <c r="X171" s="67"/>
      <c r="Y171" s="68"/>
      <c r="Z171" s="68"/>
      <c r="AA171" s="68"/>
      <c r="AB171" s="68"/>
      <c r="AC171" s="68"/>
      <c r="AD171" s="69"/>
      <c r="AE171" s="70"/>
      <c r="AF171" s="71"/>
      <c r="AG171" s="71"/>
      <c r="AH171" s="71"/>
      <c r="AI171" s="71"/>
      <c r="AJ171" s="71"/>
      <c r="AK171" s="72"/>
      <c r="AL171" s="70"/>
      <c r="AM171" s="71"/>
      <c r="AN171" s="71"/>
      <c r="AO171" s="71"/>
      <c r="AP171" s="71"/>
      <c r="AQ171" s="71"/>
      <c r="AR171" s="72"/>
      <c r="AS171" s="67"/>
      <c r="AT171" s="68"/>
      <c r="AU171" s="68"/>
      <c r="AV171" s="68"/>
      <c r="AW171" s="68"/>
      <c r="AX171" s="68"/>
      <c r="AY171" s="69"/>
      <c r="AZ171" s="67"/>
      <c r="BA171" s="68"/>
      <c r="BB171" s="68"/>
      <c r="BC171" s="68"/>
      <c r="BD171" s="68"/>
      <c r="BE171" s="68"/>
      <c r="BF171" s="69"/>
      <c r="BG171" s="70"/>
      <c r="BH171" s="71"/>
      <c r="BI171" s="71"/>
      <c r="BJ171" s="71"/>
      <c r="BK171" s="71"/>
      <c r="BL171" s="71"/>
      <c r="BM171" s="72"/>
      <c r="BN171" s="70"/>
      <c r="BO171" s="71"/>
      <c r="BP171" s="71"/>
      <c r="BQ171" s="71"/>
      <c r="BR171" s="71"/>
      <c r="BS171" s="71"/>
      <c r="BT171" s="72"/>
      <c r="BU171" s="59"/>
      <c r="BV171" s="59"/>
      <c r="BW171" s="59"/>
      <c r="BX171" s="59"/>
      <c r="BY171" s="59"/>
      <c r="BZ171" s="59"/>
      <c r="CA171" s="59"/>
    </row>
    <row r="172" spans="1:79">
      <c r="A172" s="59"/>
      <c r="B172" s="44" t="str">
        <f t="shared" si="5"/>
        <v/>
      </c>
      <c r="C172" s="70"/>
      <c r="D172" s="71"/>
      <c r="E172" s="71"/>
      <c r="F172" s="71"/>
      <c r="G172" s="71"/>
      <c r="H172" s="71"/>
      <c r="I172" s="72"/>
      <c r="J172" s="70"/>
      <c r="K172" s="71"/>
      <c r="L172" s="71"/>
      <c r="M172" s="71"/>
      <c r="N172" s="71"/>
      <c r="O172" s="71"/>
      <c r="P172" s="72"/>
      <c r="Q172" s="67"/>
      <c r="R172" s="68"/>
      <c r="S172" s="68"/>
      <c r="T172" s="68"/>
      <c r="U172" s="68"/>
      <c r="V172" s="68"/>
      <c r="W172" s="69"/>
      <c r="X172" s="67"/>
      <c r="Y172" s="68"/>
      <c r="Z172" s="68"/>
      <c r="AA172" s="68"/>
      <c r="AB172" s="68"/>
      <c r="AC172" s="68"/>
      <c r="AD172" s="69"/>
      <c r="AE172" s="70"/>
      <c r="AF172" s="71"/>
      <c r="AG172" s="71"/>
      <c r="AH172" s="71"/>
      <c r="AI172" s="71"/>
      <c r="AJ172" s="71"/>
      <c r="AK172" s="72"/>
      <c r="AL172" s="70"/>
      <c r="AM172" s="71"/>
      <c r="AN172" s="71"/>
      <c r="AO172" s="71"/>
      <c r="AP172" s="71"/>
      <c r="AQ172" s="71"/>
      <c r="AR172" s="72"/>
      <c r="AS172" s="67"/>
      <c r="AT172" s="68"/>
      <c r="AU172" s="68"/>
      <c r="AV172" s="68"/>
      <c r="AW172" s="68"/>
      <c r="AX172" s="68"/>
      <c r="AY172" s="69"/>
      <c r="AZ172" s="67"/>
      <c r="BA172" s="68"/>
      <c r="BB172" s="68"/>
      <c r="BC172" s="68"/>
      <c r="BD172" s="68"/>
      <c r="BE172" s="68"/>
      <c r="BF172" s="69"/>
      <c r="BG172" s="70"/>
      <c r="BH172" s="71"/>
      <c r="BI172" s="71"/>
      <c r="BJ172" s="71"/>
      <c r="BK172" s="71"/>
      <c r="BL172" s="71"/>
      <c r="BM172" s="72"/>
      <c r="BN172" s="70"/>
      <c r="BO172" s="71"/>
      <c r="BP172" s="71"/>
      <c r="BQ172" s="71"/>
      <c r="BR172" s="71"/>
      <c r="BS172" s="71"/>
      <c r="BT172" s="72"/>
      <c r="BU172" s="59"/>
      <c r="BV172" s="59"/>
      <c r="BW172" s="59"/>
      <c r="BX172" s="59"/>
      <c r="BY172" s="59"/>
      <c r="BZ172" s="59"/>
      <c r="CA172" s="59"/>
    </row>
    <row r="173" spans="1:79">
      <c r="A173" s="59"/>
      <c r="B173" s="44" t="str">
        <f t="shared" si="5"/>
        <v/>
      </c>
      <c r="C173" s="70"/>
      <c r="D173" s="71"/>
      <c r="E173" s="71"/>
      <c r="F173" s="71"/>
      <c r="G173" s="71"/>
      <c r="H173" s="71"/>
      <c r="I173" s="72"/>
      <c r="J173" s="70"/>
      <c r="K173" s="71"/>
      <c r="L173" s="71"/>
      <c r="M173" s="71"/>
      <c r="N173" s="71"/>
      <c r="O173" s="71"/>
      <c r="P173" s="72"/>
      <c r="Q173" s="67"/>
      <c r="R173" s="68"/>
      <c r="S173" s="68"/>
      <c r="T173" s="68"/>
      <c r="U173" s="68"/>
      <c r="V173" s="68"/>
      <c r="W173" s="69"/>
      <c r="X173" s="67"/>
      <c r="Y173" s="68"/>
      <c r="Z173" s="68"/>
      <c r="AA173" s="68"/>
      <c r="AB173" s="68"/>
      <c r="AC173" s="68"/>
      <c r="AD173" s="69"/>
      <c r="AE173" s="70"/>
      <c r="AF173" s="71"/>
      <c r="AG173" s="71"/>
      <c r="AH173" s="71"/>
      <c r="AI173" s="71"/>
      <c r="AJ173" s="71"/>
      <c r="AK173" s="72"/>
      <c r="AL173" s="70"/>
      <c r="AM173" s="71"/>
      <c r="AN173" s="71"/>
      <c r="AO173" s="71"/>
      <c r="AP173" s="71"/>
      <c r="AQ173" s="71"/>
      <c r="AR173" s="72"/>
      <c r="AS173" s="67"/>
      <c r="AT173" s="68"/>
      <c r="AU173" s="68"/>
      <c r="AV173" s="68"/>
      <c r="AW173" s="68"/>
      <c r="AX173" s="68"/>
      <c r="AY173" s="69"/>
      <c r="AZ173" s="67"/>
      <c r="BA173" s="68"/>
      <c r="BB173" s="68"/>
      <c r="BC173" s="68"/>
      <c r="BD173" s="68"/>
      <c r="BE173" s="68"/>
      <c r="BF173" s="69"/>
      <c r="BG173" s="70"/>
      <c r="BH173" s="71"/>
      <c r="BI173" s="71"/>
      <c r="BJ173" s="71"/>
      <c r="BK173" s="71"/>
      <c r="BL173" s="71"/>
      <c r="BM173" s="72"/>
      <c r="BN173" s="70"/>
      <c r="BO173" s="71"/>
      <c r="BP173" s="71"/>
      <c r="BQ173" s="71"/>
      <c r="BR173" s="71"/>
      <c r="BS173" s="71"/>
      <c r="BT173" s="72"/>
      <c r="BU173" s="59"/>
      <c r="BV173" s="59"/>
      <c r="BW173" s="59"/>
      <c r="BX173" s="59"/>
      <c r="BY173" s="59"/>
      <c r="BZ173" s="59"/>
      <c r="CA173" s="59"/>
    </row>
    <row r="174" spans="1:79">
      <c r="A174" s="59"/>
      <c r="B174" s="44" t="str">
        <f t="shared" si="5"/>
        <v/>
      </c>
      <c r="C174" s="70"/>
      <c r="D174" s="71"/>
      <c r="E174" s="71"/>
      <c r="F174" s="71"/>
      <c r="G174" s="71"/>
      <c r="H174" s="71"/>
      <c r="I174" s="72"/>
      <c r="J174" s="70"/>
      <c r="K174" s="71"/>
      <c r="L174" s="71"/>
      <c r="M174" s="71"/>
      <c r="N174" s="71"/>
      <c r="O174" s="71"/>
      <c r="P174" s="72"/>
      <c r="Q174" s="67"/>
      <c r="R174" s="68"/>
      <c r="S174" s="68"/>
      <c r="T174" s="68"/>
      <c r="U174" s="68"/>
      <c r="V174" s="68"/>
      <c r="W174" s="69"/>
      <c r="X174" s="67"/>
      <c r="Y174" s="68"/>
      <c r="Z174" s="68"/>
      <c r="AA174" s="68"/>
      <c r="AB174" s="68"/>
      <c r="AC174" s="68"/>
      <c r="AD174" s="69"/>
      <c r="AE174" s="70"/>
      <c r="AF174" s="71"/>
      <c r="AG174" s="71"/>
      <c r="AH174" s="71"/>
      <c r="AI174" s="71"/>
      <c r="AJ174" s="71"/>
      <c r="AK174" s="72"/>
      <c r="AL174" s="70"/>
      <c r="AM174" s="71"/>
      <c r="AN174" s="71"/>
      <c r="AO174" s="71"/>
      <c r="AP174" s="71"/>
      <c r="AQ174" s="71"/>
      <c r="AR174" s="72"/>
      <c r="AS174" s="67"/>
      <c r="AT174" s="68"/>
      <c r="AU174" s="68"/>
      <c r="AV174" s="68"/>
      <c r="AW174" s="68"/>
      <c r="AX174" s="68"/>
      <c r="AY174" s="69"/>
      <c r="AZ174" s="67"/>
      <c r="BA174" s="68"/>
      <c r="BB174" s="68"/>
      <c r="BC174" s="68"/>
      <c r="BD174" s="68"/>
      <c r="BE174" s="68"/>
      <c r="BF174" s="69"/>
      <c r="BG174" s="70"/>
      <c r="BH174" s="71"/>
      <c r="BI174" s="71"/>
      <c r="BJ174" s="71"/>
      <c r="BK174" s="71"/>
      <c r="BL174" s="71"/>
      <c r="BM174" s="72"/>
      <c r="BN174" s="70"/>
      <c r="BO174" s="71"/>
      <c r="BP174" s="71"/>
      <c r="BQ174" s="71"/>
      <c r="BR174" s="71"/>
      <c r="BS174" s="71"/>
      <c r="BT174" s="72"/>
      <c r="BU174" s="59"/>
      <c r="BV174" s="59"/>
      <c r="BW174" s="59"/>
      <c r="BX174" s="59"/>
      <c r="BY174" s="59"/>
      <c r="BZ174" s="59"/>
      <c r="CA174" s="59"/>
    </row>
    <row r="175" spans="1:79">
      <c r="A175" s="59"/>
      <c r="B175" s="44" t="str">
        <f t="shared" si="5"/>
        <v/>
      </c>
      <c r="C175" s="70"/>
      <c r="D175" s="71"/>
      <c r="E175" s="71"/>
      <c r="F175" s="71"/>
      <c r="G175" s="71"/>
      <c r="H175" s="71"/>
      <c r="I175" s="72"/>
      <c r="J175" s="70"/>
      <c r="K175" s="71"/>
      <c r="L175" s="71"/>
      <c r="M175" s="71"/>
      <c r="N175" s="71"/>
      <c r="O175" s="71"/>
      <c r="P175" s="72"/>
      <c r="Q175" s="67"/>
      <c r="R175" s="68"/>
      <c r="S175" s="68"/>
      <c r="T175" s="68"/>
      <c r="U175" s="68"/>
      <c r="V175" s="68"/>
      <c r="W175" s="69"/>
      <c r="X175" s="67"/>
      <c r="Y175" s="68"/>
      <c r="Z175" s="68"/>
      <c r="AA175" s="68"/>
      <c r="AB175" s="68"/>
      <c r="AC175" s="68"/>
      <c r="AD175" s="69"/>
      <c r="AE175" s="70"/>
      <c r="AF175" s="71"/>
      <c r="AG175" s="71"/>
      <c r="AH175" s="71"/>
      <c r="AI175" s="71"/>
      <c r="AJ175" s="71"/>
      <c r="AK175" s="72"/>
      <c r="AL175" s="70"/>
      <c r="AM175" s="71"/>
      <c r="AN175" s="71"/>
      <c r="AO175" s="71"/>
      <c r="AP175" s="71"/>
      <c r="AQ175" s="71"/>
      <c r="AR175" s="72"/>
      <c r="AS175" s="67"/>
      <c r="AT175" s="68"/>
      <c r="AU175" s="68"/>
      <c r="AV175" s="68"/>
      <c r="AW175" s="68"/>
      <c r="AX175" s="68"/>
      <c r="AY175" s="69"/>
      <c r="AZ175" s="67"/>
      <c r="BA175" s="68"/>
      <c r="BB175" s="68"/>
      <c r="BC175" s="68"/>
      <c r="BD175" s="68"/>
      <c r="BE175" s="68"/>
      <c r="BF175" s="69"/>
      <c r="BG175" s="70"/>
      <c r="BH175" s="71"/>
      <c r="BI175" s="71"/>
      <c r="BJ175" s="71"/>
      <c r="BK175" s="71"/>
      <c r="BL175" s="71"/>
      <c r="BM175" s="72"/>
      <c r="BN175" s="70"/>
      <c r="BO175" s="71"/>
      <c r="BP175" s="71"/>
      <c r="BQ175" s="71"/>
      <c r="BR175" s="71"/>
      <c r="BS175" s="71"/>
      <c r="BT175" s="72"/>
      <c r="BU175" s="59"/>
      <c r="BV175" s="59"/>
      <c r="BW175" s="59"/>
      <c r="BX175" s="59"/>
      <c r="BY175" s="59"/>
      <c r="BZ175" s="59"/>
      <c r="CA175" s="59"/>
    </row>
    <row r="176" spans="1:79">
      <c r="A176" s="59"/>
      <c r="B176" s="44" t="str">
        <f t="shared" si="5"/>
        <v/>
      </c>
      <c r="C176" s="70"/>
      <c r="D176" s="71"/>
      <c r="E176" s="71"/>
      <c r="F176" s="71"/>
      <c r="G176" s="71"/>
      <c r="H176" s="71"/>
      <c r="I176" s="72"/>
      <c r="J176" s="70"/>
      <c r="K176" s="71"/>
      <c r="L176" s="71"/>
      <c r="M176" s="71"/>
      <c r="N176" s="71"/>
      <c r="O176" s="71"/>
      <c r="P176" s="72"/>
      <c r="Q176" s="67"/>
      <c r="R176" s="68"/>
      <c r="S176" s="68"/>
      <c r="T176" s="68"/>
      <c r="U176" s="68"/>
      <c r="V176" s="68"/>
      <c r="W176" s="69"/>
      <c r="X176" s="67"/>
      <c r="Y176" s="68"/>
      <c r="Z176" s="68"/>
      <c r="AA176" s="68"/>
      <c r="AB176" s="68"/>
      <c r="AC176" s="68"/>
      <c r="AD176" s="69"/>
      <c r="AE176" s="70"/>
      <c r="AF176" s="71"/>
      <c r="AG176" s="71"/>
      <c r="AH176" s="71"/>
      <c r="AI176" s="71"/>
      <c r="AJ176" s="71"/>
      <c r="AK176" s="72"/>
      <c r="AL176" s="70"/>
      <c r="AM176" s="71"/>
      <c r="AN176" s="71"/>
      <c r="AO176" s="71"/>
      <c r="AP176" s="71"/>
      <c r="AQ176" s="71"/>
      <c r="AR176" s="72"/>
      <c r="AS176" s="67"/>
      <c r="AT176" s="68"/>
      <c r="AU176" s="68"/>
      <c r="AV176" s="68"/>
      <c r="AW176" s="68"/>
      <c r="AX176" s="68"/>
      <c r="AY176" s="69"/>
      <c r="AZ176" s="67"/>
      <c r="BA176" s="68"/>
      <c r="BB176" s="68"/>
      <c r="BC176" s="68"/>
      <c r="BD176" s="68"/>
      <c r="BE176" s="68"/>
      <c r="BF176" s="69"/>
      <c r="BG176" s="70"/>
      <c r="BH176" s="71"/>
      <c r="BI176" s="71"/>
      <c r="BJ176" s="71"/>
      <c r="BK176" s="71"/>
      <c r="BL176" s="71"/>
      <c r="BM176" s="72"/>
      <c r="BN176" s="70"/>
      <c r="BO176" s="71"/>
      <c r="BP176" s="71"/>
      <c r="BQ176" s="71"/>
      <c r="BR176" s="71"/>
      <c r="BS176" s="71"/>
      <c r="BT176" s="72"/>
      <c r="BU176" s="59"/>
      <c r="BV176" s="59"/>
      <c r="BW176" s="59"/>
      <c r="BX176" s="59"/>
      <c r="BY176" s="59"/>
      <c r="BZ176" s="59"/>
      <c r="CA176" s="59"/>
    </row>
    <row r="177" spans="1:79">
      <c r="A177" s="59"/>
      <c r="B177" s="44" t="str">
        <f t="shared" si="5"/>
        <v/>
      </c>
      <c r="C177" s="70"/>
      <c r="D177" s="71"/>
      <c r="E177" s="71"/>
      <c r="F177" s="71"/>
      <c r="G177" s="71"/>
      <c r="H177" s="71"/>
      <c r="I177" s="72"/>
      <c r="J177" s="70"/>
      <c r="K177" s="71"/>
      <c r="L177" s="71"/>
      <c r="M177" s="71"/>
      <c r="N177" s="71"/>
      <c r="O177" s="71"/>
      <c r="P177" s="72"/>
      <c r="Q177" s="67"/>
      <c r="R177" s="68"/>
      <c r="S177" s="68"/>
      <c r="T177" s="68"/>
      <c r="U177" s="68"/>
      <c r="V177" s="68"/>
      <c r="W177" s="69"/>
      <c r="X177" s="67"/>
      <c r="Y177" s="68"/>
      <c r="Z177" s="68"/>
      <c r="AA177" s="68"/>
      <c r="AB177" s="68"/>
      <c r="AC177" s="68"/>
      <c r="AD177" s="69"/>
      <c r="AE177" s="70"/>
      <c r="AF177" s="71"/>
      <c r="AG177" s="71"/>
      <c r="AH177" s="71"/>
      <c r="AI177" s="71"/>
      <c r="AJ177" s="71"/>
      <c r="AK177" s="72"/>
      <c r="AL177" s="70"/>
      <c r="AM177" s="71"/>
      <c r="AN177" s="71"/>
      <c r="AO177" s="71"/>
      <c r="AP177" s="71"/>
      <c r="AQ177" s="71"/>
      <c r="AR177" s="72"/>
      <c r="AS177" s="67"/>
      <c r="AT177" s="68"/>
      <c r="AU177" s="68"/>
      <c r="AV177" s="68"/>
      <c r="AW177" s="68"/>
      <c r="AX177" s="68"/>
      <c r="AY177" s="69"/>
      <c r="AZ177" s="67"/>
      <c r="BA177" s="68"/>
      <c r="BB177" s="68"/>
      <c r="BC177" s="68"/>
      <c r="BD177" s="68"/>
      <c r="BE177" s="68"/>
      <c r="BF177" s="69"/>
      <c r="BG177" s="70"/>
      <c r="BH177" s="71"/>
      <c r="BI177" s="71"/>
      <c r="BJ177" s="71"/>
      <c r="BK177" s="71"/>
      <c r="BL177" s="71"/>
      <c r="BM177" s="72"/>
      <c r="BN177" s="70"/>
      <c r="BO177" s="71"/>
      <c r="BP177" s="71"/>
      <c r="BQ177" s="71"/>
      <c r="BR177" s="71"/>
      <c r="BS177" s="71"/>
      <c r="BT177" s="72"/>
      <c r="BU177" s="59"/>
      <c r="BV177" s="59"/>
      <c r="BW177" s="59"/>
      <c r="BX177" s="59"/>
      <c r="BY177" s="59"/>
      <c r="BZ177" s="59"/>
      <c r="CA177" s="59"/>
    </row>
    <row r="178" spans="1:79">
      <c r="A178" s="59"/>
      <c r="B178" s="44" t="str">
        <f t="shared" si="5"/>
        <v/>
      </c>
      <c r="C178" s="70"/>
      <c r="D178" s="71"/>
      <c r="E178" s="71"/>
      <c r="F178" s="71"/>
      <c r="G178" s="71"/>
      <c r="H178" s="71"/>
      <c r="I178" s="72"/>
      <c r="J178" s="70"/>
      <c r="K178" s="71"/>
      <c r="L178" s="71"/>
      <c r="M178" s="71"/>
      <c r="N178" s="71"/>
      <c r="O178" s="71"/>
      <c r="P178" s="72"/>
      <c r="Q178" s="67"/>
      <c r="R178" s="68"/>
      <c r="S178" s="68"/>
      <c r="T178" s="68"/>
      <c r="U178" s="68"/>
      <c r="V178" s="68"/>
      <c r="W178" s="69"/>
      <c r="X178" s="67"/>
      <c r="Y178" s="68"/>
      <c r="Z178" s="68"/>
      <c r="AA178" s="68"/>
      <c r="AB178" s="68"/>
      <c r="AC178" s="68"/>
      <c r="AD178" s="69"/>
      <c r="AE178" s="70"/>
      <c r="AF178" s="71"/>
      <c r="AG178" s="71"/>
      <c r="AH178" s="71"/>
      <c r="AI178" s="71"/>
      <c r="AJ178" s="71"/>
      <c r="AK178" s="72"/>
      <c r="AL178" s="70"/>
      <c r="AM178" s="71"/>
      <c r="AN178" s="71"/>
      <c r="AO178" s="71"/>
      <c r="AP178" s="71"/>
      <c r="AQ178" s="71"/>
      <c r="AR178" s="72"/>
      <c r="AS178" s="67"/>
      <c r="AT178" s="68"/>
      <c r="AU178" s="68"/>
      <c r="AV178" s="68"/>
      <c r="AW178" s="68"/>
      <c r="AX178" s="68"/>
      <c r="AY178" s="69"/>
      <c r="AZ178" s="67"/>
      <c r="BA178" s="68"/>
      <c r="BB178" s="68"/>
      <c r="BC178" s="68"/>
      <c r="BD178" s="68"/>
      <c r="BE178" s="68"/>
      <c r="BF178" s="69"/>
      <c r="BG178" s="70"/>
      <c r="BH178" s="71"/>
      <c r="BI178" s="71"/>
      <c r="BJ178" s="71"/>
      <c r="BK178" s="71"/>
      <c r="BL178" s="71"/>
      <c r="BM178" s="72"/>
      <c r="BN178" s="70"/>
      <c r="BO178" s="71"/>
      <c r="BP178" s="71"/>
      <c r="BQ178" s="71"/>
      <c r="BR178" s="71"/>
      <c r="BS178" s="71"/>
      <c r="BT178" s="72"/>
      <c r="BU178" s="59"/>
      <c r="BV178" s="59"/>
      <c r="BW178" s="59"/>
      <c r="BX178" s="59"/>
      <c r="BY178" s="59"/>
      <c r="BZ178" s="59"/>
      <c r="CA178" s="59"/>
    </row>
    <row r="179" spans="1:79">
      <c r="A179" s="59"/>
      <c r="B179" s="44" t="str">
        <f t="shared" si="5"/>
        <v/>
      </c>
      <c r="C179" s="70"/>
      <c r="D179" s="71"/>
      <c r="E179" s="71"/>
      <c r="F179" s="71"/>
      <c r="G179" s="71"/>
      <c r="H179" s="71"/>
      <c r="I179" s="72"/>
      <c r="J179" s="70"/>
      <c r="K179" s="71"/>
      <c r="L179" s="71"/>
      <c r="M179" s="71"/>
      <c r="N179" s="71"/>
      <c r="O179" s="71"/>
      <c r="P179" s="72"/>
      <c r="Q179" s="67"/>
      <c r="R179" s="68"/>
      <c r="S179" s="68"/>
      <c r="T179" s="68"/>
      <c r="U179" s="68"/>
      <c r="V179" s="68"/>
      <c r="W179" s="69"/>
      <c r="X179" s="67"/>
      <c r="Y179" s="68"/>
      <c r="Z179" s="68"/>
      <c r="AA179" s="68"/>
      <c r="AB179" s="68"/>
      <c r="AC179" s="68"/>
      <c r="AD179" s="69"/>
      <c r="AE179" s="70"/>
      <c r="AF179" s="71"/>
      <c r="AG179" s="71"/>
      <c r="AH179" s="71"/>
      <c r="AI179" s="71"/>
      <c r="AJ179" s="71"/>
      <c r="AK179" s="72"/>
      <c r="AL179" s="70"/>
      <c r="AM179" s="71"/>
      <c r="AN179" s="71"/>
      <c r="AO179" s="71"/>
      <c r="AP179" s="71"/>
      <c r="AQ179" s="71"/>
      <c r="AR179" s="72"/>
      <c r="AS179" s="67"/>
      <c r="AT179" s="68"/>
      <c r="AU179" s="68"/>
      <c r="AV179" s="68"/>
      <c r="AW179" s="68"/>
      <c r="AX179" s="68"/>
      <c r="AY179" s="69"/>
      <c r="AZ179" s="67"/>
      <c r="BA179" s="68"/>
      <c r="BB179" s="68"/>
      <c r="BC179" s="68"/>
      <c r="BD179" s="68"/>
      <c r="BE179" s="68"/>
      <c r="BF179" s="69"/>
      <c r="BG179" s="70"/>
      <c r="BH179" s="71"/>
      <c r="BI179" s="71"/>
      <c r="BJ179" s="71"/>
      <c r="BK179" s="71"/>
      <c r="BL179" s="71"/>
      <c r="BM179" s="72"/>
      <c r="BN179" s="70"/>
      <c r="BO179" s="71"/>
      <c r="BP179" s="71"/>
      <c r="BQ179" s="71"/>
      <c r="BR179" s="71"/>
      <c r="BS179" s="71"/>
      <c r="BT179" s="72"/>
      <c r="BU179" s="59"/>
      <c r="BV179" s="59"/>
      <c r="BW179" s="59"/>
      <c r="BX179" s="59"/>
      <c r="BY179" s="59"/>
      <c r="BZ179" s="59"/>
      <c r="CA179" s="59"/>
    </row>
    <row r="180" spans="1:79">
      <c r="A180" s="59"/>
      <c r="B180" s="44" t="str">
        <f t="shared" si="5"/>
        <v/>
      </c>
      <c r="C180" s="70"/>
      <c r="D180" s="71"/>
      <c r="E180" s="71"/>
      <c r="F180" s="71"/>
      <c r="G180" s="71"/>
      <c r="H180" s="71"/>
      <c r="I180" s="72"/>
      <c r="J180" s="70"/>
      <c r="K180" s="71"/>
      <c r="L180" s="71"/>
      <c r="M180" s="71"/>
      <c r="N180" s="71"/>
      <c r="O180" s="71"/>
      <c r="P180" s="72"/>
      <c r="Q180" s="67"/>
      <c r="R180" s="68"/>
      <c r="S180" s="68"/>
      <c r="T180" s="68"/>
      <c r="U180" s="68"/>
      <c r="V180" s="68"/>
      <c r="W180" s="69"/>
      <c r="X180" s="67"/>
      <c r="Y180" s="68"/>
      <c r="Z180" s="68"/>
      <c r="AA180" s="68"/>
      <c r="AB180" s="68"/>
      <c r="AC180" s="68"/>
      <c r="AD180" s="69"/>
      <c r="AE180" s="70"/>
      <c r="AF180" s="71"/>
      <c r="AG180" s="71"/>
      <c r="AH180" s="71"/>
      <c r="AI180" s="71"/>
      <c r="AJ180" s="71"/>
      <c r="AK180" s="72"/>
      <c r="AL180" s="70"/>
      <c r="AM180" s="71"/>
      <c r="AN180" s="71"/>
      <c r="AO180" s="71"/>
      <c r="AP180" s="71"/>
      <c r="AQ180" s="71"/>
      <c r="AR180" s="72"/>
      <c r="AS180" s="67"/>
      <c r="AT180" s="68"/>
      <c r="AU180" s="68"/>
      <c r="AV180" s="68"/>
      <c r="AW180" s="68"/>
      <c r="AX180" s="68"/>
      <c r="AY180" s="69"/>
      <c r="AZ180" s="67"/>
      <c r="BA180" s="68"/>
      <c r="BB180" s="68"/>
      <c r="BC180" s="68"/>
      <c r="BD180" s="68"/>
      <c r="BE180" s="68"/>
      <c r="BF180" s="69"/>
      <c r="BG180" s="70"/>
      <c r="BH180" s="71"/>
      <c r="BI180" s="71"/>
      <c r="BJ180" s="71"/>
      <c r="BK180" s="71"/>
      <c r="BL180" s="71"/>
      <c r="BM180" s="72"/>
      <c r="BN180" s="70"/>
      <c r="BO180" s="71"/>
      <c r="BP180" s="71"/>
      <c r="BQ180" s="71"/>
      <c r="BR180" s="71"/>
      <c r="BS180" s="71"/>
      <c r="BT180" s="72"/>
      <c r="BU180" s="59"/>
      <c r="BV180" s="59"/>
      <c r="BW180" s="59"/>
      <c r="BX180" s="59"/>
      <c r="BY180" s="59"/>
      <c r="BZ180" s="59"/>
      <c r="CA180" s="59"/>
    </row>
    <row r="181" spans="1:79">
      <c r="A181" s="59"/>
      <c r="B181" s="44" t="str">
        <f t="shared" si="5"/>
        <v/>
      </c>
      <c r="C181" s="70"/>
      <c r="D181" s="71"/>
      <c r="E181" s="71"/>
      <c r="F181" s="71"/>
      <c r="G181" s="71"/>
      <c r="H181" s="71"/>
      <c r="I181" s="72"/>
      <c r="J181" s="70"/>
      <c r="K181" s="71"/>
      <c r="L181" s="71"/>
      <c r="M181" s="71"/>
      <c r="N181" s="71"/>
      <c r="O181" s="71"/>
      <c r="P181" s="72"/>
      <c r="Q181" s="67"/>
      <c r="R181" s="68"/>
      <c r="S181" s="68"/>
      <c r="T181" s="68"/>
      <c r="U181" s="68"/>
      <c r="V181" s="68"/>
      <c r="W181" s="69"/>
      <c r="X181" s="67"/>
      <c r="Y181" s="68"/>
      <c r="Z181" s="68"/>
      <c r="AA181" s="68"/>
      <c r="AB181" s="68"/>
      <c r="AC181" s="68"/>
      <c r="AD181" s="69"/>
      <c r="AE181" s="70"/>
      <c r="AF181" s="71"/>
      <c r="AG181" s="71"/>
      <c r="AH181" s="71"/>
      <c r="AI181" s="71"/>
      <c r="AJ181" s="71"/>
      <c r="AK181" s="72"/>
      <c r="AL181" s="70"/>
      <c r="AM181" s="71"/>
      <c r="AN181" s="71"/>
      <c r="AO181" s="71"/>
      <c r="AP181" s="71"/>
      <c r="AQ181" s="71"/>
      <c r="AR181" s="72"/>
      <c r="AS181" s="67"/>
      <c r="AT181" s="68"/>
      <c r="AU181" s="68"/>
      <c r="AV181" s="68"/>
      <c r="AW181" s="68"/>
      <c r="AX181" s="68"/>
      <c r="AY181" s="69"/>
      <c r="AZ181" s="67"/>
      <c r="BA181" s="68"/>
      <c r="BB181" s="68"/>
      <c r="BC181" s="68"/>
      <c r="BD181" s="68"/>
      <c r="BE181" s="68"/>
      <c r="BF181" s="69"/>
      <c r="BG181" s="70"/>
      <c r="BH181" s="71"/>
      <c r="BI181" s="71"/>
      <c r="BJ181" s="71"/>
      <c r="BK181" s="71"/>
      <c r="BL181" s="71"/>
      <c r="BM181" s="72"/>
      <c r="BN181" s="70"/>
      <c r="BO181" s="71"/>
      <c r="BP181" s="71"/>
      <c r="BQ181" s="71"/>
      <c r="BR181" s="71"/>
      <c r="BS181" s="71"/>
      <c r="BT181" s="72"/>
      <c r="BU181" s="59"/>
      <c r="BV181" s="59"/>
      <c r="BW181" s="59"/>
      <c r="BX181" s="59"/>
      <c r="BY181" s="59"/>
      <c r="BZ181" s="59"/>
      <c r="CA181" s="59"/>
    </row>
    <row r="182" spans="1:79">
      <c r="A182" s="59"/>
      <c r="B182" s="44" t="str">
        <f t="shared" si="5"/>
        <v/>
      </c>
      <c r="C182" s="70"/>
      <c r="D182" s="71"/>
      <c r="E182" s="71"/>
      <c r="F182" s="71"/>
      <c r="G182" s="71"/>
      <c r="H182" s="71"/>
      <c r="I182" s="72"/>
      <c r="J182" s="70"/>
      <c r="K182" s="71"/>
      <c r="L182" s="71"/>
      <c r="M182" s="71"/>
      <c r="N182" s="71"/>
      <c r="O182" s="71"/>
      <c r="P182" s="72"/>
      <c r="Q182" s="67"/>
      <c r="R182" s="68"/>
      <c r="S182" s="68"/>
      <c r="T182" s="68"/>
      <c r="U182" s="68"/>
      <c r="V182" s="68"/>
      <c r="W182" s="69"/>
      <c r="X182" s="67"/>
      <c r="Y182" s="68"/>
      <c r="Z182" s="68"/>
      <c r="AA182" s="68"/>
      <c r="AB182" s="68"/>
      <c r="AC182" s="68"/>
      <c r="AD182" s="69"/>
      <c r="AE182" s="70"/>
      <c r="AF182" s="71"/>
      <c r="AG182" s="71"/>
      <c r="AH182" s="71"/>
      <c r="AI182" s="71"/>
      <c r="AJ182" s="71"/>
      <c r="AK182" s="72"/>
      <c r="AL182" s="70"/>
      <c r="AM182" s="71"/>
      <c r="AN182" s="71"/>
      <c r="AO182" s="71"/>
      <c r="AP182" s="71"/>
      <c r="AQ182" s="71"/>
      <c r="AR182" s="72"/>
      <c r="AS182" s="67"/>
      <c r="AT182" s="68"/>
      <c r="AU182" s="68"/>
      <c r="AV182" s="68"/>
      <c r="AW182" s="68"/>
      <c r="AX182" s="68"/>
      <c r="AY182" s="69"/>
      <c r="AZ182" s="67"/>
      <c r="BA182" s="68"/>
      <c r="BB182" s="68"/>
      <c r="BC182" s="68"/>
      <c r="BD182" s="68"/>
      <c r="BE182" s="68"/>
      <c r="BF182" s="69"/>
      <c r="BG182" s="70"/>
      <c r="BH182" s="71"/>
      <c r="BI182" s="71"/>
      <c r="BJ182" s="71"/>
      <c r="BK182" s="71"/>
      <c r="BL182" s="71"/>
      <c r="BM182" s="72"/>
      <c r="BN182" s="70"/>
      <c r="BO182" s="71"/>
      <c r="BP182" s="71"/>
      <c r="BQ182" s="71"/>
      <c r="BR182" s="71"/>
      <c r="BS182" s="71"/>
      <c r="BT182" s="72"/>
      <c r="BU182" s="59"/>
      <c r="BV182" s="59"/>
      <c r="BW182" s="59"/>
      <c r="BX182" s="59"/>
      <c r="BY182" s="59"/>
      <c r="BZ182" s="59"/>
      <c r="CA182" s="59"/>
    </row>
    <row r="183" spans="1:79">
      <c r="A183" s="59"/>
      <c r="B183" s="44" t="str">
        <f t="shared" si="5"/>
        <v/>
      </c>
      <c r="C183" s="70"/>
      <c r="D183" s="71"/>
      <c r="E183" s="71"/>
      <c r="F183" s="71"/>
      <c r="G183" s="71"/>
      <c r="H183" s="71"/>
      <c r="I183" s="72"/>
      <c r="J183" s="70"/>
      <c r="K183" s="71"/>
      <c r="L183" s="71"/>
      <c r="M183" s="71"/>
      <c r="N183" s="71"/>
      <c r="O183" s="71"/>
      <c r="P183" s="72"/>
      <c r="Q183" s="67"/>
      <c r="R183" s="68"/>
      <c r="S183" s="68"/>
      <c r="T183" s="68"/>
      <c r="U183" s="68"/>
      <c r="V183" s="68"/>
      <c r="W183" s="69"/>
      <c r="X183" s="67"/>
      <c r="Y183" s="68"/>
      <c r="Z183" s="68"/>
      <c r="AA183" s="68"/>
      <c r="AB183" s="68"/>
      <c r="AC183" s="68"/>
      <c r="AD183" s="69"/>
      <c r="AE183" s="70"/>
      <c r="AF183" s="71"/>
      <c r="AG183" s="71"/>
      <c r="AH183" s="71"/>
      <c r="AI183" s="71"/>
      <c r="AJ183" s="71"/>
      <c r="AK183" s="72"/>
      <c r="AL183" s="70"/>
      <c r="AM183" s="71"/>
      <c r="AN183" s="71"/>
      <c r="AO183" s="71"/>
      <c r="AP183" s="71"/>
      <c r="AQ183" s="71"/>
      <c r="AR183" s="72"/>
      <c r="AS183" s="67"/>
      <c r="AT183" s="68"/>
      <c r="AU183" s="68"/>
      <c r="AV183" s="68"/>
      <c r="AW183" s="68"/>
      <c r="AX183" s="68"/>
      <c r="AY183" s="69"/>
      <c r="AZ183" s="67"/>
      <c r="BA183" s="68"/>
      <c r="BB183" s="68"/>
      <c r="BC183" s="68"/>
      <c r="BD183" s="68"/>
      <c r="BE183" s="68"/>
      <c r="BF183" s="69"/>
      <c r="BG183" s="70"/>
      <c r="BH183" s="71"/>
      <c r="BI183" s="71"/>
      <c r="BJ183" s="71"/>
      <c r="BK183" s="71"/>
      <c r="BL183" s="71"/>
      <c r="BM183" s="72"/>
      <c r="BN183" s="70"/>
      <c r="BO183" s="71"/>
      <c r="BP183" s="71"/>
      <c r="BQ183" s="71"/>
      <c r="BR183" s="71"/>
      <c r="BS183" s="71"/>
      <c r="BT183" s="72"/>
      <c r="BU183" s="59"/>
      <c r="BV183" s="59"/>
      <c r="BW183" s="59"/>
      <c r="BX183" s="59"/>
      <c r="BY183" s="59"/>
      <c r="BZ183" s="59"/>
      <c r="CA183" s="59"/>
    </row>
    <row r="184" spans="1:79">
      <c r="A184" s="59"/>
      <c r="B184" s="44" t="str">
        <f t="shared" si="5"/>
        <v/>
      </c>
      <c r="C184" s="70"/>
      <c r="D184" s="71"/>
      <c r="E184" s="71"/>
      <c r="F184" s="71"/>
      <c r="G184" s="71"/>
      <c r="H184" s="71"/>
      <c r="I184" s="72"/>
      <c r="J184" s="70"/>
      <c r="K184" s="71"/>
      <c r="L184" s="71"/>
      <c r="M184" s="71"/>
      <c r="N184" s="71"/>
      <c r="O184" s="71"/>
      <c r="P184" s="72"/>
      <c r="Q184" s="67"/>
      <c r="R184" s="68"/>
      <c r="S184" s="68"/>
      <c r="T184" s="68"/>
      <c r="U184" s="68"/>
      <c r="V184" s="68"/>
      <c r="W184" s="69"/>
      <c r="X184" s="67"/>
      <c r="Y184" s="68"/>
      <c r="Z184" s="68"/>
      <c r="AA184" s="68"/>
      <c r="AB184" s="68"/>
      <c r="AC184" s="68"/>
      <c r="AD184" s="69"/>
      <c r="AE184" s="70"/>
      <c r="AF184" s="71"/>
      <c r="AG184" s="71"/>
      <c r="AH184" s="71"/>
      <c r="AI184" s="71"/>
      <c r="AJ184" s="71"/>
      <c r="AK184" s="72"/>
      <c r="AL184" s="70"/>
      <c r="AM184" s="71"/>
      <c r="AN184" s="71"/>
      <c r="AO184" s="71"/>
      <c r="AP184" s="71"/>
      <c r="AQ184" s="71"/>
      <c r="AR184" s="72"/>
      <c r="AS184" s="67"/>
      <c r="AT184" s="68"/>
      <c r="AU184" s="68"/>
      <c r="AV184" s="68"/>
      <c r="AW184" s="68"/>
      <c r="AX184" s="68"/>
      <c r="AY184" s="69"/>
      <c r="AZ184" s="67"/>
      <c r="BA184" s="68"/>
      <c r="BB184" s="68"/>
      <c r="BC184" s="68"/>
      <c r="BD184" s="68"/>
      <c r="BE184" s="68"/>
      <c r="BF184" s="69"/>
      <c r="BG184" s="70"/>
      <c r="BH184" s="71"/>
      <c r="BI184" s="71"/>
      <c r="BJ184" s="71"/>
      <c r="BK184" s="71"/>
      <c r="BL184" s="71"/>
      <c r="BM184" s="72"/>
      <c r="BN184" s="70"/>
      <c r="BO184" s="71"/>
      <c r="BP184" s="71"/>
      <c r="BQ184" s="71"/>
      <c r="BR184" s="71"/>
      <c r="BS184" s="71"/>
      <c r="BT184" s="72"/>
      <c r="BU184" s="59"/>
      <c r="BV184" s="59"/>
      <c r="BW184" s="59"/>
      <c r="BX184" s="59"/>
      <c r="BY184" s="59"/>
      <c r="BZ184" s="59"/>
      <c r="CA184" s="59"/>
    </row>
    <row r="185" spans="1:79">
      <c r="A185" s="59"/>
      <c r="B185" s="44" t="str">
        <f t="shared" si="5"/>
        <v/>
      </c>
      <c r="C185" s="70"/>
      <c r="D185" s="71"/>
      <c r="E185" s="71"/>
      <c r="F185" s="71"/>
      <c r="G185" s="71"/>
      <c r="H185" s="71"/>
      <c r="I185" s="72"/>
      <c r="J185" s="70"/>
      <c r="K185" s="71"/>
      <c r="L185" s="71"/>
      <c r="M185" s="71"/>
      <c r="N185" s="71"/>
      <c r="O185" s="71"/>
      <c r="P185" s="72"/>
      <c r="Q185" s="67"/>
      <c r="R185" s="68"/>
      <c r="S185" s="68"/>
      <c r="T185" s="68"/>
      <c r="U185" s="68"/>
      <c r="V185" s="68"/>
      <c r="W185" s="69"/>
      <c r="X185" s="67"/>
      <c r="Y185" s="68"/>
      <c r="Z185" s="68"/>
      <c r="AA185" s="68"/>
      <c r="AB185" s="68"/>
      <c r="AC185" s="68"/>
      <c r="AD185" s="69"/>
      <c r="AE185" s="70"/>
      <c r="AF185" s="71"/>
      <c r="AG185" s="71"/>
      <c r="AH185" s="71"/>
      <c r="AI185" s="71"/>
      <c r="AJ185" s="71"/>
      <c r="AK185" s="72"/>
      <c r="AL185" s="70"/>
      <c r="AM185" s="71"/>
      <c r="AN185" s="71"/>
      <c r="AO185" s="71"/>
      <c r="AP185" s="71"/>
      <c r="AQ185" s="71"/>
      <c r="AR185" s="72"/>
      <c r="AS185" s="67"/>
      <c r="AT185" s="68"/>
      <c r="AU185" s="68"/>
      <c r="AV185" s="68"/>
      <c r="AW185" s="68"/>
      <c r="AX185" s="68"/>
      <c r="AY185" s="69"/>
      <c r="AZ185" s="67"/>
      <c r="BA185" s="68"/>
      <c r="BB185" s="68"/>
      <c r="BC185" s="68"/>
      <c r="BD185" s="68"/>
      <c r="BE185" s="68"/>
      <c r="BF185" s="69"/>
      <c r="BG185" s="70"/>
      <c r="BH185" s="71"/>
      <c r="BI185" s="71"/>
      <c r="BJ185" s="71"/>
      <c r="BK185" s="71"/>
      <c r="BL185" s="71"/>
      <c r="BM185" s="72"/>
      <c r="BN185" s="70"/>
      <c r="BO185" s="71"/>
      <c r="BP185" s="71"/>
      <c r="BQ185" s="71"/>
      <c r="BR185" s="71"/>
      <c r="BS185" s="71"/>
      <c r="BT185" s="72"/>
      <c r="BU185" s="59"/>
      <c r="BV185" s="59"/>
      <c r="BW185" s="59"/>
      <c r="BX185" s="59"/>
      <c r="BY185" s="59"/>
      <c r="BZ185" s="59"/>
      <c r="CA185" s="59"/>
    </row>
    <row r="186" spans="1:79">
      <c r="A186" s="59"/>
      <c r="B186" s="44" t="str">
        <f t="shared" si="5"/>
        <v/>
      </c>
      <c r="C186" s="70"/>
      <c r="D186" s="71"/>
      <c r="E186" s="71"/>
      <c r="F186" s="71"/>
      <c r="G186" s="71"/>
      <c r="H186" s="71"/>
      <c r="I186" s="72"/>
      <c r="J186" s="70"/>
      <c r="K186" s="71"/>
      <c r="L186" s="71"/>
      <c r="M186" s="71"/>
      <c r="N186" s="71"/>
      <c r="O186" s="71"/>
      <c r="P186" s="72"/>
      <c r="Q186" s="67"/>
      <c r="R186" s="68"/>
      <c r="S186" s="68"/>
      <c r="T186" s="68"/>
      <c r="U186" s="68"/>
      <c r="V186" s="68"/>
      <c r="W186" s="69"/>
      <c r="X186" s="67"/>
      <c r="Y186" s="68"/>
      <c r="Z186" s="68"/>
      <c r="AA186" s="68"/>
      <c r="AB186" s="68"/>
      <c r="AC186" s="68"/>
      <c r="AD186" s="69"/>
      <c r="AE186" s="70"/>
      <c r="AF186" s="71"/>
      <c r="AG186" s="71"/>
      <c r="AH186" s="71"/>
      <c r="AI186" s="71"/>
      <c r="AJ186" s="71"/>
      <c r="AK186" s="72"/>
      <c r="AL186" s="70"/>
      <c r="AM186" s="71"/>
      <c r="AN186" s="71"/>
      <c r="AO186" s="71"/>
      <c r="AP186" s="71"/>
      <c r="AQ186" s="71"/>
      <c r="AR186" s="72"/>
      <c r="AS186" s="67"/>
      <c r="AT186" s="68"/>
      <c r="AU186" s="68"/>
      <c r="AV186" s="68"/>
      <c r="AW186" s="68"/>
      <c r="AX186" s="68"/>
      <c r="AY186" s="69"/>
      <c r="AZ186" s="67"/>
      <c r="BA186" s="68"/>
      <c r="BB186" s="68"/>
      <c r="BC186" s="68"/>
      <c r="BD186" s="68"/>
      <c r="BE186" s="68"/>
      <c r="BF186" s="69"/>
      <c r="BG186" s="70"/>
      <c r="BH186" s="71"/>
      <c r="BI186" s="71"/>
      <c r="BJ186" s="71"/>
      <c r="BK186" s="71"/>
      <c r="BL186" s="71"/>
      <c r="BM186" s="72"/>
      <c r="BN186" s="70"/>
      <c r="BO186" s="71"/>
      <c r="BP186" s="71"/>
      <c r="BQ186" s="71"/>
      <c r="BR186" s="71"/>
      <c r="BS186" s="71"/>
      <c r="BT186" s="72"/>
      <c r="BU186" s="59"/>
      <c r="BV186" s="59"/>
      <c r="BW186" s="59"/>
      <c r="BX186" s="59"/>
      <c r="BY186" s="59"/>
      <c r="BZ186" s="59"/>
      <c r="CA186" s="59"/>
    </row>
    <row r="187" spans="1:79">
      <c r="A187" s="59"/>
      <c r="B187" s="44" t="str">
        <f t="shared" si="5"/>
        <v/>
      </c>
      <c r="C187" s="70"/>
      <c r="D187" s="71"/>
      <c r="E187" s="71"/>
      <c r="F187" s="71"/>
      <c r="G187" s="71"/>
      <c r="H187" s="71"/>
      <c r="I187" s="72"/>
      <c r="J187" s="70"/>
      <c r="K187" s="71"/>
      <c r="L187" s="71"/>
      <c r="M187" s="71"/>
      <c r="N187" s="71"/>
      <c r="O187" s="71"/>
      <c r="P187" s="72"/>
      <c r="Q187" s="67"/>
      <c r="R187" s="68"/>
      <c r="S187" s="68"/>
      <c r="T187" s="68"/>
      <c r="U187" s="68"/>
      <c r="V187" s="68"/>
      <c r="W187" s="69"/>
      <c r="X187" s="67"/>
      <c r="Y187" s="68"/>
      <c r="Z187" s="68"/>
      <c r="AA187" s="68"/>
      <c r="AB187" s="68"/>
      <c r="AC187" s="68"/>
      <c r="AD187" s="69"/>
      <c r="AE187" s="70"/>
      <c r="AF187" s="71"/>
      <c r="AG187" s="71"/>
      <c r="AH187" s="71"/>
      <c r="AI187" s="71"/>
      <c r="AJ187" s="71"/>
      <c r="AK187" s="72"/>
      <c r="AL187" s="70"/>
      <c r="AM187" s="71"/>
      <c r="AN187" s="71"/>
      <c r="AO187" s="71"/>
      <c r="AP187" s="71"/>
      <c r="AQ187" s="71"/>
      <c r="AR187" s="72"/>
      <c r="AS187" s="67"/>
      <c r="AT187" s="68"/>
      <c r="AU187" s="68"/>
      <c r="AV187" s="68"/>
      <c r="AW187" s="68"/>
      <c r="AX187" s="68"/>
      <c r="AY187" s="69"/>
      <c r="AZ187" s="67"/>
      <c r="BA187" s="68"/>
      <c r="BB187" s="68"/>
      <c r="BC187" s="68"/>
      <c r="BD187" s="68"/>
      <c r="BE187" s="68"/>
      <c r="BF187" s="69"/>
      <c r="BG187" s="70"/>
      <c r="BH187" s="71"/>
      <c r="BI187" s="71"/>
      <c r="BJ187" s="71"/>
      <c r="BK187" s="71"/>
      <c r="BL187" s="71"/>
      <c r="BM187" s="72"/>
      <c r="BN187" s="70"/>
      <c r="BO187" s="71"/>
      <c r="BP187" s="71"/>
      <c r="BQ187" s="71"/>
      <c r="BR187" s="71"/>
      <c r="BS187" s="71"/>
      <c r="BT187" s="72"/>
      <c r="BU187" s="59"/>
      <c r="BV187" s="59"/>
      <c r="BW187" s="59"/>
      <c r="BX187" s="59"/>
      <c r="BY187" s="59"/>
      <c r="BZ187" s="59"/>
      <c r="CA187" s="59"/>
    </row>
    <row r="188" spans="1:79">
      <c r="A188" s="59"/>
      <c r="B188" s="44" t="str">
        <f t="shared" si="5"/>
        <v/>
      </c>
      <c r="C188" s="70"/>
      <c r="D188" s="71"/>
      <c r="E188" s="71"/>
      <c r="F188" s="71"/>
      <c r="G188" s="71"/>
      <c r="H188" s="71"/>
      <c r="I188" s="72"/>
      <c r="J188" s="70"/>
      <c r="K188" s="71"/>
      <c r="L188" s="71"/>
      <c r="M188" s="71"/>
      <c r="N188" s="71"/>
      <c r="O188" s="71"/>
      <c r="P188" s="72"/>
      <c r="Q188" s="67"/>
      <c r="R188" s="68"/>
      <c r="S188" s="68"/>
      <c r="T188" s="68"/>
      <c r="U188" s="68"/>
      <c r="V188" s="68"/>
      <c r="W188" s="69"/>
      <c r="X188" s="67"/>
      <c r="Y188" s="68"/>
      <c r="Z188" s="68"/>
      <c r="AA188" s="68"/>
      <c r="AB188" s="68"/>
      <c r="AC188" s="68"/>
      <c r="AD188" s="69"/>
      <c r="AE188" s="70"/>
      <c r="AF188" s="71"/>
      <c r="AG188" s="71"/>
      <c r="AH188" s="71"/>
      <c r="AI188" s="71"/>
      <c r="AJ188" s="71"/>
      <c r="AK188" s="72"/>
      <c r="AL188" s="70"/>
      <c r="AM188" s="71"/>
      <c r="AN188" s="71"/>
      <c r="AO188" s="71"/>
      <c r="AP188" s="71"/>
      <c r="AQ188" s="71"/>
      <c r="AR188" s="72"/>
      <c r="AS188" s="67"/>
      <c r="AT188" s="68"/>
      <c r="AU188" s="68"/>
      <c r="AV188" s="68"/>
      <c r="AW188" s="68"/>
      <c r="AX188" s="68"/>
      <c r="AY188" s="69"/>
      <c r="AZ188" s="67"/>
      <c r="BA188" s="68"/>
      <c r="BB188" s="68"/>
      <c r="BC188" s="68"/>
      <c r="BD188" s="68"/>
      <c r="BE188" s="68"/>
      <c r="BF188" s="69"/>
      <c r="BG188" s="70"/>
      <c r="BH188" s="71"/>
      <c r="BI188" s="71"/>
      <c r="BJ188" s="71"/>
      <c r="BK188" s="71"/>
      <c r="BL188" s="71"/>
      <c r="BM188" s="72"/>
      <c r="BN188" s="70"/>
      <c r="BO188" s="71"/>
      <c r="BP188" s="71"/>
      <c r="BQ188" s="71"/>
      <c r="BR188" s="71"/>
      <c r="BS188" s="71"/>
      <c r="BT188" s="72"/>
      <c r="BU188" s="59"/>
      <c r="BV188" s="59"/>
      <c r="BW188" s="59"/>
      <c r="BX188" s="59"/>
      <c r="BY188" s="59"/>
      <c r="BZ188" s="59"/>
      <c r="CA188" s="59"/>
    </row>
    <row r="189" spans="1:79">
      <c r="A189" s="59"/>
      <c r="B189" s="44" t="str">
        <f t="shared" si="5"/>
        <v/>
      </c>
      <c r="C189" s="70"/>
      <c r="D189" s="71"/>
      <c r="E189" s="71"/>
      <c r="F189" s="71"/>
      <c r="G189" s="71"/>
      <c r="H189" s="71"/>
      <c r="I189" s="72"/>
      <c r="J189" s="70"/>
      <c r="K189" s="71"/>
      <c r="L189" s="71"/>
      <c r="M189" s="71"/>
      <c r="N189" s="71"/>
      <c r="O189" s="71"/>
      <c r="P189" s="72"/>
      <c r="Q189" s="67"/>
      <c r="R189" s="68"/>
      <c r="S189" s="68"/>
      <c r="T189" s="68"/>
      <c r="U189" s="68"/>
      <c r="V189" s="68"/>
      <c r="W189" s="69"/>
      <c r="X189" s="67"/>
      <c r="Y189" s="68"/>
      <c r="Z189" s="68"/>
      <c r="AA189" s="68"/>
      <c r="AB189" s="68"/>
      <c r="AC189" s="68"/>
      <c r="AD189" s="69"/>
      <c r="AE189" s="70"/>
      <c r="AF189" s="71"/>
      <c r="AG189" s="71"/>
      <c r="AH189" s="71"/>
      <c r="AI189" s="71"/>
      <c r="AJ189" s="71"/>
      <c r="AK189" s="72"/>
      <c r="AL189" s="70"/>
      <c r="AM189" s="71"/>
      <c r="AN189" s="71"/>
      <c r="AO189" s="71"/>
      <c r="AP189" s="71"/>
      <c r="AQ189" s="71"/>
      <c r="AR189" s="72"/>
      <c r="AS189" s="67"/>
      <c r="AT189" s="68"/>
      <c r="AU189" s="68"/>
      <c r="AV189" s="68"/>
      <c r="AW189" s="68"/>
      <c r="AX189" s="68"/>
      <c r="AY189" s="69"/>
      <c r="AZ189" s="67"/>
      <c r="BA189" s="68"/>
      <c r="BB189" s="68"/>
      <c r="BC189" s="68"/>
      <c r="BD189" s="68"/>
      <c r="BE189" s="68"/>
      <c r="BF189" s="69"/>
      <c r="BG189" s="70"/>
      <c r="BH189" s="71"/>
      <c r="BI189" s="71"/>
      <c r="BJ189" s="71"/>
      <c r="BK189" s="71"/>
      <c r="BL189" s="71"/>
      <c r="BM189" s="72"/>
      <c r="BN189" s="70"/>
      <c r="BO189" s="71"/>
      <c r="BP189" s="71"/>
      <c r="BQ189" s="71"/>
      <c r="BR189" s="71"/>
      <c r="BS189" s="71"/>
      <c r="BT189" s="72"/>
      <c r="BU189" s="59"/>
      <c r="BV189" s="59"/>
      <c r="BW189" s="59"/>
      <c r="BX189" s="59"/>
      <c r="BY189" s="59"/>
      <c r="BZ189" s="59"/>
      <c r="CA189" s="59"/>
    </row>
    <row r="190" spans="1:79">
      <c r="A190" s="59"/>
      <c r="B190" s="44" t="str">
        <f t="shared" si="5"/>
        <v/>
      </c>
      <c r="C190" s="70"/>
      <c r="D190" s="71"/>
      <c r="E190" s="71"/>
      <c r="F190" s="71"/>
      <c r="G190" s="71"/>
      <c r="H190" s="71"/>
      <c r="I190" s="72"/>
      <c r="J190" s="70"/>
      <c r="K190" s="71"/>
      <c r="L190" s="71"/>
      <c r="M190" s="71"/>
      <c r="N190" s="71"/>
      <c r="O190" s="71"/>
      <c r="P190" s="72"/>
      <c r="Q190" s="67"/>
      <c r="R190" s="68"/>
      <c r="S190" s="68"/>
      <c r="T190" s="68"/>
      <c r="U190" s="68"/>
      <c r="V190" s="68"/>
      <c r="W190" s="69"/>
      <c r="X190" s="67"/>
      <c r="Y190" s="68"/>
      <c r="Z190" s="68"/>
      <c r="AA190" s="68"/>
      <c r="AB190" s="68"/>
      <c r="AC190" s="68"/>
      <c r="AD190" s="69"/>
      <c r="AE190" s="70"/>
      <c r="AF190" s="71"/>
      <c r="AG190" s="71"/>
      <c r="AH190" s="71"/>
      <c r="AI190" s="71"/>
      <c r="AJ190" s="71"/>
      <c r="AK190" s="72"/>
      <c r="AL190" s="70"/>
      <c r="AM190" s="71"/>
      <c r="AN190" s="71"/>
      <c r="AO190" s="71"/>
      <c r="AP190" s="71"/>
      <c r="AQ190" s="71"/>
      <c r="AR190" s="72"/>
      <c r="AS190" s="67"/>
      <c r="AT190" s="68"/>
      <c r="AU190" s="68"/>
      <c r="AV190" s="68"/>
      <c r="AW190" s="68"/>
      <c r="AX190" s="68"/>
      <c r="AY190" s="69"/>
      <c r="AZ190" s="67"/>
      <c r="BA190" s="68"/>
      <c r="BB190" s="68"/>
      <c r="BC190" s="68"/>
      <c r="BD190" s="68"/>
      <c r="BE190" s="68"/>
      <c r="BF190" s="69"/>
      <c r="BG190" s="70"/>
      <c r="BH190" s="71"/>
      <c r="BI190" s="71"/>
      <c r="BJ190" s="71"/>
      <c r="BK190" s="71"/>
      <c r="BL190" s="71"/>
      <c r="BM190" s="72"/>
      <c r="BN190" s="70"/>
      <c r="BO190" s="71"/>
      <c r="BP190" s="71"/>
      <c r="BQ190" s="71"/>
      <c r="BR190" s="71"/>
      <c r="BS190" s="71"/>
      <c r="BT190" s="72"/>
      <c r="BU190" s="59"/>
      <c r="BV190" s="59"/>
      <c r="BW190" s="59"/>
      <c r="BX190" s="59"/>
      <c r="BY190" s="59"/>
      <c r="BZ190" s="59"/>
      <c r="CA190" s="59"/>
    </row>
    <row r="191" spans="1:79">
      <c r="A191" s="59"/>
      <c r="B191" s="44" t="str">
        <f t="shared" si="5"/>
        <v/>
      </c>
      <c r="C191" s="70"/>
      <c r="D191" s="71"/>
      <c r="E191" s="71"/>
      <c r="F191" s="71"/>
      <c r="G191" s="71"/>
      <c r="H191" s="71"/>
      <c r="I191" s="72"/>
      <c r="J191" s="70"/>
      <c r="K191" s="71"/>
      <c r="L191" s="71"/>
      <c r="M191" s="71"/>
      <c r="N191" s="71"/>
      <c r="O191" s="71"/>
      <c r="P191" s="72"/>
      <c r="Q191" s="67"/>
      <c r="R191" s="68"/>
      <c r="S191" s="68"/>
      <c r="T191" s="68"/>
      <c r="U191" s="68"/>
      <c r="V191" s="68"/>
      <c r="W191" s="69"/>
      <c r="X191" s="67"/>
      <c r="Y191" s="68"/>
      <c r="Z191" s="68"/>
      <c r="AA191" s="68"/>
      <c r="AB191" s="68"/>
      <c r="AC191" s="68"/>
      <c r="AD191" s="69"/>
      <c r="AE191" s="70"/>
      <c r="AF191" s="71"/>
      <c r="AG191" s="71"/>
      <c r="AH191" s="71"/>
      <c r="AI191" s="71"/>
      <c r="AJ191" s="71"/>
      <c r="AK191" s="72"/>
      <c r="AL191" s="70"/>
      <c r="AM191" s="71"/>
      <c r="AN191" s="71"/>
      <c r="AO191" s="71"/>
      <c r="AP191" s="71"/>
      <c r="AQ191" s="71"/>
      <c r="AR191" s="72"/>
      <c r="AS191" s="67"/>
      <c r="AT191" s="68"/>
      <c r="AU191" s="68"/>
      <c r="AV191" s="68"/>
      <c r="AW191" s="68"/>
      <c r="AX191" s="68"/>
      <c r="AY191" s="69"/>
      <c r="AZ191" s="67"/>
      <c r="BA191" s="68"/>
      <c r="BB191" s="68"/>
      <c r="BC191" s="68"/>
      <c r="BD191" s="68"/>
      <c r="BE191" s="68"/>
      <c r="BF191" s="69"/>
      <c r="BG191" s="70"/>
      <c r="BH191" s="71"/>
      <c r="BI191" s="71"/>
      <c r="BJ191" s="71"/>
      <c r="BK191" s="71"/>
      <c r="BL191" s="71"/>
      <c r="BM191" s="72"/>
      <c r="BN191" s="70"/>
      <c r="BO191" s="71"/>
      <c r="BP191" s="71"/>
      <c r="BQ191" s="71"/>
      <c r="BR191" s="71"/>
      <c r="BS191" s="71"/>
      <c r="BT191" s="72"/>
      <c r="BU191" s="59"/>
      <c r="BV191" s="59"/>
      <c r="BW191" s="59"/>
      <c r="BX191" s="59"/>
      <c r="BY191" s="59"/>
      <c r="BZ191" s="59"/>
      <c r="CA191" s="59"/>
    </row>
    <row r="192" spans="1:79">
      <c r="A192" s="59"/>
      <c r="B192" s="44" t="str">
        <f t="shared" si="5"/>
        <v/>
      </c>
      <c r="C192" s="70"/>
      <c r="D192" s="71"/>
      <c r="E192" s="71"/>
      <c r="F192" s="71"/>
      <c r="G192" s="71"/>
      <c r="H192" s="71"/>
      <c r="I192" s="72"/>
      <c r="J192" s="70"/>
      <c r="K192" s="71"/>
      <c r="L192" s="71"/>
      <c r="M192" s="71"/>
      <c r="N192" s="71"/>
      <c r="O192" s="71"/>
      <c r="P192" s="72"/>
      <c r="Q192" s="67"/>
      <c r="R192" s="68"/>
      <c r="S192" s="68"/>
      <c r="T192" s="68"/>
      <c r="U192" s="68"/>
      <c r="V192" s="68"/>
      <c r="W192" s="69"/>
      <c r="X192" s="67"/>
      <c r="Y192" s="68"/>
      <c r="Z192" s="68"/>
      <c r="AA192" s="68"/>
      <c r="AB192" s="68"/>
      <c r="AC192" s="68"/>
      <c r="AD192" s="69"/>
      <c r="AE192" s="70"/>
      <c r="AF192" s="71"/>
      <c r="AG192" s="71"/>
      <c r="AH192" s="71"/>
      <c r="AI192" s="71"/>
      <c r="AJ192" s="71"/>
      <c r="AK192" s="72"/>
      <c r="AL192" s="70"/>
      <c r="AM192" s="71"/>
      <c r="AN192" s="71"/>
      <c r="AO192" s="71"/>
      <c r="AP192" s="71"/>
      <c r="AQ192" s="71"/>
      <c r="AR192" s="72"/>
      <c r="AS192" s="67"/>
      <c r="AT192" s="68"/>
      <c r="AU192" s="68"/>
      <c r="AV192" s="68"/>
      <c r="AW192" s="68"/>
      <c r="AX192" s="68"/>
      <c r="AY192" s="69"/>
      <c r="AZ192" s="67"/>
      <c r="BA192" s="68"/>
      <c r="BB192" s="68"/>
      <c r="BC192" s="68"/>
      <c r="BD192" s="68"/>
      <c r="BE192" s="68"/>
      <c r="BF192" s="69"/>
      <c r="BG192" s="70"/>
      <c r="BH192" s="71"/>
      <c r="BI192" s="71"/>
      <c r="BJ192" s="71"/>
      <c r="BK192" s="71"/>
      <c r="BL192" s="71"/>
      <c r="BM192" s="72"/>
      <c r="BN192" s="70"/>
      <c r="BO192" s="71"/>
      <c r="BP192" s="71"/>
      <c r="BQ192" s="71"/>
      <c r="BR192" s="71"/>
      <c r="BS192" s="71"/>
      <c r="BT192" s="72"/>
      <c r="BU192" s="59"/>
      <c r="BV192" s="59"/>
      <c r="BW192" s="59"/>
      <c r="BX192" s="59"/>
      <c r="BY192" s="59"/>
      <c r="BZ192" s="59"/>
      <c r="CA192" s="59"/>
    </row>
    <row r="193" spans="1:79">
      <c r="A193" s="59"/>
      <c r="B193" s="44" t="str">
        <f t="shared" si="5"/>
        <v/>
      </c>
      <c r="C193" s="70"/>
      <c r="D193" s="71"/>
      <c r="E193" s="71"/>
      <c r="F193" s="71"/>
      <c r="G193" s="71"/>
      <c r="H193" s="71"/>
      <c r="I193" s="72"/>
      <c r="J193" s="70"/>
      <c r="K193" s="71"/>
      <c r="L193" s="71"/>
      <c r="M193" s="71"/>
      <c r="N193" s="71"/>
      <c r="O193" s="71"/>
      <c r="P193" s="72"/>
      <c r="Q193" s="67"/>
      <c r="R193" s="68"/>
      <c r="S193" s="68"/>
      <c r="T193" s="68"/>
      <c r="U193" s="68"/>
      <c r="V193" s="68"/>
      <c r="W193" s="69"/>
      <c r="X193" s="67"/>
      <c r="Y193" s="68"/>
      <c r="Z193" s="68"/>
      <c r="AA193" s="68"/>
      <c r="AB193" s="68"/>
      <c r="AC193" s="68"/>
      <c r="AD193" s="69"/>
      <c r="AE193" s="70"/>
      <c r="AF193" s="71"/>
      <c r="AG193" s="71"/>
      <c r="AH193" s="71"/>
      <c r="AI193" s="71"/>
      <c r="AJ193" s="71"/>
      <c r="AK193" s="72"/>
      <c r="AL193" s="70"/>
      <c r="AM193" s="71"/>
      <c r="AN193" s="71"/>
      <c r="AO193" s="71"/>
      <c r="AP193" s="71"/>
      <c r="AQ193" s="71"/>
      <c r="AR193" s="72"/>
      <c r="AS193" s="67"/>
      <c r="AT193" s="68"/>
      <c r="AU193" s="68"/>
      <c r="AV193" s="68"/>
      <c r="AW193" s="68"/>
      <c r="AX193" s="68"/>
      <c r="AY193" s="69"/>
      <c r="AZ193" s="67"/>
      <c r="BA193" s="68"/>
      <c r="BB193" s="68"/>
      <c r="BC193" s="68"/>
      <c r="BD193" s="68"/>
      <c r="BE193" s="68"/>
      <c r="BF193" s="69"/>
      <c r="BG193" s="70"/>
      <c r="BH193" s="71"/>
      <c r="BI193" s="71"/>
      <c r="BJ193" s="71"/>
      <c r="BK193" s="71"/>
      <c r="BL193" s="71"/>
      <c r="BM193" s="72"/>
      <c r="BN193" s="70"/>
      <c r="BO193" s="71"/>
      <c r="BP193" s="71"/>
      <c r="BQ193" s="71"/>
      <c r="BR193" s="71"/>
      <c r="BS193" s="71"/>
      <c r="BT193" s="72"/>
      <c r="BU193" s="59"/>
      <c r="BV193" s="59"/>
      <c r="BW193" s="59"/>
      <c r="BX193" s="59"/>
      <c r="BY193" s="59"/>
      <c r="BZ193" s="59"/>
      <c r="CA193" s="59"/>
    </row>
    <row r="194" spans="1:79">
      <c r="A194" s="59"/>
      <c r="B194" s="44" t="str">
        <f t="shared" si="5"/>
        <v/>
      </c>
      <c r="C194" s="70"/>
      <c r="D194" s="71"/>
      <c r="E194" s="71"/>
      <c r="F194" s="71"/>
      <c r="G194" s="71"/>
      <c r="H194" s="71"/>
      <c r="I194" s="72"/>
      <c r="J194" s="70"/>
      <c r="K194" s="71"/>
      <c r="L194" s="71"/>
      <c r="M194" s="71"/>
      <c r="N194" s="71"/>
      <c r="O194" s="71"/>
      <c r="P194" s="72"/>
      <c r="Q194" s="67"/>
      <c r="R194" s="68"/>
      <c r="S194" s="68"/>
      <c r="T194" s="68"/>
      <c r="U194" s="68"/>
      <c r="V194" s="68"/>
      <c r="W194" s="69"/>
      <c r="X194" s="67"/>
      <c r="Y194" s="68"/>
      <c r="Z194" s="68"/>
      <c r="AA194" s="68"/>
      <c r="AB194" s="68"/>
      <c r="AC194" s="68"/>
      <c r="AD194" s="69"/>
      <c r="AE194" s="70"/>
      <c r="AF194" s="71"/>
      <c r="AG194" s="71"/>
      <c r="AH194" s="71"/>
      <c r="AI194" s="71"/>
      <c r="AJ194" s="71"/>
      <c r="AK194" s="72"/>
      <c r="AL194" s="70"/>
      <c r="AM194" s="71"/>
      <c r="AN194" s="71"/>
      <c r="AO194" s="71"/>
      <c r="AP194" s="71"/>
      <c r="AQ194" s="71"/>
      <c r="AR194" s="72"/>
      <c r="AS194" s="67"/>
      <c r="AT194" s="68"/>
      <c r="AU194" s="68"/>
      <c r="AV194" s="68"/>
      <c r="AW194" s="68"/>
      <c r="AX194" s="68"/>
      <c r="AY194" s="69"/>
      <c r="AZ194" s="67"/>
      <c r="BA194" s="68"/>
      <c r="BB194" s="68"/>
      <c r="BC194" s="68"/>
      <c r="BD194" s="68"/>
      <c r="BE194" s="68"/>
      <c r="BF194" s="69"/>
      <c r="BG194" s="70"/>
      <c r="BH194" s="71"/>
      <c r="BI194" s="71"/>
      <c r="BJ194" s="71"/>
      <c r="BK194" s="71"/>
      <c r="BL194" s="71"/>
      <c r="BM194" s="72"/>
      <c r="BN194" s="70"/>
      <c r="BO194" s="71"/>
      <c r="BP194" s="71"/>
      <c r="BQ194" s="71"/>
      <c r="BR194" s="71"/>
      <c r="BS194" s="71"/>
      <c r="BT194" s="72"/>
      <c r="BU194" s="59"/>
      <c r="BV194" s="59"/>
      <c r="BW194" s="59"/>
      <c r="BX194" s="59"/>
      <c r="BY194" s="59"/>
      <c r="BZ194" s="59"/>
      <c r="CA194" s="59"/>
    </row>
    <row r="195" spans="1:79">
      <c r="A195" s="59"/>
      <c r="B195" s="44" t="str">
        <f t="shared" si="5"/>
        <v/>
      </c>
      <c r="C195" s="70"/>
      <c r="D195" s="71"/>
      <c r="E195" s="71"/>
      <c r="F195" s="71"/>
      <c r="G195" s="71"/>
      <c r="H195" s="71"/>
      <c r="I195" s="72"/>
      <c r="J195" s="70"/>
      <c r="K195" s="71"/>
      <c r="L195" s="71"/>
      <c r="M195" s="71"/>
      <c r="N195" s="71"/>
      <c r="O195" s="71"/>
      <c r="P195" s="72"/>
      <c r="Q195" s="67"/>
      <c r="R195" s="68"/>
      <c r="S195" s="68"/>
      <c r="T195" s="68"/>
      <c r="U195" s="68"/>
      <c r="V195" s="68"/>
      <c r="W195" s="69"/>
      <c r="X195" s="67"/>
      <c r="Y195" s="68"/>
      <c r="Z195" s="68"/>
      <c r="AA195" s="68"/>
      <c r="AB195" s="68"/>
      <c r="AC195" s="68"/>
      <c r="AD195" s="69"/>
      <c r="AE195" s="70"/>
      <c r="AF195" s="71"/>
      <c r="AG195" s="71"/>
      <c r="AH195" s="71"/>
      <c r="AI195" s="71"/>
      <c r="AJ195" s="71"/>
      <c r="AK195" s="72"/>
      <c r="AL195" s="70"/>
      <c r="AM195" s="71"/>
      <c r="AN195" s="71"/>
      <c r="AO195" s="71"/>
      <c r="AP195" s="71"/>
      <c r="AQ195" s="71"/>
      <c r="AR195" s="72"/>
      <c r="AS195" s="67"/>
      <c r="AT195" s="68"/>
      <c r="AU195" s="68"/>
      <c r="AV195" s="68"/>
      <c r="AW195" s="68"/>
      <c r="AX195" s="68"/>
      <c r="AY195" s="69"/>
      <c r="AZ195" s="67"/>
      <c r="BA195" s="68"/>
      <c r="BB195" s="68"/>
      <c r="BC195" s="68"/>
      <c r="BD195" s="68"/>
      <c r="BE195" s="68"/>
      <c r="BF195" s="69"/>
      <c r="BG195" s="70"/>
      <c r="BH195" s="71"/>
      <c r="BI195" s="71"/>
      <c r="BJ195" s="71"/>
      <c r="BK195" s="71"/>
      <c r="BL195" s="71"/>
      <c r="BM195" s="72"/>
      <c r="BN195" s="70"/>
      <c r="BO195" s="71"/>
      <c r="BP195" s="71"/>
      <c r="BQ195" s="71"/>
      <c r="BR195" s="71"/>
      <c r="BS195" s="71"/>
      <c r="BT195" s="72"/>
      <c r="BU195" s="59"/>
      <c r="BV195" s="59"/>
      <c r="BW195" s="59"/>
      <c r="BX195" s="59"/>
      <c r="BY195" s="59"/>
      <c r="BZ195" s="59"/>
      <c r="CA195" s="59"/>
    </row>
    <row r="196" spans="1:79">
      <c r="A196" s="59"/>
      <c r="B196" s="44" t="str">
        <f t="shared" si="5"/>
        <v/>
      </c>
      <c r="C196" s="70"/>
      <c r="D196" s="71"/>
      <c r="E196" s="71"/>
      <c r="F196" s="71"/>
      <c r="G196" s="71"/>
      <c r="H196" s="71"/>
      <c r="I196" s="72"/>
      <c r="J196" s="70"/>
      <c r="K196" s="71"/>
      <c r="L196" s="71"/>
      <c r="M196" s="71"/>
      <c r="N196" s="71"/>
      <c r="O196" s="71"/>
      <c r="P196" s="72"/>
      <c r="Q196" s="67"/>
      <c r="R196" s="68"/>
      <c r="S196" s="68"/>
      <c r="T196" s="68"/>
      <c r="U196" s="68"/>
      <c r="V196" s="68"/>
      <c r="W196" s="69"/>
      <c r="X196" s="67"/>
      <c r="Y196" s="68"/>
      <c r="Z196" s="68"/>
      <c r="AA196" s="68"/>
      <c r="AB196" s="68"/>
      <c r="AC196" s="68"/>
      <c r="AD196" s="69"/>
      <c r="AE196" s="70"/>
      <c r="AF196" s="71"/>
      <c r="AG196" s="71"/>
      <c r="AH196" s="71"/>
      <c r="AI196" s="71"/>
      <c r="AJ196" s="71"/>
      <c r="AK196" s="72"/>
      <c r="AL196" s="70"/>
      <c r="AM196" s="71"/>
      <c r="AN196" s="71"/>
      <c r="AO196" s="71"/>
      <c r="AP196" s="71"/>
      <c r="AQ196" s="71"/>
      <c r="AR196" s="72"/>
      <c r="AS196" s="67"/>
      <c r="AT196" s="68"/>
      <c r="AU196" s="68"/>
      <c r="AV196" s="68"/>
      <c r="AW196" s="68"/>
      <c r="AX196" s="68"/>
      <c r="AY196" s="69"/>
      <c r="AZ196" s="67"/>
      <c r="BA196" s="68"/>
      <c r="BB196" s="68"/>
      <c r="BC196" s="68"/>
      <c r="BD196" s="68"/>
      <c r="BE196" s="68"/>
      <c r="BF196" s="69"/>
      <c r="BG196" s="70"/>
      <c r="BH196" s="71"/>
      <c r="BI196" s="71"/>
      <c r="BJ196" s="71"/>
      <c r="BK196" s="71"/>
      <c r="BL196" s="71"/>
      <c r="BM196" s="72"/>
      <c r="BN196" s="70"/>
      <c r="BO196" s="71"/>
      <c r="BP196" s="71"/>
      <c r="BQ196" s="71"/>
      <c r="BR196" s="71"/>
      <c r="BS196" s="71"/>
      <c r="BT196" s="72"/>
      <c r="BU196" s="59"/>
      <c r="BV196" s="59"/>
      <c r="BW196" s="59"/>
      <c r="BX196" s="59"/>
      <c r="BY196" s="59"/>
      <c r="BZ196" s="59"/>
      <c r="CA196" s="59"/>
    </row>
    <row r="197" spans="1:79">
      <c r="A197" s="59"/>
      <c r="B197" s="44" t="str">
        <f t="shared" si="5"/>
        <v/>
      </c>
      <c r="C197" s="70"/>
      <c r="D197" s="71"/>
      <c r="E197" s="71"/>
      <c r="F197" s="71"/>
      <c r="G197" s="71"/>
      <c r="H197" s="71"/>
      <c r="I197" s="72"/>
      <c r="J197" s="70"/>
      <c r="K197" s="71"/>
      <c r="L197" s="71"/>
      <c r="M197" s="71"/>
      <c r="N197" s="71"/>
      <c r="O197" s="71"/>
      <c r="P197" s="72"/>
      <c r="Q197" s="67"/>
      <c r="R197" s="68"/>
      <c r="S197" s="68"/>
      <c r="T197" s="68"/>
      <c r="U197" s="68"/>
      <c r="V197" s="68"/>
      <c r="W197" s="69"/>
      <c r="X197" s="67"/>
      <c r="Y197" s="68"/>
      <c r="Z197" s="68"/>
      <c r="AA197" s="68"/>
      <c r="AB197" s="68"/>
      <c r="AC197" s="68"/>
      <c r="AD197" s="69"/>
      <c r="AE197" s="70"/>
      <c r="AF197" s="71"/>
      <c r="AG197" s="71"/>
      <c r="AH197" s="71"/>
      <c r="AI197" s="71"/>
      <c r="AJ197" s="71"/>
      <c r="AK197" s="72"/>
      <c r="AL197" s="70"/>
      <c r="AM197" s="71"/>
      <c r="AN197" s="71"/>
      <c r="AO197" s="71"/>
      <c r="AP197" s="71"/>
      <c r="AQ197" s="71"/>
      <c r="AR197" s="72"/>
      <c r="AS197" s="67"/>
      <c r="AT197" s="68"/>
      <c r="AU197" s="68"/>
      <c r="AV197" s="68"/>
      <c r="AW197" s="68"/>
      <c r="AX197" s="68"/>
      <c r="AY197" s="69"/>
      <c r="AZ197" s="67"/>
      <c r="BA197" s="68"/>
      <c r="BB197" s="68"/>
      <c r="BC197" s="68"/>
      <c r="BD197" s="68"/>
      <c r="BE197" s="68"/>
      <c r="BF197" s="69"/>
      <c r="BG197" s="70"/>
      <c r="BH197" s="71"/>
      <c r="BI197" s="71"/>
      <c r="BJ197" s="71"/>
      <c r="BK197" s="71"/>
      <c r="BL197" s="71"/>
      <c r="BM197" s="72"/>
      <c r="BN197" s="70"/>
      <c r="BO197" s="71"/>
      <c r="BP197" s="71"/>
      <c r="BQ197" s="71"/>
      <c r="BR197" s="71"/>
      <c r="BS197" s="71"/>
      <c r="BT197" s="72"/>
      <c r="BU197" s="59"/>
      <c r="BV197" s="59"/>
      <c r="BW197" s="59"/>
      <c r="BX197" s="59"/>
      <c r="BY197" s="59"/>
      <c r="BZ197" s="59"/>
      <c r="CA197" s="59"/>
    </row>
    <row r="198" spans="1:79">
      <c r="A198" s="59"/>
      <c r="B198" s="44" t="str">
        <f t="shared" si="5"/>
        <v/>
      </c>
      <c r="C198" s="70"/>
      <c r="D198" s="71"/>
      <c r="E198" s="71"/>
      <c r="F198" s="71"/>
      <c r="G198" s="71"/>
      <c r="H198" s="71"/>
      <c r="I198" s="72"/>
      <c r="J198" s="70"/>
      <c r="K198" s="71"/>
      <c r="L198" s="71"/>
      <c r="M198" s="71"/>
      <c r="N198" s="71"/>
      <c r="O198" s="71"/>
      <c r="P198" s="72"/>
      <c r="Q198" s="67"/>
      <c r="R198" s="68"/>
      <c r="S198" s="68"/>
      <c r="T198" s="68"/>
      <c r="U198" s="68"/>
      <c r="V198" s="68"/>
      <c r="W198" s="69"/>
      <c r="X198" s="67"/>
      <c r="Y198" s="68"/>
      <c r="Z198" s="68"/>
      <c r="AA198" s="68"/>
      <c r="AB198" s="68"/>
      <c r="AC198" s="68"/>
      <c r="AD198" s="69"/>
      <c r="AE198" s="70"/>
      <c r="AF198" s="71"/>
      <c r="AG198" s="71"/>
      <c r="AH198" s="71"/>
      <c r="AI198" s="71"/>
      <c r="AJ198" s="71"/>
      <c r="AK198" s="72"/>
      <c r="AL198" s="70"/>
      <c r="AM198" s="71"/>
      <c r="AN198" s="71"/>
      <c r="AO198" s="71"/>
      <c r="AP198" s="71"/>
      <c r="AQ198" s="71"/>
      <c r="AR198" s="72"/>
      <c r="AS198" s="67"/>
      <c r="AT198" s="68"/>
      <c r="AU198" s="68"/>
      <c r="AV198" s="68"/>
      <c r="AW198" s="68"/>
      <c r="AX198" s="68"/>
      <c r="AY198" s="69"/>
      <c r="AZ198" s="67"/>
      <c r="BA198" s="68"/>
      <c r="BB198" s="68"/>
      <c r="BC198" s="68"/>
      <c r="BD198" s="68"/>
      <c r="BE198" s="68"/>
      <c r="BF198" s="69"/>
      <c r="BG198" s="70"/>
      <c r="BH198" s="71"/>
      <c r="BI198" s="71"/>
      <c r="BJ198" s="71"/>
      <c r="BK198" s="71"/>
      <c r="BL198" s="71"/>
      <c r="BM198" s="72"/>
      <c r="BN198" s="70"/>
      <c r="BO198" s="71"/>
      <c r="BP198" s="71"/>
      <c r="BQ198" s="71"/>
      <c r="BR198" s="71"/>
      <c r="BS198" s="71"/>
      <c r="BT198" s="72"/>
      <c r="BU198" s="59"/>
      <c r="BV198" s="59"/>
      <c r="BW198" s="59"/>
      <c r="BX198" s="59"/>
      <c r="BY198" s="59"/>
      <c r="BZ198" s="59"/>
      <c r="CA198" s="59"/>
    </row>
    <row r="199" spans="1:79">
      <c r="A199" s="59"/>
      <c r="B199" s="44" t="str">
        <f t="shared" si="5"/>
        <v/>
      </c>
      <c r="C199" s="70"/>
      <c r="D199" s="71"/>
      <c r="E199" s="71"/>
      <c r="F199" s="71"/>
      <c r="G199" s="71"/>
      <c r="H199" s="71"/>
      <c r="I199" s="72"/>
      <c r="J199" s="70"/>
      <c r="K199" s="71"/>
      <c r="L199" s="71"/>
      <c r="M199" s="71"/>
      <c r="N199" s="71"/>
      <c r="O199" s="71"/>
      <c r="P199" s="72"/>
      <c r="Q199" s="67"/>
      <c r="R199" s="68"/>
      <c r="S199" s="68"/>
      <c r="T199" s="68"/>
      <c r="U199" s="68"/>
      <c r="V199" s="68"/>
      <c r="W199" s="69"/>
      <c r="X199" s="67"/>
      <c r="Y199" s="68"/>
      <c r="Z199" s="68"/>
      <c r="AA199" s="68"/>
      <c r="AB199" s="68"/>
      <c r="AC199" s="68"/>
      <c r="AD199" s="69"/>
      <c r="AE199" s="70"/>
      <c r="AF199" s="71"/>
      <c r="AG199" s="71"/>
      <c r="AH199" s="71"/>
      <c r="AI199" s="71"/>
      <c r="AJ199" s="71"/>
      <c r="AK199" s="72"/>
      <c r="AL199" s="70"/>
      <c r="AM199" s="71"/>
      <c r="AN199" s="71"/>
      <c r="AO199" s="71"/>
      <c r="AP199" s="71"/>
      <c r="AQ199" s="71"/>
      <c r="AR199" s="72"/>
      <c r="AS199" s="67"/>
      <c r="AT199" s="68"/>
      <c r="AU199" s="68"/>
      <c r="AV199" s="68"/>
      <c r="AW199" s="68"/>
      <c r="AX199" s="68"/>
      <c r="AY199" s="69"/>
      <c r="AZ199" s="67"/>
      <c r="BA199" s="68"/>
      <c r="BB199" s="68"/>
      <c r="BC199" s="68"/>
      <c r="BD199" s="68"/>
      <c r="BE199" s="68"/>
      <c r="BF199" s="69"/>
      <c r="BG199" s="70"/>
      <c r="BH199" s="71"/>
      <c r="BI199" s="71"/>
      <c r="BJ199" s="71"/>
      <c r="BK199" s="71"/>
      <c r="BL199" s="71"/>
      <c r="BM199" s="72"/>
      <c r="BN199" s="70"/>
      <c r="BO199" s="71"/>
      <c r="BP199" s="71"/>
      <c r="BQ199" s="71"/>
      <c r="BR199" s="71"/>
      <c r="BS199" s="71"/>
      <c r="BT199" s="72"/>
      <c r="BU199" s="59"/>
      <c r="BV199" s="59"/>
      <c r="BW199" s="59"/>
      <c r="BX199" s="59"/>
      <c r="BY199" s="59"/>
      <c r="BZ199" s="59"/>
      <c r="CA199" s="59"/>
    </row>
    <row r="200" spans="1:79">
      <c r="A200" s="59"/>
      <c r="B200" s="44" t="str">
        <f t="shared" si="5"/>
        <v/>
      </c>
      <c r="C200" s="70"/>
      <c r="D200" s="71"/>
      <c r="E200" s="71"/>
      <c r="F200" s="71"/>
      <c r="G200" s="71"/>
      <c r="H200" s="71"/>
      <c r="I200" s="72"/>
      <c r="J200" s="70"/>
      <c r="K200" s="71"/>
      <c r="L200" s="71"/>
      <c r="M200" s="71"/>
      <c r="N200" s="71"/>
      <c r="O200" s="71"/>
      <c r="P200" s="72"/>
      <c r="Q200" s="67"/>
      <c r="R200" s="68"/>
      <c r="S200" s="68"/>
      <c r="T200" s="68"/>
      <c r="U200" s="68"/>
      <c r="V200" s="68"/>
      <c r="W200" s="69"/>
      <c r="X200" s="67"/>
      <c r="Y200" s="68"/>
      <c r="Z200" s="68"/>
      <c r="AA200" s="68"/>
      <c r="AB200" s="68"/>
      <c r="AC200" s="68"/>
      <c r="AD200" s="69"/>
      <c r="AE200" s="70"/>
      <c r="AF200" s="71"/>
      <c r="AG200" s="71"/>
      <c r="AH200" s="71"/>
      <c r="AI200" s="71"/>
      <c r="AJ200" s="71"/>
      <c r="AK200" s="72"/>
      <c r="AL200" s="70"/>
      <c r="AM200" s="71"/>
      <c r="AN200" s="71"/>
      <c r="AO200" s="71"/>
      <c r="AP200" s="71"/>
      <c r="AQ200" s="71"/>
      <c r="AR200" s="72"/>
      <c r="AS200" s="67"/>
      <c r="AT200" s="68"/>
      <c r="AU200" s="68"/>
      <c r="AV200" s="68"/>
      <c r="AW200" s="68"/>
      <c r="AX200" s="68"/>
      <c r="AY200" s="69"/>
      <c r="AZ200" s="67"/>
      <c r="BA200" s="68"/>
      <c r="BB200" s="68"/>
      <c r="BC200" s="68"/>
      <c r="BD200" s="68"/>
      <c r="BE200" s="68"/>
      <c r="BF200" s="69"/>
      <c r="BG200" s="70"/>
      <c r="BH200" s="71"/>
      <c r="BI200" s="71"/>
      <c r="BJ200" s="71"/>
      <c r="BK200" s="71"/>
      <c r="BL200" s="71"/>
      <c r="BM200" s="72"/>
      <c r="BN200" s="70"/>
      <c r="BO200" s="71"/>
      <c r="BP200" s="71"/>
      <c r="BQ200" s="71"/>
      <c r="BR200" s="71"/>
      <c r="BS200" s="71"/>
      <c r="BT200" s="72"/>
      <c r="BU200" s="59"/>
      <c r="BV200" s="59"/>
      <c r="BW200" s="59"/>
      <c r="BX200" s="59"/>
      <c r="BY200" s="59"/>
      <c r="BZ200" s="59"/>
      <c r="CA200" s="59"/>
    </row>
    <row r="201" spans="1:79">
      <c r="A201" s="59"/>
      <c r="B201" s="44" t="str">
        <f t="shared" si="5"/>
        <v/>
      </c>
      <c r="C201" s="70"/>
      <c r="D201" s="71"/>
      <c r="E201" s="71"/>
      <c r="F201" s="71"/>
      <c r="G201" s="71"/>
      <c r="H201" s="71"/>
      <c r="I201" s="72"/>
      <c r="J201" s="70"/>
      <c r="K201" s="71"/>
      <c r="L201" s="71"/>
      <c r="M201" s="71"/>
      <c r="N201" s="71"/>
      <c r="O201" s="71"/>
      <c r="P201" s="72"/>
      <c r="Q201" s="67"/>
      <c r="R201" s="68"/>
      <c r="S201" s="68"/>
      <c r="T201" s="68"/>
      <c r="U201" s="68"/>
      <c r="V201" s="68"/>
      <c r="W201" s="69"/>
      <c r="X201" s="67"/>
      <c r="Y201" s="68"/>
      <c r="Z201" s="68"/>
      <c r="AA201" s="68"/>
      <c r="AB201" s="68"/>
      <c r="AC201" s="68"/>
      <c r="AD201" s="69"/>
      <c r="AE201" s="70"/>
      <c r="AF201" s="71"/>
      <c r="AG201" s="71"/>
      <c r="AH201" s="71"/>
      <c r="AI201" s="71"/>
      <c r="AJ201" s="71"/>
      <c r="AK201" s="72"/>
      <c r="AL201" s="70"/>
      <c r="AM201" s="71"/>
      <c r="AN201" s="71"/>
      <c r="AO201" s="71"/>
      <c r="AP201" s="71"/>
      <c r="AQ201" s="71"/>
      <c r="AR201" s="72"/>
      <c r="AS201" s="67"/>
      <c r="AT201" s="68"/>
      <c r="AU201" s="68"/>
      <c r="AV201" s="68"/>
      <c r="AW201" s="68"/>
      <c r="AX201" s="68"/>
      <c r="AY201" s="69"/>
      <c r="AZ201" s="67"/>
      <c r="BA201" s="68"/>
      <c r="BB201" s="68"/>
      <c r="BC201" s="68"/>
      <c r="BD201" s="68"/>
      <c r="BE201" s="68"/>
      <c r="BF201" s="69"/>
      <c r="BG201" s="70"/>
      <c r="BH201" s="71"/>
      <c r="BI201" s="71"/>
      <c r="BJ201" s="71"/>
      <c r="BK201" s="71"/>
      <c r="BL201" s="71"/>
      <c r="BM201" s="72"/>
      <c r="BN201" s="70"/>
      <c r="BO201" s="71"/>
      <c r="BP201" s="71"/>
      <c r="BQ201" s="71"/>
      <c r="BR201" s="71"/>
      <c r="BS201" s="71"/>
      <c r="BT201" s="72"/>
      <c r="BU201" s="59"/>
      <c r="BV201" s="59"/>
      <c r="BW201" s="59"/>
      <c r="BX201" s="59"/>
      <c r="BY201" s="59"/>
      <c r="BZ201" s="59"/>
      <c r="CA201" s="59"/>
    </row>
    <row r="202" spans="1:79">
      <c r="A202" s="59"/>
      <c r="B202" s="44" t="str">
        <f t="shared" si="5"/>
        <v/>
      </c>
      <c r="C202" s="70"/>
      <c r="D202" s="71"/>
      <c r="E202" s="71"/>
      <c r="F202" s="71"/>
      <c r="G202" s="71"/>
      <c r="H202" s="71"/>
      <c r="I202" s="72"/>
      <c r="J202" s="70"/>
      <c r="K202" s="71"/>
      <c r="L202" s="71"/>
      <c r="M202" s="71"/>
      <c r="N202" s="71"/>
      <c r="O202" s="71"/>
      <c r="P202" s="72"/>
      <c r="Q202" s="67"/>
      <c r="R202" s="68"/>
      <c r="S202" s="68"/>
      <c r="T202" s="68"/>
      <c r="U202" s="68"/>
      <c r="V202" s="68"/>
      <c r="W202" s="69"/>
      <c r="X202" s="67"/>
      <c r="Y202" s="68"/>
      <c r="Z202" s="68"/>
      <c r="AA202" s="68"/>
      <c r="AB202" s="68"/>
      <c r="AC202" s="68"/>
      <c r="AD202" s="69"/>
      <c r="AE202" s="70"/>
      <c r="AF202" s="71"/>
      <c r="AG202" s="71"/>
      <c r="AH202" s="71"/>
      <c r="AI202" s="71"/>
      <c r="AJ202" s="71"/>
      <c r="AK202" s="72"/>
      <c r="AL202" s="70"/>
      <c r="AM202" s="71"/>
      <c r="AN202" s="71"/>
      <c r="AO202" s="71"/>
      <c r="AP202" s="71"/>
      <c r="AQ202" s="71"/>
      <c r="AR202" s="72"/>
      <c r="AS202" s="67"/>
      <c r="AT202" s="68"/>
      <c r="AU202" s="68"/>
      <c r="AV202" s="68"/>
      <c r="AW202" s="68"/>
      <c r="AX202" s="68"/>
      <c r="AY202" s="69"/>
      <c r="AZ202" s="67"/>
      <c r="BA202" s="68"/>
      <c r="BB202" s="68"/>
      <c r="BC202" s="68"/>
      <c r="BD202" s="68"/>
      <c r="BE202" s="68"/>
      <c r="BF202" s="69"/>
      <c r="BG202" s="70"/>
      <c r="BH202" s="71"/>
      <c r="BI202" s="71"/>
      <c r="BJ202" s="71"/>
      <c r="BK202" s="71"/>
      <c r="BL202" s="71"/>
      <c r="BM202" s="72"/>
      <c r="BN202" s="70"/>
      <c r="BO202" s="71"/>
      <c r="BP202" s="71"/>
      <c r="BQ202" s="71"/>
      <c r="BR202" s="71"/>
      <c r="BS202" s="71"/>
      <c r="BT202" s="72"/>
      <c r="BU202" s="59"/>
      <c r="BV202" s="59"/>
      <c r="BW202" s="59"/>
      <c r="BX202" s="59"/>
      <c r="BY202" s="59"/>
      <c r="BZ202" s="59"/>
      <c r="CA202" s="59"/>
    </row>
    <row r="203" spans="1:79">
      <c r="A203" s="59"/>
      <c r="B203" s="44" t="str">
        <f t="shared" ref="B203:B210" si="6">IF(Start_year+ROW(B203)-ROW($B$11)&gt;End_year,"",Start_year+ROW(B203)-ROW($B$11))</f>
        <v/>
      </c>
      <c r="C203" s="70"/>
      <c r="D203" s="71"/>
      <c r="E203" s="71"/>
      <c r="F203" s="71"/>
      <c r="G203" s="71"/>
      <c r="H203" s="71"/>
      <c r="I203" s="72"/>
      <c r="J203" s="70"/>
      <c r="K203" s="71"/>
      <c r="L203" s="71"/>
      <c r="M203" s="71"/>
      <c r="N203" s="71"/>
      <c r="O203" s="71"/>
      <c r="P203" s="72"/>
      <c r="Q203" s="67"/>
      <c r="R203" s="68"/>
      <c r="S203" s="68"/>
      <c r="T203" s="68"/>
      <c r="U203" s="68"/>
      <c r="V203" s="68"/>
      <c r="W203" s="69"/>
      <c r="X203" s="67"/>
      <c r="Y203" s="68"/>
      <c r="Z203" s="68"/>
      <c r="AA203" s="68"/>
      <c r="AB203" s="68"/>
      <c r="AC203" s="68"/>
      <c r="AD203" s="69"/>
      <c r="AE203" s="70"/>
      <c r="AF203" s="71"/>
      <c r="AG203" s="71"/>
      <c r="AH203" s="71"/>
      <c r="AI203" s="71"/>
      <c r="AJ203" s="71"/>
      <c r="AK203" s="72"/>
      <c r="AL203" s="70"/>
      <c r="AM203" s="71"/>
      <c r="AN203" s="71"/>
      <c r="AO203" s="71"/>
      <c r="AP203" s="71"/>
      <c r="AQ203" s="71"/>
      <c r="AR203" s="72"/>
      <c r="AS203" s="67"/>
      <c r="AT203" s="68"/>
      <c r="AU203" s="68"/>
      <c r="AV203" s="68"/>
      <c r="AW203" s="68"/>
      <c r="AX203" s="68"/>
      <c r="AY203" s="69"/>
      <c r="AZ203" s="67"/>
      <c r="BA203" s="68"/>
      <c r="BB203" s="68"/>
      <c r="BC203" s="68"/>
      <c r="BD203" s="68"/>
      <c r="BE203" s="68"/>
      <c r="BF203" s="69"/>
      <c r="BG203" s="70"/>
      <c r="BH203" s="71"/>
      <c r="BI203" s="71"/>
      <c r="BJ203" s="71"/>
      <c r="BK203" s="71"/>
      <c r="BL203" s="71"/>
      <c r="BM203" s="72"/>
      <c r="BN203" s="70"/>
      <c r="BO203" s="71"/>
      <c r="BP203" s="71"/>
      <c r="BQ203" s="71"/>
      <c r="BR203" s="71"/>
      <c r="BS203" s="71"/>
      <c r="BT203" s="72"/>
      <c r="BU203" s="59"/>
      <c r="BV203" s="59"/>
      <c r="BW203" s="59"/>
      <c r="BX203" s="59"/>
      <c r="BY203" s="59"/>
      <c r="BZ203" s="59"/>
      <c r="CA203" s="59"/>
    </row>
    <row r="204" spans="1:79">
      <c r="A204" s="59"/>
      <c r="B204" s="44" t="str">
        <f t="shared" si="6"/>
        <v/>
      </c>
      <c r="C204" s="70"/>
      <c r="D204" s="71"/>
      <c r="E204" s="71"/>
      <c r="F204" s="71"/>
      <c r="G204" s="71"/>
      <c r="H204" s="71"/>
      <c r="I204" s="72"/>
      <c r="J204" s="70"/>
      <c r="K204" s="71"/>
      <c r="L204" s="71"/>
      <c r="M204" s="71"/>
      <c r="N204" s="71"/>
      <c r="O204" s="71"/>
      <c r="P204" s="72"/>
      <c r="Q204" s="67"/>
      <c r="R204" s="68"/>
      <c r="S204" s="68"/>
      <c r="T204" s="68"/>
      <c r="U204" s="68"/>
      <c r="V204" s="68"/>
      <c r="W204" s="69"/>
      <c r="X204" s="67"/>
      <c r="Y204" s="68"/>
      <c r="Z204" s="68"/>
      <c r="AA204" s="68"/>
      <c r="AB204" s="68"/>
      <c r="AC204" s="68"/>
      <c r="AD204" s="69"/>
      <c r="AE204" s="70"/>
      <c r="AF204" s="71"/>
      <c r="AG204" s="71"/>
      <c r="AH204" s="71"/>
      <c r="AI204" s="71"/>
      <c r="AJ204" s="71"/>
      <c r="AK204" s="72"/>
      <c r="AL204" s="70"/>
      <c r="AM204" s="71"/>
      <c r="AN204" s="71"/>
      <c r="AO204" s="71"/>
      <c r="AP204" s="71"/>
      <c r="AQ204" s="71"/>
      <c r="AR204" s="72"/>
      <c r="AS204" s="67"/>
      <c r="AT204" s="68"/>
      <c r="AU204" s="68"/>
      <c r="AV204" s="68"/>
      <c r="AW204" s="68"/>
      <c r="AX204" s="68"/>
      <c r="AY204" s="69"/>
      <c r="AZ204" s="67"/>
      <c r="BA204" s="68"/>
      <c r="BB204" s="68"/>
      <c r="BC204" s="68"/>
      <c r="BD204" s="68"/>
      <c r="BE204" s="68"/>
      <c r="BF204" s="69"/>
      <c r="BG204" s="70"/>
      <c r="BH204" s="71"/>
      <c r="BI204" s="71"/>
      <c r="BJ204" s="71"/>
      <c r="BK204" s="71"/>
      <c r="BL204" s="71"/>
      <c r="BM204" s="72"/>
      <c r="BN204" s="70"/>
      <c r="BO204" s="71"/>
      <c r="BP204" s="71"/>
      <c r="BQ204" s="71"/>
      <c r="BR204" s="71"/>
      <c r="BS204" s="71"/>
      <c r="BT204" s="72"/>
      <c r="BU204" s="59"/>
      <c r="BV204" s="59"/>
      <c r="BW204" s="59"/>
      <c r="BX204" s="59"/>
      <c r="BY204" s="59"/>
      <c r="BZ204" s="59"/>
      <c r="CA204" s="59"/>
    </row>
    <row r="205" spans="1:79">
      <c r="A205" s="59"/>
      <c r="B205" s="44" t="str">
        <f t="shared" si="6"/>
        <v/>
      </c>
      <c r="C205" s="70"/>
      <c r="D205" s="71"/>
      <c r="E205" s="71"/>
      <c r="F205" s="71"/>
      <c r="G205" s="71"/>
      <c r="H205" s="71"/>
      <c r="I205" s="72"/>
      <c r="J205" s="70"/>
      <c r="K205" s="71"/>
      <c r="L205" s="71"/>
      <c r="M205" s="71"/>
      <c r="N205" s="71"/>
      <c r="O205" s="71"/>
      <c r="P205" s="72"/>
      <c r="Q205" s="67"/>
      <c r="R205" s="68"/>
      <c r="S205" s="68"/>
      <c r="T205" s="68"/>
      <c r="U205" s="68"/>
      <c r="V205" s="68"/>
      <c r="W205" s="69"/>
      <c r="X205" s="67"/>
      <c r="Y205" s="68"/>
      <c r="Z205" s="68"/>
      <c r="AA205" s="68"/>
      <c r="AB205" s="68"/>
      <c r="AC205" s="68"/>
      <c r="AD205" s="69"/>
      <c r="AE205" s="70"/>
      <c r="AF205" s="71"/>
      <c r="AG205" s="71"/>
      <c r="AH205" s="71"/>
      <c r="AI205" s="71"/>
      <c r="AJ205" s="71"/>
      <c r="AK205" s="72"/>
      <c r="AL205" s="70"/>
      <c r="AM205" s="71"/>
      <c r="AN205" s="71"/>
      <c r="AO205" s="71"/>
      <c r="AP205" s="71"/>
      <c r="AQ205" s="71"/>
      <c r="AR205" s="72"/>
      <c r="AS205" s="67"/>
      <c r="AT205" s="68"/>
      <c r="AU205" s="68"/>
      <c r="AV205" s="68"/>
      <c r="AW205" s="68"/>
      <c r="AX205" s="68"/>
      <c r="AY205" s="69"/>
      <c r="AZ205" s="67"/>
      <c r="BA205" s="68"/>
      <c r="BB205" s="68"/>
      <c r="BC205" s="68"/>
      <c r="BD205" s="68"/>
      <c r="BE205" s="68"/>
      <c r="BF205" s="69"/>
      <c r="BG205" s="70"/>
      <c r="BH205" s="71"/>
      <c r="BI205" s="71"/>
      <c r="BJ205" s="71"/>
      <c r="BK205" s="71"/>
      <c r="BL205" s="71"/>
      <c r="BM205" s="72"/>
      <c r="BN205" s="70"/>
      <c r="BO205" s="71"/>
      <c r="BP205" s="71"/>
      <c r="BQ205" s="71"/>
      <c r="BR205" s="71"/>
      <c r="BS205" s="71"/>
      <c r="BT205" s="72"/>
      <c r="BU205" s="59"/>
      <c r="BV205" s="59"/>
      <c r="BW205" s="59"/>
      <c r="BX205" s="59"/>
      <c r="BY205" s="59"/>
      <c r="BZ205" s="59"/>
      <c r="CA205" s="59"/>
    </row>
    <row r="206" spans="1:79">
      <c r="A206" s="59"/>
      <c r="B206" s="44" t="str">
        <f t="shared" si="6"/>
        <v/>
      </c>
      <c r="C206" s="70"/>
      <c r="D206" s="71"/>
      <c r="E206" s="71"/>
      <c r="F206" s="71"/>
      <c r="G206" s="71"/>
      <c r="H206" s="71"/>
      <c r="I206" s="72"/>
      <c r="J206" s="70"/>
      <c r="K206" s="71"/>
      <c r="L206" s="71"/>
      <c r="M206" s="71"/>
      <c r="N206" s="71"/>
      <c r="O206" s="71"/>
      <c r="P206" s="72"/>
      <c r="Q206" s="67"/>
      <c r="R206" s="68"/>
      <c r="S206" s="68"/>
      <c r="T206" s="68"/>
      <c r="U206" s="68"/>
      <c r="V206" s="68"/>
      <c r="W206" s="69"/>
      <c r="X206" s="67"/>
      <c r="Y206" s="68"/>
      <c r="Z206" s="68"/>
      <c r="AA206" s="68"/>
      <c r="AB206" s="68"/>
      <c r="AC206" s="68"/>
      <c r="AD206" s="69"/>
      <c r="AE206" s="70"/>
      <c r="AF206" s="71"/>
      <c r="AG206" s="71"/>
      <c r="AH206" s="71"/>
      <c r="AI206" s="71"/>
      <c r="AJ206" s="71"/>
      <c r="AK206" s="72"/>
      <c r="AL206" s="70"/>
      <c r="AM206" s="71"/>
      <c r="AN206" s="71"/>
      <c r="AO206" s="71"/>
      <c r="AP206" s="71"/>
      <c r="AQ206" s="71"/>
      <c r="AR206" s="72"/>
      <c r="AS206" s="67"/>
      <c r="AT206" s="68"/>
      <c r="AU206" s="68"/>
      <c r="AV206" s="68"/>
      <c r="AW206" s="68"/>
      <c r="AX206" s="68"/>
      <c r="AY206" s="69"/>
      <c r="AZ206" s="67"/>
      <c r="BA206" s="68"/>
      <c r="BB206" s="68"/>
      <c r="BC206" s="68"/>
      <c r="BD206" s="68"/>
      <c r="BE206" s="68"/>
      <c r="BF206" s="69"/>
      <c r="BG206" s="70"/>
      <c r="BH206" s="71"/>
      <c r="BI206" s="71"/>
      <c r="BJ206" s="71"/>
      <c r="BK206" s="71"/>
      <c r="BL206" s="71"/>
      <c r="BM206" s="72"/>
      <c r="BN206" s="70"/>
      <c r="BO206" s="71"/>
      <c r="BP206" s="71"/>
      <c r="BQ206" s="71"/>
      <c r="BR206" s="71"/>
      <c r="BS206" s="71"/>
      <c r="BT206" s="72"/>
      <c r="BU206" s="59"/>
      <c r="BV206" s="59"/>
      <c r="BW206" s="59"/>
      <c r="BX206" s="59"/>
      <c r="BY206" s="59"/>
      <c r="BZ206" s="59"/>
      <c r="CA206" s="59"/>
    </row>
    <row r="207" spans="1:79">
      <c r="A207" s="59"/>
      <c r="B207" s="44" t="str">
        <f t="shared" si="6"/>
        <v/>
      </c>
      <c r="C207" s="70"/>
      <c r="D207" s="71"/>
      <c r="E207" s="71"/>
      <c r="F207" s="71"/>
      <c r="G207" s="71"/>
      <c r="H207" s="71"/>
      <c r="I207" s="72"/>
      <c r="J207" s="70"/>
      <c r="K207" s="71"/>
      <c r="L207" s="71"/>
      <c r="M207" s="71"/>
      <c r="N207" s="71"/>
      <c r="O207" s="71"/>
      <c r="P207" s="72"/>
      <c r="Q207" s="67"/>
      <c r="R207" s="68"/>
      <c r="S207" s="68"/>
      <c r="T207" s="68"/>
      <c r="U207" s="68"/>
      <c r="V207" s="68"/>
      <c r="W207" s="69"/>
      <c r="X207" s="67"/>
      <c r="Y207" s="68"/>
      <c r="Z207" s="68"/>
      <c r="AA207" s="68"/>
      <c r="AB207" s="68"/>
      <c r="AC207" s="68"/>
      <c r="AD207" s="69"/>
      <c r="AE207" s="70"/>
      <c r="AF207" s="71"/>
      <c r="AG207" s="71"/>
      <c r="AH207" s="71"/>
      <c r="AI207" s="71"/>
      <c r="AJ207" s="71"/>
      <c r="AK207" s="72"/>
      <c r="AL207" s="70"/>
      <c r="AM207" s="71"/>
      <c r="AN207" s="71"/>
      <c r="AO207" s="71"/>
      <c r="AP207" s="71"/>
      <c r="AQ207" s="71"/>
      <c r="AR207" s="72"/>
      <c r="AS207" s="67"/>
      <c r="AT207" s="68"/>
      <c r="AU207" s="68"/>
      <c r="AV207" s="68"/>
      <c r="AW207" s="68"/>
      <c r="AX207" s="68"/>
      <c r="AY207" s="69"/>
      <c r="AZ207" s="67"/>
      <c r="BA207" s="68"/>
      <c r="BB207" s="68"/>
      <c r="BC207" s="68"/>
      <c r="BD207" s="68"/>
      <c r="BE207" s="68"/>
      <c r="BF207" s="69"/>
      <c r="BG207" s="70"/>
      <c r="BH207" s="71"/>
      <c r="BI207" s="71"/>
      <c r="BJ207" s="71"/>
      <c r="BK207" s="71"/>
      <c r="BL207" s="71"/>
      <c r="BM207" s="72"/>
      <c r="BN207" s="70"/>
      <c r="BO207" s="71"/>
      <c r="BP207" s="71"/>
      <c r="BQ207" s="71"/>
      <c r="BR207" s="71"/>
      <c r="BS207" s="71"/>
      <c r="BT207" s="72"/>
      <c r="BU207" s="59"/>
      <c r="BV207" s="59"/>
      <c r="BW207" s="59"/>
      <c r="BX207" s="59"/>
      <c r="BY207" s="59"/>
      <c r="BZ207" s="59"/>
      <c r="CA207" s="59"/>
    </row>
    <row r="208" spans="1:79">
      <c r="A208" s="59"/>
      <c r="B208" s="44" t="str">
        <f t="shared" si="6"/>
        <v/>
      </c>
      <c r="C208" s="70"/>
      <c r="D208" s="71"/>
      <c r="E208" s="71"/>
      <c r="F208" s="71"/>
      <c r="G208" s="71"/>
      <c r="H208" s="71"/>
      <c r="I208" s="72"/>
      <c r="J208" s="70"/>
      <c r="K208" s="71"/>
      <c r="L208" s="71"/>
      <c r="M208" s="71"/>
      <c r="N208" s="71"/>
      <c r="O208" s="71"/>
      <c r="P208" s="72"/>
      <c r="Q208" s="67"/>
      <c r="R208" s="68"/>
      <c r="S208" s="68"/>
      <c r="T208" s="68"/>
      <c r="U208" s="68"/>
      <c r="V208" s="68"/>
      <c r="W208" s="69"/>
      <c r="X208" s="67"/>
      <c r="Y208" s="68"/>
      <c r="Z208" s="68"/>
      <c r="AA208" s="68"/>
      <c r="AB208" s="68"/>
      <c r="AC208" s="68"/>
      <c r="AD208" s="69"/>
      <c r="AE208" s="70"/>
      <c r="AF208" s="71"/>
      <c r="AG208" s="71"/>
      <c r="AH208" s="71"/>
      <c r="AI208" s="71"/>
      <c r="AJ208" s="71"/>
      <c r="AK208" s="72"/>
      <c r="AL208" s="70"/>
      <c r="AM208" s="71"/>
      <c r="AN208" s="71"/>
      <c r="AO208" s="71"/>
      <c r="AP208" s="71"/>
      <c r="AQ208" s="71"/>
      <c r="AR208" s="72"/>
      <c r="AS208" s="67"/>
      <c r="AT208" s="68"/>
      <c r="AU208" s="68"/>
      <c r="AV208" s="68"/>
      <c r="AW208" s="68"/>
      <c r="AX208" s="68"/>
      <c r="AY208" s="69"/>
      <c r="AZ208" s="67"/>
      <c r="BA208" s="68"/>
      <c r="BB208" s="68"/>
      <c r="BC208" s="68"/>
      <c r="BD208" s="68"/>
      <c r="BE208" s="68"/>
      <c r="BF208" s="69"/>
      <c r="BG208" s="70"/>
      <c r="BH208" s="71"/>
      <c r="BI208" s="71"/>
      <c r="BJ208" s="71"/>
      <c r="BK208" s="71"/>
      <c r="BL208" s="71"/>
      <c r="BM208" s="72"/>
      <c r="BN208" s="70"/>
      <c r="BO208" s="71"/>
      <c r="BP208" s="71"/>
      <c r="BQ208" s="71"/>
      <c r="BR208" s="71"/>
      <c r="BS208" s="71"/>
      <c r="BT208" s="72"/>
      <c r="BU208" s="59"/>
      <c r="BV208" s="59"/>
      <c r="BW208" s="59"/>
      <c r="BX208" s="59"/>
      <c r="BY208" s="59"/>
      <c r="BZ208" s="59"/>
      <c r="CA208" s="59"/>
    </row>
    <row r="209" spans="1:79">
      <c r="A209" s="59"/>
      <c r="B209" s="44" t="str">
        <f t="shared" si="6"/>
        <v/>
      </c>
      <c r="C209" s="70"/>
      <c r="D209" s="71"/>
      <c r="E209" s="71"/>
      <c r="F209" s="71"/>
      <c r="G209" s="71"/>
      <c r="H209" s="71"/>
      <c r="I209" s="72"/>
      <c r="J209" s="70"/>
      <c r="K209" s="71"/>
      <c r="L209" s="71"/>
      <c r="M209" s="71"/>
      <c r="N209" s="71"/>
      <c r="O209" s="71"/>
      <c r="P209" s="72"/>
      <c r="Q209" s="67"/>
      <c r="R209" s="68"/>
      <c r="S209" s="68"/>
      <c r="T209" s="68"/>
      <c r="U209" s="68"/>
      <c r="V209" s="68"/>
      <c r="W209" s="69"/>
      <c r="X209" s="67"/>
      <c r="Y209" s="68"/>
      <c r="Z209" s="68"/>
      <c r="AA209" s="68"/>
      <c r="AB209" s="68"/>
      <c r="AC209" s="68"/>
      <c r="AD209" s="69"/>
      <c r="AE209" s="70"/>
      <c r="AF209" s="71"/>
      <c r="AG209" s="71"/>
      <c r="AH209" s="71"/>
      <c r="AI209" s="71"/>
      <c r="AJ209" s="71"/>
      <c r="AK209" s="72"/>
      <c r="AL209" s="70"/>
      <c r="AM209" s="71"/>
      <c r="AN209" s="71"/>
      <c r="AO209" s="71"/>
      <c r="AP209" s="71"/>
      <c r="AQ209" s="71"/>
      <c r="AR209" s="72"/>
      <c r="AS209" s="67"/>
      <c r="AT209" s="68"/>
      <c r="AU209" s="68"/>
      <c r="AV209" s="68"/>
      <c r="AW209" s="68"/>
      <c r="AX209" s="68"/>
      <c r="AY209" s="69"/>
      <c r="AZ209" s="67"/>
      <c r="BA209" s="68"/>
      <c r="BB209" s="68"/>
      <c r="BC209" s="68"/>
      <c r="BD209" s="68"/>
      <c r="BE209" s="68"/>
      <c r="BF209" s="69"/>
      <c r="BG209" s="70"/>
      <c r="BH209" s="71"/>
      <c r="BI209" s="71"/>
      <c r="BJ209" s="71"/>
      <c r="BK209" s="71"/>
      <c r="BL209" s="71"/>
      <c r="BM209" s="72"/>
      <c r="BN209" s="70"/>
      <c r="BO209" s="71"/>
      <c r="BP209" s="71"/>
      <c r="BQ209" s="71"/>
      <c r="BR209" s="71"/>
      <c r="BS209" s="71"/>
      <c r="BT209" s="72"/>
      <c r="BU209" s="59"/>
      <c r="BV209" s="59"/>
      <c r="BW209" s="59"/>
      <c r="BX209" s="59"/>
      <c r="BY209" s="59"/>
      <c r="BZ209" s="59"/>
      <c r="CA209" s="59"/>
    </row>
    <row r="210" spans="1:79" ht="14.65" thickBot="1">
      <c r="A210" s="59"/>
      <c r="B210" s="44" t="str">
        <f t="shared" si="6"/>
        <v/>
      </c>
      <c r="C210" s="76"/>
      <c r="D210" s="77"/>
      <c r="E210" s="77"/>
      <c r="F210" s="77"/>
      <c r="G210" s="77"/>
      <c r="H210" s="77"/>
      <c r="I210" s="78"/>
      <c r="J210" s="76"/>
      <c r="K210" s="77"/>
      <c r="L210" s="77"/>
      <c r="M210" s="77"/>
      <c r="N210" s="77"/>
      <c r="O210" s="77"/>
      <c r="P210" s="78"/>
      <c r="Q210" s="67"/>
      <c r="R210" s="68"/>
      <c r="S210" s="68"/>
      <c r="T210" s="68"/>
      <c r="U210" s="68"/>
      <c r="V210" s="68"/>
      <c r="W210" s="69"/>
      <c r="X210" s="67"/>
      <c r="Y210" s="68"/>
      <c r="Z210" s="68"/>
      <c r="AA210" s="68"/>
      <c r="AB210" s="68"/>
      <c r="AC210" s="68"/>
      <c r="AD210" s="69"/>
      <c r="AE210" s="76"/>
      <c r="AF210" s="77"/>
      <c r="AG210" s="77"/>
      <c r="AH210" s="77"/>
      <c r="AI210" s="77"/>
      <c r="AJ210" s="77"/>
      <c r="AK210" s="78"/>
      <c r="AL210" s="76"/>
      <c r="AM210" s="77"/>
      <c r="AN210" s="77"/>
      <c r="AO210" s="77"/>
      <c r="AP210" s="77"/>
      <c r="AQ210" s="77"/>
      <c r="AR210" s="78"/>
      <c r="AS210" s="67"/>
      <c r="AT210" s="68"/>
      <c r="AU210" s="68"/>
      <c r="AV210" s="68"/>
      <c r="AW210" s="68"/>
      <c r="AX210" s="68"/>
      <c r="AY210" s="69"/>
      <c r="AZ210" s="67"/>
      <c r="BA210" s="68"/>
      <c r="BB210" s="68"/>
      <c r="BC210" s="68"/>
      <c r="BD210" s="68"/>
      <c r="BE210" s="68"/>
      <c r="BF210" s="69"/>
      <c r="BG210" s="76"/>
      <c r="BH210" s="77"/>
      <c r="BI210" s="77"/>
      <c r="BJ210" s="77"/>
      <c r="BK210" s="77"/>
      <c r="BL210" s="77"/>
      <c r="BM210" s="78"/>
      <c r="BN210" s="76"/>
      <c r="BO210" s="77"/>
      <c r="BP210" s="77"/>
      <c r="BQ210" s="77"/>
      <c r="BR210" s="77"/>
      <c r="BS210" s="77"/>
      <c r="BT210" s="78"/>
      <c r="BU210" s="59"/>
      <c r="BV210" s="59"/>
      <c r="BW210" s="59"/>
      <c r="BX210" s="59"/>
      <c r="BY210" s="59"/>
      <c r="BZ210" s="59"/>
      <c r="CA210" s="59"/>
    </row>
    <row r="211" spans="1:79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9"/>
      <c r="BX211" s="59"/>
      <c r="BY211" s="59"/>
      <c r="BZ211" s="59"/>
      <c r="CA211" s="59"/>
    </row>
    <row r="212" spans="1:79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</row>
    <row r="213" spans="1:79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59"/>
      <c r="BW213" s="59"/>
      <c r="BX213" s="59"/>
      <c r="BY213" s="59"/>
      <c r="BZ213" s="59"/>
      <c r="CA213" s="59"/>
    </row>
    <row r="214" spans="1:79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59"/>
      <c r="BW214" s="59"/>
      <c r="BX214" s="59"/>
      <c r="BY214" s="59"/>
      <c r="BZ214" s="59"/>
      <c r="CA214" s="59"/>
    </row>
    <row r="215" spans="1:79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</row>
    <row r="216" spans="1:79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9"/>
      <c r="BX216" s="59"/>
      <c r="BY216" s="59"/>
      <c r="BZ216" s="59"/>
      <c r="CA216" s="59"/>
    </row>
  </sheetData>
  <sheetProtection algorithmName="SHA-512" hashValue="syfnGJP5/MQoezIgFxoMazVlMuopGBrQ6wd6lny9kW3fd6NTTGfa9K4M5h0baOa81d5nmr8ZOe8qF9Cpwe4GHg==" saltValue="P1P6xZEeNeLRcuBVucqQoQ==" spinCount="100000" sheet="1" objects="1" scenarios="1"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BO59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G22" sqref="G22"/>
    </sheetView>
  </sheetViews>
  <sheetFormatPr defaultColWidth="8.73046875" defaultRowHeight="12.75"/>
  <cols>
    <col min="1" max="1" width="8.86328125" style="2" bestFit="1" customWidth="1"/>
    <col min="2" max="2" width="26.1328125" style="2" customWidth="1"/>
    <col min="3" max="3" width="22.73046875" style="2" bestFit="1" customWidth="1"/>
    <col min="4" max="15" width="9.73046875" style="193" customWidth="1"/>
    <col min="16" max="17" width="11.3984375" style="193" customWidth="1"/>
    <col min="18" max="18" width="11" style="193" customWidth="1"/>
    <col min="19" max="20" width="11" style="269" customWidth="1"/>
    <col min="21" max="21" width="11" style="270" customWidth="1"/>
    <col min="22" max="25" width="9.73046875" style="270" customWidth="1"/>
    <col min="26" max="41" width="9.73046875" style="2" customWidth="1"/>
    <col min="42" max="16384" width="8.73046875" style="2"/>
  </cols>
  <sheetData>
    <row r="1" spans="1:67" ht="17.100000000000001" customHeight="1">
      <c r="A1" s="240"/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1"/>
      <c r="Q1" s="241"/>
      <c r="R1" s="241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</row>
    <row r="2" spans="1:67" ht="28.5" customHeight="1">
      <c r="A2" s="231" t="s">
        <v>233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1"/>
      <c r="Q2" s="241"/>
      <c r="R2" s="241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0"/>
      <c r="BB2" s="240"/>
      <c r="BC2" s="240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</row>
    <row r="3" spans="1:67" ht="17.100000000000001" customHeight="1">
      <c r="A3" s="240"/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1"/>
      <c r="Q3" s="241"/>
      <c r="R3" s="241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</row>
    <row r="4" spans="1:67" ht="12.6" hidden="1" customHeight="1">
      <c r="A4" s="240"/>
      <c r="B4" s="24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1"/>
      <c r="Q4" s="241"/>
      <c r="R4" s="241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40"/>
      <c r="AJ4" s="240"/>
      <c r="AK4" s="240"/>
      <c r="AL4" s="240"/>
      <c r="AM4" s="240"/>
      <c r="AN4" s="240"/>
      <c r="AO4" s="240"/>
      <c r="AP4" s="240"/>
      <c r="AQ4" s="240"/>
      <c r="AR4" s="240"/>
      <c r="AS4" s="240"/>
      <c r="AT4" s="240"/>
      <c r="AU4" s="240"/>
      <c r="AV4" s="240"/>
      <c r="AW4" s="240"/>
      <c r="AX4" s="240"/>
      <c r="AY4" s="240"/>
      <c r="AZ4" s="240"/>
      <c r="BA4" s="240"/>
      <c r="BB4" s="240"/>
      <c r="BC4" s="240"/>
      <c r="BD4" s="240"/>
      <c r="BE4" s="240"/>
      <c r="BF4" s="240"/>
      <c r="BG4" s="240"/>
      <c r="BH4" s="240"/>
      <c r="BI4" s="240"/>
      <c r="BJ4" s="240"/>
      <c r="BK4" s="240"/>
      <c r="BL4" s="240"/>
      <c r="BM4" s="240"/>
      <c r="BN4" s="240"/>
      <c r="BO4" s="240"/>
    </row>
    <row r="5" spans="1:67" ht="12.6" hidden="1" customHeight="1">
      <c r="A5" s="240"/>
      <c r="B5" s="24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1"/>
      <c r="Q5" s="241"/>
      <c r="R5" s="241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0"/>
      <c r="AS5" s="240"/>
      <c r="AT5" s="240"/>
      <c r="AU5" s="240"/>
      <c r="AV5" s="240"/>
      <c r="AW5" s="240"/>
      <c r="AX5" s="240"/>
      <c r="AY5" s="240"/>
      <c r="AZ5" s="240"/>
      <c r="BA5" s="240"/>
      <c r="BB5" s="240"/>
      <c r="BC5" s="240"/>
      <c r="BD5" s="240"/>
      <c r="BE5" s="240"/>
      <c r="BF5" s="240"/>
      <c r="BG5" s="240"/>
      <c r="BH5" s="240"/>
      <c r="BI5" s="240"/>
      <c r="BJ5" s="240"/>
      <c r="BK5" s="240"/>
      <c r="BL5" s="240"/>
      <c r="BM5" s="240"/>
      <c r="BN5" s="240"/>
      <c r="BO5" s="240"/>
    </row>
    <row r="6" spans="1:67" ht="12.6" hidden="1" customHeight="1">
      <c r="A6" s="240"/>
      <c r="B6" s="24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1"/>
      <c r="Q6" s="241"/>
      <c r="R6" s="241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240"/>
      <c r="BG6" s="240"/>
      <c r="BH6" s="240"/>
      <c r="BI6" s="240"/>
      <c r="BJ6" s="240"/>
      <c r="BK6" s="240"/>
      <c r="BL6" s="240"/>
      <c r="BM6" s="240"/>
      <c r="BN6" s="240"/>
      <c r="BO6" s="240"/>
    </row>
    <row r="7" spans="1:67" ht="8.1" customHeight="1" thickBot="1">
      <c r="A7" s="240"/>
      <c r="B7" s="24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1"/>
      <c r="Q7" s="241"/>
      <c r="R7" s="241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</row>
    <row r="8" spans="1:67" s="1" customFormat="1" ht="20.100000000000001" customHeight="1">
      <c r="A8" s="242"/>
      <c r="B8" s="242"/>
      <c r="C8" s="243"/>
      <c r="D8" s="244" t="s">
        <v>409</v>
      </c>
      <c r="E8" s="242"/>
      <c r="F8" s="242"/>
      <c r="G8" s="242"/>
      <c r="H8" s="242"/>
      <c r="I8" s="245"/>
      <c r="J8" s="246"/>
      <c r="K8" s="242"/>
      <c r="L8" s="242"/>
      <c r="M8" s="242"/>
      <c r="N8" s="242"/>
      <c r="O8" s="247"/>
      <c r="P8" s="242" t="s">
        <v>436</v>
      </c>
      <c r="Q8" s="242"/>
      <c r="R8" s="242"/>
      <c r="S8" s="242"/>
      <c r="T8" s="242"/>
      <c r="U8" s="242"/>
      <c r="V8" s="242"/>
      <c r="W8" s="242"/>
      <c r="X8" s="242"/>
      <c r="Y8" s="248"/>
      <c r="Z8" s="249"/>
      <c r="AA8" s="243"/>
      <c r="AB8" s="250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</row>
    <row r="9" spans="1:67" s="58" customFormat="1" ht="20.100000000000001" customHeight="1">
      <c r="A9" s="251"/>
      <c r="B9" s="251"/>
      <c r="C9" s="252" t="s">
        <v>407</v>
      </c>
      <c r="D9" s="253" t="s">
        <v>223</v>
      </c>
      <c r="E9" s="254" t="s">
        <v>410</v>
      </c>
      <c r="F9" s="255"/>
      <c r="G9" s="255"/>
      <c r="H9" s="255"/>
      <c r="I9" s="256"/>
      <c r="J9" s="254" t="s">
        <v>427</v>
      </c>
      <c r="K9" s="255"/>
      <c r="L9" s="255"/>
      <c r="M9" s="255"/>
      <c r="N9" s="255"/>
      <c r="O9" s="257"/>
      <c r="P9" s="255" t="s">
        <v>437</v>
      </c>
      <c r="Q9" s="255"/>
      <c r="R9" s="255"/>
      <c r="S9" s="255"/>
      <c r="T9" s="255"/>
      <c r="U9" s="258" t="s">
        <v>438</v>
      </c>
      <c r="V9" s="255"/>
      <c r="W9" s="255"/>
      <c r="X9" s="255"/>
      <c r="Y9" s="255"/>
      <c r="Z9" s="259" t="s">
        <v>417</v>
      </c>
      <c r="AA9" s="260"/>
      <c r="AB9" s="229" t="s">
        <v>420</v>
      </c>
      <c r="AC9" s="251"/>
      <c r="AD9" s="261"/>
      <c r="AE9" s="261"/>
      <c r="AF9" s="261"/>
      <c r="AG9" s="261"/>
      <c r="AH9" s="261"/>
      <c r="AI9" s="261"/>
      <c r="AJ9" s="261"/>
      <c r="AK9" s="261"/>
      <c r="AL9" s="261"/>
      <c r="AM9" s="261"/>
      <c r="AN9" s="261"/>
      <c r="AO9" s="261"/>
      <c r="AP9" s="261"/>
      <c r="AQ9" s="261"/>
      <c r="AR9" s="261"/>
      <c r="AS9" s="261"/>
      <c r="AT9" s="261"/>
      <c r="AU9" s="261"/>
      <c r="AV9" s="261"/>
      <c r="AW9" s="261"/>
      <c r="AX9" s="261"/>
      <c r="AY9" s="261"/>
      <c r="AZ9" s="261"/>
      <c r="BA9" s="261"/>
      <c r="BB9" s="261"/>
      <c r="BC9" s="261"/>
      <c r="BD9" s="261"/>
      <c r="BE9" s="261"/>
      <c r="BF9" s="261"/>
      <c r="BG9" s="261"/>
      <c r="BH9" s="261"/>
      <c r="BI9" s="261"/>
      <c r="BJ9" s="261"/>
      <c r="BK9" s="261"/>
      <c r="BL9" s="261"/>
      <c r="BM9" s="261"/>
      <c r="BN9" s="261"/>
      <c r="BO9" s="261"/>
    </row>
    <row r="10" spans="1:67" s="58" customFormat="1" ht="19.5" customHeight="1">
      <c r="A10" s="262" t="s">
        <v>40</v>
      </c>
      <c r="B10" s="262" t="s">
        <v>406</v>
      </c>
      <c r="C10" s="263" t="s">
        <v>408</v>
      </c>
      <c r="D10" s="264" t="s">
        <v>223</v>
      </c>
      <c r="E10" s="265" t="s">
        <v>487</v>
      </c>
      <c r="F10" s="266" t="s">
        <v>488</v>
      </c>
      <c r="G10" s="266" t="s">
        <v>489</v>
      </c>
      <c r="H10" s="266" t="s">
        <v>490</v>
      </c>
      <c r="I10" s="238" t="s">
        <v>491</v>
      </c>
      <c r="J10" s="265" t="s">
        <v>411</v>
      </c>
      <c r="K10" s="266" t="s">
        <v>412</v>
      </c>
      <c r="L10" s="266" t="s">
        <v>413</v>
      </c>
      <c r="M10" s="266" t="s">
        <v>414</v>
      </c>
      <c r="N10" s="266" t="s">
        <v>415</v>
      </c>
      <c r="O10" s="266" t="s">
        <v>416</v>
      </c>
      <c r="P10" s="267" t="s">
        <v>431</v>
      </c>
      <c r="Q10" s="267" t="s">
        <v>432</v>
      </c>
      <c r="R10" s="267" t="s">
        <v>433</v>
      </c>
      <c r="S10" s="262" t="s">
        <v>434</v>
      </c>
      <c r="T10" s="262" t="s">
        <v>435</v>
      </c>
      <c r="U10" s="262" t="s">
        <v>431</v>
      </c>
      <c r="V10" s="262" t="s">
        <v>432</v>
      </c>
      <c r="W10" s="262" t="s">
        <v>433</v>
      </c>
      <c r="X10" s="262" t="s">
        <v>434</v>
      </c>
      <c r="Y10" s="262" t="s">
        <v>435</v>
      </c>
      <c r="Z10" s="262" t="s">
        <v>418</v>
      </c>
      <c r="AA10" s="262" t="s">
        <v>419</v>
      </c>
      <c r="AB10" s="262" t="s">
        <v>421</v>
      </c>
      <c r="AC10" s="262" t="s">
        <v>422</v>
      </c>
      <c r="AD10" s="262" t="s">
        <v>423</v>
      </c>
      <c r="AE10" s="262" t="s">
        <v>424</v>
      </c>
      <c r="AF10" s="262" t="s">
        <v>439</v>
      </c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AQ10" s="262"/>
      <c r="AR10" s="262"/>
      <c r="AS10" s="262"/>
      <c r="AT10" s="262"/>
      <c r="AU10" s="262"/>
      <c r="AV10" s="262"/>
      <c r="AW10" s="262"/>
      <c r="AX10" s="262"/>
      <c r="AY10" s="262"/>
      <c r="AZ10" s="262"/>
      <c r="BA10" s="262"/>
      <c r="BB10" s="262"/>
      <c r="BC10" s="262"/>
      <c r="BD10" s="262"/>
      <c r="BE10" s="262"/>
      <c r="BF10" s="262"/>
      <c r="BG10" s="262"/>
      <c r="BH10" s="262"/>
      <c r="BI10" s="262"/>
      <c r="BJ10" s="262"/>
      <c r="BK10" s="262"/>
      <c r="BL10" s="262"/>
      <c r="BM10" s="262"/>
      <c r="BN10" s="262"/>
      <c r="BO10" s="262"/>
    </row>
    <row r="11" spans="1:67">
      <c r="B11" s="210"/>
      <c r="C11" s="268"/>
    </row>
    <row r="12" spans="1:67" ht="13.15">
      <c r="B12" s="271"/>
    </row>
    <row r="13" spans="1:67" ht="13.15">
      <c r="B13" s="271"/>
    </row>
    <row r="14" spans="1:67" ht="13.15">
      <c r="B14" s="271"/>
    </row>
    <row r="15" spans="1:67" ht="13.15">
      <c r="B15" s="271"/>
    </row>
    <row r="16" spans="1:67" ht="13.15">
      <c r="B16" s="271"/>
    </row>
    <row r="17" spans="2:2" ht="13.15">
      <c r="B17" s="271"/>
    </row>
    <row r="18" spans="2:2" ht="13.15">
      <c r="B18" s="271"/>
    </row>
    <row r="19" spans="2:2" ht="13.15">
      <c r="B19" s="271"/>
    </row>
    <row r="20" spans="2:2" ht="13.15">
      <c r="B20" s="271"/>
    </row>
    <row r="21" spans="2:2" ht="13.15">
      <c r="B21" s="271"/>
    </row>
    <row r="22" spans="2:2" ht="13.15">
      <c r="B22" s="271"/>
    </row>
    <row r="23" spans="2:2" ht="13.15">
      <c r="B23" s="271"/>
    </row>
    <row r="24" spans="2:2" ht="13.15">
      <c r="B24" s="271"/>
    </row>
    <row r="25" spans="2:2" ht="13.15">
      <c r="B25" s="271"/>
    </row>
    <row r="26" spans="2:2" ht="13.15">
      <c r="B26" s="271"/>
    </row>
    <row r="27" spans="2:2" ht="13.15">
      <c r="B27" s="271"/>
    </row>
    <row r="28" spans="2:2" ht="13.15">
      <c r="B28" s="271"/>
    </row>
    <row r="29" spans="2:2" ht="13.15">
      <c r="B29" s="271"/>
    </row>
    <row r="30" spans="2:2" ht="13.15">
      <c r="B30" s="271"/>
    </row>
    <row r="31" spans="2:2" ht="13.15">
      <c r="B31" s="271"/>
    </row>
    <row r="32" spans="2:2" ht="13.15">
      <c r="B32" s="271"/>
    </row>
    <row r="33" spans="2:2" ht="13.15">
      <c r="B33" s="271"/>
    </row>
    <row r="34" spans="2:2" ht="13.15">
      <c r="B34" s="271"/>
    </row>
    <row r="35" spans="2:2" ht="13.15">
      <c r="B35" s="271"/>
    </row>
    <row r="36" spans="2:2" ht="13.15">
      <c r="B36" s="271"/>
    </row>
    <row r="37" spans="2:2" ht="13.15">
      <c r="B37" s="271"/>
    </row>
    <row r="38" spans="2:2" ht="13.15">
      <c r="B38" s="271"/>
    </row>
    <row r="39" spans="2:2" ht="13.15">
      <c r="B39" s="271"/>
    </row>
    <row r="40" spans="2:2" ht="13.15">
      <c r="B40" s="271"/>
    </row>
    <row r="41" spans="2:2" ht="13.15">
      <c r="B41" s="271"/>
    </row>
    <row r="42" spans="2:2" ht="13.15">
      <c r="B42" s="271"/>
    </row>
    <row r="43" spans="2:2" ht="13.15">
      <c r="B43" s="271"/>
    </row>
    <row r="44" spans="2:2" ht="13.15">
      <c r="B44" s="271"/>
    </row>
    <row r="45" spans="2:2" ht="13.15">
      <c r="B45" s="271"/>
    </row>
    <row r="46" spans="2:2" ht="13.15">
      <c r="B46" s="271"/>
    </row>
    <row r="47" spans="2:2" ht="13.15">
      <c r="B47" s="271"/>
    </row>
    <row r="48" spans="2:2" ht="13.15">
      <c r="B48" s="271"/>
    </row>
    <row r="49" spans="2:2" ht="13.15">
      <c r="B49" s="271"/>
    </row>
    <row r="50" spans="2:2" ht="13.15">
      <c r="B50" s="271"/>
    </row>
    <row r="51" spans="2:2" ht="13.15">
      <c r="B51" s="271"/>
    </row>
    <row r="52" spans="2:2" ht="13.15">
      <c r="B52" s="271"/>
    </row>
    <row r="53" spans="2:2" ht="13.15">
      <c r="B53" s="271"/>
    </row>
    <row r="54" spans="2:2" ht="13.15">
      <c r="B54" s="271"/>
    </row>
    <row r="55" spans="2:2" ht="13.15">
      <c r="B55" s="271"/>
    </row>
    <row r="56" spans="2:2" ht="13.15">
      <c r="B56" s="271"/>
    </row>
    <row r="57" spans="2:2" ht="13.15">
      <c r="B57" s="271"/>
    </row>
    <row r="58" spans="2:2" ht="13.15">
      <c r="B58" s="271"/>
    </row>
    <row r="59" spans="2:2" ht="13.15">
      <c r="B59" s="271"/>
    </row>
  </sheetData>
  <phoneticPr fontId="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B2803-9DBD-420C-AE42-5856814F4DD0}">
  <sheetPr codeName="Sheet25">
    <tabColor rgb="FF0081E2"/>
  </sheetPr>
  <dimension ref="A1:CA216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K22" sqref="K22"/>
    </sheetView>
  </sheetViews>
  <sheetFormatPr defaultColWidth="8.73046875" defaultRowHeight="14.25"/>
  <cols>
    <col min="1" max="1" width="4.73046875" customWidth="1"/>
    <col min="2" max="2" width="13.59765625" customWidth="1"/>
  </cols>
  <sheetData>
    <row r="1" spans="1:79" ht="24.95" customHeight="1">
      <c r="A1" s="38" t="s">
        <v>485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</row>
    <row r="2" spans="1:79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79" hidden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</row>
    <row r="4" spans="1:79" hidden="1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</row>
    <row r="5" spans="1:79" hidden="1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79" hidden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</row>
    <row r="7" spans="1:79" hidden="1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</row>
    <row r="8" spans="1:79">
      <c r="A8" s="59"/>
      <c r="B8" s="59"/>
      <c r="C8" s="59" t="str">
        <f>"Application1: "&amp;Products!D10</f>
        <v xml:space="preserve">Application1: 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 t="str">
        <f>"Application2: "&amp;Products!E10</f>
        <v xml:space="preserve">Application2: </v>
      </c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 t="str">
        <f>"Application3: "&amp;Products!F10</f>
        <v xml:space="preserve">Application3: </v>
      </c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 t="str">
        <f>"Application4: "&amp;Products!G10</f>
        <v xml:space="preserve">Application4: </v>
      </c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 t="str">
        <f>"Application5: "&amp;Products!H10</f>
        <v xml:space="preserve">Application5: </v>
      </c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</row>
    <row r="9" spans="1:79" ht="14.65" thickBot="1">
      <c r="A9" s="59"/>
      <c r="B9" s="59"/>
      <c r="C9" s="59" t="s">
        <v>285</v>
      </c>
      <c r="D9" s="59"/>
      <c r="E9" s="59"/>
      <c r="F9" s="59"/>
      <c r="G9" s="59"/>
      <c r="H9" s="59"/>
      <c r="I9" s="59"/>
      <c r="J9" s="59" t="s">
        <v>384</v>
      </c>
      <c r="K9" s="44"/>
      <c r="L9" s="44"/>
      <c r="M9" s="44"/>
      <c r="N9" s="44"/>
      <c r="O9" s="44"/>
      <c r="P9" s="44"/>
      <c r="Q9" s="59" t="s">
        <v>285</v>
      </c>
      <c r="R9" s="59"/>
      <c r="S9" s="59"/>
      <c r="T9" s="59"/>
      <c r="U9" s="59"/>
      <c r="V9" s="59"/>
      <c r="W9" s="59"/>
      <c r="X9" s="59" t="s">
        <v>384</v>
      </c>
      <c r="Y9" s="44"/>
      <c r="Z9" s="44"/>
      <c r="AA9" s="44"/>
      <c r="AB9" s="44"/>
      <c r="AC9" s="44"/>
      <c r="AD9" s="44"/>
      <c r="AE9" s="59" t="s">
        <v>285</v>
      </c>
      <c r="AF9" s="59"/>
      <c r="AG9" s="59"/>
      <c r="AH9" s="59"/>
      <c r="AI9" s="59"/>
      <c r="AJ9" s="59"/>
      <c r="AK9" s="59"/>
      <c r="AL9" s="59" t="s">
        <v>384</v>
      </c>
      <c r="AM9" s="44"/>
      <c r="AN9" s="44"/>
      <c r="AO9" s="44"/>
      <c r="AP9" s="44"/>
      <c r="AQ9" s="44"/>
      <c r="AR9" s="44"/>
      <c r="AS9" s="59" t="s">
        <v>285</v>
      </c>
      <c r="AT9" s="59"/>
      <c r="AU9" s="59"/>
      <c r="AV9" s="59"/>
      <c r="AW9" s="59"/>
      <c r="AX9" s="59"/>
      <c r="AY9" s="59"/>
      <c r="AZ9" s="59" t="s">
        <v>384</v>
      </c>
      <c r="BA9" s="44"/>
      <c r="BB9" s="44"/>
      <c r="BC9" s="44"/>
      <c r="BD9" s="44"/>
      <c r="BE9" s="44"/>
      <c r="BF9" s="44"/>
      <c r="BG9" s="59" t="s">
        <v>285</v>
      </c>
      <c r="BH9" s="59"/>
      <c r="BI9" s="59"/>
      <c r="BJ9" s="59"/>
      <c r="BK9" s="59"/>
      <c r="BL9" s="59"/>
      <c r="BM9" s="59"/>
      <c r="BN9" s="59" t="s">
        <v>384</v>
      </c>
      <c r="BO9" s="44"/>
      <c r="BP9" s="44"/>
      <c r="BQ9" s="44"/>
      <c r="BR9" s="44"/>
      <c r="BS9" s="44"/>
      <c r="BT9" s="44"/>
      <c r="BU9" s="59"/>
      <c r="BV9" s="59"/>
      <c r="BW9" s="59"/>
      <c r="BX9" s="59"/>
      <c r="BY9" s="59"/>
      <c r="BZ9" s="59"/>
      <c r="CA9" s="59"/>
    </row>
    <row r="10" spans="1:79" ht="14.65" thickBot="1">
      <c r="A10" s="59"/>
      <c r="B10" s="59"/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0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0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61" t="s">
        <v>0</v>
      </c>
      <c r="Y10" s="62" t="s">
        <v>256</v>
      </c>
      <c r="Z10" s="62" t="s">
        <v>257</v>
      </c>
      <c r="AA10" s="62" t="s">
        <v>258</v>
      </c>
      <c r="AB10" s="62" t="s">
        <v>259</v>
      </c>
      <c r="AC10" s="62" t="s">
        <v>260</v>
      </c>
      <c r="AD10" s="63" t="s">
        <v>261</v>
      </c>
      <c r="AE10" s="61" t="s">
        <v>0</v>
      </c>
      <c r="AF10" s="62" t="s">
        <v>256</v>
      </c>
      <c r="AG10" s="62" t="s">
        <v>257</v>
      </c>
      <c r="AH10" s="62" t="s">
        <v>258</v>
      </c>
      <c r="AI10" s="62" t="s">
        <v>259</v>
      </c>
      <c r="AJ10" s="62" t="s">
        <v>260</v>
      </c>
      <c r="AK10" s="63" t="s">
        <v>261</v>
      </c>
      <c r="AL10" s="61" t="s">
        <v>0</v>
      </c>
      <c r="AM10" s="62" t="s">
        <v>256</v>
      </c>
      <c r="AN10" s="62" t="s">
        <v>257</v>
      </c>
      <c r="AO10" s="62" t="s">
        <v>258</v>
      </c>
      <c r="AP10" s="62" t="s">
        <v>259</v>
      </c>
      <c r="AQ10" s="62" t="s">
        <v>260</v>
      </c>
      <c r="AR10" s="63" t="s">
        <v>261</v>
      </c>
      <c r="AS10" s="61" t="s">
        <v>0</v>
      </c>
      <c r="AT10" s="62" t="s">
        <v>256</v>
      </c>
      <c r="AU10" s="62" t="s">
        <v>257</v>
      </c>
      <c r="AV10" s="62" t="s">
        <v>258</v>
      </c>
      <c r="AW10" s="62" t="s">
        <v>259</v>
      </c>
      <c r="AX10" s="62" t="s">
        <v>260</v>
      </c>
      <c r="AY10" s="63" t="s">
        <v>261</v>
      </c>
      <c r="AZ10" s="61" t="s">
        <v>0</v>
      </c>
      <c r="BA10" s="62" t="s">
        <v>256</v>
      </c>
      <c r="BB10" s="62" t="s">
        <v>257</v>
      </c>
      <c r="BC10" s="62" t="s">
        <v>258</v>
      </c>
      <c r="BD10" s="62" t="s">
        <v>259</v>
      </c>
      <c r="BE10" s="62" t="s">
        <v>260</v>
      </c>
      <c r="BF10" s="63" t="s">
        <v>261</v>
      </c>
      <c r="BG10" s="61" t="s">
        <v>0</v>
      </c>
      <c r="BH10" s="62" t="s">
        <v>256</v>
      </c>
      <c r="BI10" s="62" t="s">
        <v>257</v>
      </c>
      <c r="BJ10" s="62" t="s">
        <v>258</v>
      </c>
      <c r="BK10" s="62" t="s">
        <v>259</v>
      </c>
      <c r="BL10" s="62" t="s">
        <v>260</v>
      </c>
      <c r="BM10" s="63" t="s">
        <v>261</v>
      </c>
      <c r="BN10" s="61" t="s">
        <v>0</v>
      </c>
      <c r="BO10" s="62" t="s">
        <v>256</v>
      </c>
      <c r="BP10" s="62" t="s">
        <v>257</v>
      </c>
      <c r="BQ10" s="62" t="s">
        <v>258</v>
      </c>
      <c r="BR10" s="62" t="s">
        <v>259</v>
      </c>
      <c r="BS10" s="62" t="s">
        <v>260</v>
      </c>
      <c r="BT10" s="63" t="s">
        <v>261</v>
      </c>
      <c r="BU10" s="59"/>
      <c r="BV10" s="59"/>
      <c r="BW10" s="59"/>
      <c r="BX10" s="59"/>
      <c r="BY10" s="59"/>
      <c r="BZ10" s="59"/>
      <c r="CA10" s="59"/>
    </row>
    <row r="11" spans="1:79">
      <c r="A11" s="59"/>
      <c r="B11" s="44">
        <f t="shared" ref="B11:B42" si="0">IF(Start_year+ROW(B11)-ROW($B$11)&gt;End_year,"",Start_year+ROW(B11)-ROW($B$11))</f>
        <v>1930</v>
      </c>
      <c r="C11" s="67"/>
      <c r="D11" s="68"/>
      <c r="E11" s="68"/>
      <c r="F11" s="68"/>
      <c r="G11" s="68"/>
      <c r="H11" s="68"/>
      <c r="I11" s="69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67"/>
      <c r="Y11" s="68"/>
      <c r="Z11" s="68"/>
      <c r="AA11" s="68"/>
      <c r="AB11" s="68"/>
      <c r="AC11" s="68"/>
      <c r="AD11" s="69"/>
      <c r="AE11" s="67"/>
      <c r="AF11" s="68"/>
      <c r="AG11" s="68"/>
      <c r="AH11" s="68"/>
      <c r="AI11" s="68"/>
      <c r="AJ11" s="68"/>
      <c r="AK11" s="69"/>
      <c r="AL11" s="67"/>
      <c r="AM11" s="68"/>
      <c r="AN11" s="68"/>
      <c r="AO11" s="68"/>
      <c r="AP11" s="68"/>
      <c r="AQ11" s="68"/>
      <c r="AR11" s="69"/>
      <c r="AS11" s="67"/>
      <c r="AT11" s="68"/>
      <c r="AU11" s="68"/>
      <c r="AV11" s="68"/>
      <c r="AW11" s="68"/>
      <c r="AX11" s="68"/>
      <c r="AY11" s="69"/>
      <c r="AZ11" s="67"/>
      <c r="BA11" s="68"/>
      <c r="BB11" s="68"/>
      <c r="BC11" s="68"/>
      <c r="BD11" s="68"/>
      <c r="BE11" s="68"/>
      <c r="BF11" s="69"/>
      <c r="BG11" s="67"/>
      <c r="BH11" s="68"/>
      <c r="BI11" s="68"/>
      <c r="BJ11" s="68"/>
      <c r="BK11" s="68"/>
      <c r="BL11" s="68"/>
      <c r="BM11" s="69"/>
      <c r="BN11" s="67"/>
      <c r="BO11" s="68"/>
      <c r="BP11" s="68"/>
      <c r="BQ11" s="68"/>
      <c r="BR11" s="68"/>
      <c r="BS11" s="68"/>
      <c r="BT11" s="69"/>
      <c r="BU11" s="59"/>
      <c r="BV11" s="59"/>
      <c r="BW11" s="59"/>
      <c r="BX11" s="59"/>
      <c r="BY11" s="59"/>
      <c r="BZ11" s="59"/>
      <c r="CA11" s="59"/>
    </row>
    <row r="12" spans="1:79">
      <c r="A12" s="59"/>
      <c r="B12" s="44">
        <f t="shared" si="0"/>
        <v>1931</v>
      </c>
      <c r="C12" s="67"/>
      <c r="D12" s="68"/>
      <c r="E12" s="68"/>
      <c r="F12" s="68"/>
      <c r="G12" s="68"/>
      <c r="H12" s="68"/>
      <c r="I12" s="69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67"/>
      <c r="Y12" s="68"/>
      <c r="Z12" s="68"/>
      <c r="AA12" s="68"/>
      <c r="AB12" s="68"/>
      <c r="AC12" s="68"/>
      <c r="AD12" s="69"/>
      <c r="AE12" s="67"/>
      <c r="AF12" s="68"/>
      <c r="AG12" s="68"/>
      <c r="AH12" s="68"/>
      <c r="AI12" s="68"/>
      <c r="AJ12" s="68"/>
      <c r="AK12" s="69"/>
      <c r="AL12" s="67"/>
      <c r="AM12" s="68"/>
      <c r="AN12" s="68"/>
      <c r="AO12" s="68"/>
      <c r="AP12" s="68"/>
      <c r="AQ12" s="68"/>
      <c r="AR12" s="69"/>
      <c r="AS12" s="67"/>
      <c r="AT12" s="68"/>
      <c r="AU12" s="68"/>
      <c r="AV12" s="68"/>
      <c r="AW12" s="68"/>
      <c r="AX12" s="68"/>
      <c r="AY12" s="69"/>
      <c r="AZ12" s="67"/>
      <c r="BA12" s="68"/>
      <c r="BB12" s="68"/>
      <c r="BC12" s="68"/>
      <c r="BD12" s="68"/>
      <c r="BE12" s="68"/>
      <c r="BF12" s="69"/>
      <c r="BG12" s="67"/>
      <c r="BH12" s="68"/>
      <c r="BI12" s="68"/>
      <c r="BJ12" s="68"/>
      <c r="BK12" s="68"/>
      <c r="BL12" s="68"/>
      <c r="BM12" s="69"/>
      <c r="BN12" s="67"/>
      <c r="BO12" s="68"/>
      <c r="BP12" s="68"/>
      <c r="BQ12" s="68"/>
      <c r="BR12" s="68"/>
      <c r="BS12" s="68"/>
      <c r="BT12" s="69"/>
      <c r="BU12" s="59"/>
      <c r="BV12" s="59"/>
      <c r="BW12" s="59"/>
      <c r="BX12" s="59"/>
      <c r="BY12" s="59"/>
      <c r="BZ12" s="59"/>
      <c r="CA12" s="59"/>
    </row>
    <row r="13" spans="1:79">
      <c r="A13" s="59"/>
      <c r="B13" s="44">
        <f t="shared" si="0"/>
        <v>1932</v>
      </c>
      <c r="C13" s="67"/>
      <c r="D13" s="68"/>
      <c r="E13" s="68"/>
      <c r="F13" s="68"/>
      <c r="G13" s="68"/>
      <c r="H13" s="68"/>
      <c r="I13" s="69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67"/>
      <c r="Y13" s="68"/>
      <c r="Z13" s="68"/>
      <c r="AA13" s="68"/>
      <c r="AB13" s="68"/>
      <c r="AC13" s="68"/>
      <c r="AD13" s="69"/>
      <c r="AE13" s="67"/>
      <c r="AF13" s="68"/>
      <c r="AG13" s="68"/>
      <c r="AH13" s="68"/>
      <c r="AI13" s="68"/>
      <c r="AJ13" s="68"/>
      <c r="AK13" s="69"/>
      <c r="AL13" s="67"/>
      <c r="AM13" s="68"/>
      <c r="AN13" s="68"/>
      <c r="AO13" s="68"/>
      <c r="AP13" s="68"/>
      <c r="AQ13" s="68"/>
      <c r="AR13" s="69"/>
      <c r="AS13" s="67"/>
      <c r="AT13" s="68"/>
      <c r="AU13" s="68"/>
      <c r="AV13" s="68"/>
      <c r="AW13" s="68"/>
      <c r="AX13" s="68"/>
      <c r="AY13" s="69"/>
      <c r="AZ13" s="67"/>
      <c r="BA13" s="68"/>
      <c r="BB13" s="68"/>
      <c r="BC13" s="68"/>
      <c r="BD13" s="68"/>
      <c r="BE13" s="68"/>
      <c r="BF13" s="69"/>
      <c r="BG13" s="67"/>
      <c r="BH13" s="68"/>
      <c r="BI13" s="68"/>
      <c r="BJ13" s="68"/>
      <c r="BK13" s="68"/>
      <c r="BL13" s="68"/>
      <c r="BM13" s="69"/>
      <c r="BN13" s="67"/>
      <c r="BO13" s="68"/>
      <c r="BP13" s="68"/>
      <c r="BQ13" s="68"/>
      <c r="BR13" s="68"/>
      <c r="BS13" s="68"/>
      <c r="BT13" s="69"/>
      <c r="BU13" s="59"/>
      <c r="BV13" s="59"/>
      <c r="BW13" s="59"/>
      <c r="BX13" s="59"/>
      <c r="BY13" s="59"/>
      <c r="BZ13" s="59"/>
      <c r="CA13" s="59"/>
    </row>
    <row r="14" spans="1:79">
      <c r="A14" s="59"/>
      <c r="B14" s="44">
        <f t="shared" si="0"/>
        <v>1933</v>
      </c>
      <c r="C14" s="67"/>
      <c r="D14" s="68"/>
      <c r="E14" s="68"/>
      <c r="F14" s="68"/>
      <c r="G14" s="68"/>
      <c r="H14" s="68"/>
      <c r="I14" s="69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67"/>
      <c r="Y14" s="68"/>
      <c r="Z14" s="68"/>
      <c r="AA14" s="68"/>
      <c r="AB14" s="68"/>
      <c r="AC14" s="68"/>
      <c r="AD14" s="69"/>
      <c r="AE14" s="67"/>
      <c r="AF14" s="68"/>
      <c r="AG14" s="68"/>
      <c r="AH14" s="68"/>
      <c r="AI14" s="68"/>
      <c r="AJ14" s="68"/>
      <c r="AK14" s="69"/>
      <c r="AL14" s="67"/>
      <c r="AM14" s="68"/>
      <c r="AN14" s="68"/>
      <c r="AO14" s="68"/>
      <c r="AP14" s="68"/>
      <c r="AQ14" s="68"/>
      <c r="AR14" s="69"/>
      <c r="AS14" s="67"/>
      <c r="AT14" s="68"/>
      <c r="AU14" s="68"/>
      <c r="AV14" s="68"/>
      <c r="AW14" s="68"/>
      <c r="AX14" s="68"/>
      <c r="AY14" s="69"/>
      <c r="AZ14" s="67"/>
      <c r="BA14" s="68"/>
      <c r="BB14" s="68"/>
      <c r="BC14" s="68"/>
      <c r="BD14" s="68"/>
      <c r="BE14" s="68"/>
      <c r="BF14" s="69"/>
      <c r="BG14" s="67"/>
      <c r="BH14" s="68"/>
      <c r="BI14" s="68"/>
      <c r="BJ14" s="68"/>
      <c r="BK14" s="68"/>
      <c r="BL14" s="68"/>
      <c r="BM14" s="69"/>
      <c r="BN14" s="67"/>
      <c r="BO14" s="68"/>
      <c r="BP14" s="68"/>
      <c r="BQ14" s="68"/>
      <c r="BR14" s="68"/>
      <c r="BS14" s="68"/>
      <c r="BT14" s="69"/>
      <c r="BU14" s="59"/>
      <c r="BV14" s="59"/>
      <c r="BW14" s="59"/>
      <c r="BX14" s="59"/>
      <c r="BY14" s="59"/>
      <c r="BZ14" s="59"/>
      <c r="CA14" s="59"/>
    </row>
    <row r="15" spans="1:79">
      <c r="A15" s="59"/>
      <c r="B15" s="44">
        <f t="shared" si="0"/>
        <v>1934</v>
      </c>
      <c r="C15" s="67"/>
      <c r="D15" s="68"/>
      <c r="E15" s="68"/>
      <c r="F15" s="68"/>
      <c r="G15" s="68"/>
      <c r="H15" s="68"/>
      <c r="I15" s="69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67"/>
      <c r="Y15" s="68"/>
      <c r="Z15" s="68"/>
      <c r="AA15" s="68"/>
      <c r="AB15" s="68"/>
      <c r="AC15" s="68"/>
      <c r="AD15" s="69"/>
      <c r="AE15" s="67"/>
      <c r="AF15" s="68"/>
      <c r="AG15" s="68"/>
      <c r="AH15" s="68"/>
      <c r="AI15" s="68"/>
      <c r="AJ15" s="68"/>
      <c r="AK15" s="69"/>
      <c r="AL15" s="67"/>
      <c r="AM15" s="68"/>
      <c r="AN15" s="68"/>
      <c r="AO15" s="68"/>
      <c r="AP15" s="68"/>
      <c r="AQ15" s="68"/>
      <c r="AR15" s="69"/>
      <c r="AS15" s="67"/>
      <c r="AT15" s="68"/>
      <c r="AU15" s="68"/>
      <c r="AV15" s="68"/>
      <c r="AW15" s="68"/>
      <c r="AX15" s="68"/>
      <c r="AY15" s="69"/>
      <c r="AZ15" s="67"/>
      <c r="BA15" s="68"/>
      <c r="BB15" s="68"/>
      <c r="BC15" s="68"/>
      <c r="BD15" s="68"/>
      <c r="BE15" s="68"/>
      <c r="BF15" s="69"/>
      <c r="BG15" s="67"/>
      <c r="BH15" s="68"/>
      <c r="BI15" s="68"/>
      <c r="BJ15" s="68"/>
      <c r="BK15" s="68"/>
      <c r="BL15" s="68"/>
      <c r="BM15" s="69"/>
      <c r="BN15" s="67"/>
      <c r="BO15" s="68"/>
      <c r="BP15" s="68"/>
      <c r="BQ15" s="68"/>
      <c r="BR15" s="68"/>
      <c r="BS15" s="68"/>
      <c r="BT15" s="69"/>
      <c r="BU15" s="59"/>
      <c r="BV15" s="59"/>
      <c r="BW15" s="59"/>
      <c r="BX15" s="59"/>
      <c r="BY15" s="59"/>
      <c r="BZ15" s="59"/>
      <c r="CA15" s="59"/>
    </row>
    <row r="16" spans="1:79">
      <c r="A16" s="59"/>
      <c r="B16" s="44">
        <f t="shared" si="0"/>
        <v>1935</v>
      </c>
      <c r="C16" s="67"/>
      <c r="D16" s="68"/>
      <c r="E16" s="68"/>
      <c r="F16" s="68"/>
      <c r="G16" s="68"/>
      <c r="H16" s="68"/>
      <c r="I16" s="69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67"/>
      <c r="Y16" s="68"/>
      <c r="Z16" s="68"/>
      <c r="AA16" s="68"/>
      <c r="AB16" s="68"/>
      <c r="AC16" s="68"/>
      <c r="AD16" s="69"/>
      <c r="AE16" s="67"/>
      <c r="AF16" s="68"/>
      <c r="AG16" s="68"/>
      <c r="AH16" s="68"/>
      <c r="AI16" s="68"/>
      <c r="AJ16" s="68"/>
      <c r="AK16" s="69"/>
      <c r="AL16" s="67"/>
      <c r="AM16" s="68"/>
      <c r="AN16" s="68"/>
      <c r="AO16" s="68"/>
      <c r="AP16" s="68"/>
      <c r="AQ16" s="68"/>
      <c r="AR16" s="69"/>
      <c r="AS16" s="67"/>
      <c r="AT16" s="68"/>
      <c r="AU16" s="68"/>
      <c r="AV16" s="68"/>
      <c r="AW16" s="68"/>
      <c r="AX16" s="68"/>
      <c r="AY16" s="69"/>
      <c r="AZ16" s="67"/>
      <c r="BA16" s="68"/>
      <c r="BB16" s="68"/>
      <c r="BC16" s="68"/>
      <c r="BD16" s="68"/>
      <c r="BE16" s="68"/>
      <c r="BF16" s="69"/>
      <c r="BG16" s="67"/>
      <c r="BH16" s="68"/>
      <c r="BI16" s="68"/>
      <c r="BJ16" s="68"/>
      <c r="BK16" s="68"/>
      <c r="BL16" s="68"/>
      <c r="BM16" s="69"/>
      <c r="BN16" s="67"/>
      <c r="BO16" s="68"/>
      <c r="BP16" s="68"/>
      <c r="BQ16" s="68"/>
      <c r="BR16" s="68"/>
      <c r="BS16" s="68"/>
      <c r="BT16" s="69"/>
      <c r="BU16" s="59"/>
      <c r="BV16" s="59"/>
      <c r="BW16" s="59"/>
      <c r="BX16" s="59"/>
      <c r="BY16" s="59"/>
      <c r="BZ16" s="59"/>
      <c r="CA16" s="59"/>
    </row>
    <row r="17" spans="1:79">
      <c r="A17" s="59"/>
      <c r="B17" s="44">
        <f t="shared" si="0"/>
        <v>1936</v>
      </c>
      <c r="C17" s="67"/>
      <c r="D17" s="68"/>
      <c r="E17" s="68"/>
      <c r="F17" s="68"/>
      <c r="G17" s="68"/>
      <c r="H17" s="68"/>
      <c r="I17" s="69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67"/>
      <c r="Y17" s="68"/>
      <c r="Z17" s="68"/>
      <c r="AA17" s="68"/>
      <c r="AB17" s="68"/>
      <c r="AC17" s="68"/>
      <c r="AD17" s="69"/>
      <c r="AE17" s="67"/>
      <c r="AF17" s="68"/>
      <c r="AG17" s="68"/>
      <c r="AH17" s="68"/>
      <c r="AI17" s="68"/>
      <c r="AJ17" s="68"/>
      <c r="AK17" s="69"/>
      <c r="AL17" s="67"/>
      <c r="AM17" s="68"/>
      <c r="AN17" s="68"/>
      <c r="AO17" s="68"/>
      <c r="AP17" s="68"/>
      <c r="AQ17" s="68"/>
      <c r="AR17" s="69"/>
      <c r="AS17" s="67"/>
      <c r="AT17" s="68"/>
      <c r="AU17" s="68"/>
      <c r="AV17" s="68"/>
      <c r="AW17" s="68"/>
      <c r="AX17" s="68"/>
      <c r="AY17" s="69"/>
      <c r="AZ17" s="67"/>
      <c r="BA17" s="68"/>
      <c r="BB17" s="68"/>
      <c r="BC17" s="68"/>
      <c r="BD17" s="68"/>
      <c r="BE17" s="68"/>
      <c r="BF17" s="69"/>
      <c r="BG17" s="67"/>
      <c r="BH17" s="68"/>
      <c r="BI17" s="68"/>
      <c r="BJ17" s="68"/>
      <c r="BK17" s="68"/>
      <c r="BL17" s="68"/>
      <c r="BM17" s="69"/>
      <c r="BN17" s="67"/>
      <c r="BO17" s="68"/>
      <c r="BP17" s="68"/>
      <c r="BQ17" s="68"/>
      <c r="BR17" s="68"/>
      <c r="BS17" s="68"/>
      <c r="BT17" s="69"/>
      <c r="BU17" s="59"/>
      <c r="BV17" s="59"/>
      <c r="BW17" s="59"/>
      <c r="BX17" s="59"/>
      <c r="BY17" s="59"/>
      <c r="BZ17" s="59"/>
      <c r="CA17" s="59"/>
    </row>
    <row r="18" spans="1:79">
      <c r="A18" s="59"/>
      <c r="B18" s="44">
        <f t="shared" si="0"/>
        <v>1937</v>
      </c>
      <c r="C18" s="67"/>
      <c r="D18" s="68"/>
      <c r="E18" s="68"/>
      <c r="F18" s="68"/>
      <c r="G18" s="68"/>
      <c r="H18" s="68"/>
      <c r="I18" s="69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67"/>
      <c r="Y18" s="68"/>
      <c r="Z18" s="68"/>
      <c r="AA18" s="68"/>
      <c r="AB18" s="68"/>
      <c r="AC18" s="68"/>
      <c r="AD18" s="69"/>
      <c r="AE18" s="67"/>
      <c r="AF18" s="68"/>
      <c r="AG18" s="68"/>
      <c r="AH18" s="68"/>
      <c r="AI18" s="68"/>
      <c r="AJ18" s="68"/>
      <c r="AK18" s="69"/>
      <c r="AL18" s="67"/>
      <c r="AM18" s="68"/>
      <c r="AN18" s="68"/>
      <c r="AO18" s="68"/>
      <c r="AP18" s="68"/>
      <c r="AQ18" s="68"/>
      <c r="AR18" s="69"/>
      <c r="AS18" s="67"/>
      <c r="AT18" s="68"/>
      <c r="AU18" s="68"/>
      <c r="AV18" s="68"/>
      <c r="AW18" s="68"/>
      <c r="AX18" s="68"/>
      <c r="AY18" s="69"/>
      <c r="AZ18" s="67"/>
      <c r="BA18" s="68"/>
      <c r="BB18" s="68"/>
      <c r="BC18" s="68"/>
      <c r="BD18" s="68"/>
      <c r="BE18" s="68"/>
      <c r="BF18" s="69"/>
      <c r="BG18" s="67"/>
      <c r="BH18" s="68"/>
      <c r="BI18" s="68"/>
      <c r="BJ18" s="68"/>
      <c r="BK18" s="68"/>
      <c r="BL18" s="68"/>
      <c r="BM18" s="69"/>
      <c r="BN18" s="67"/>
      <c r="BO18" s="68"/>
      <c r="BP18" s="68"/>
      <c r="BQ18" s="68"/>
      <c r="BR18" s="68"/>
      <c r="BS18" s="68"/>
      <c r="BT18" s="69"/>
      <c r="BU18" s="59"/>
      <c r="BV18" s="59"/>
      <c r="BW18" s="59"/>
      <c r="BX18" s="59"/>
      <c r="BY18" s="59"/>
      <c r="BZ18" s="59"/>
      <c r="CA18" s="59"/>
    </row>
    <row r="19" spans="1:79">
      <c r="A19" s="59"/>
      <c r="B19" s="44">
        <f t="shared" si="0"/>
        <v>1938</v>
      </c>
      <c r="C19" s="67"/>
      <c r="D19" s="68"/>
      <c r="E19" s="68"/>
      <c r="F19" s="68"/>
      <c r="G19" s="68"/>
      <c r="H19" s="68"/>
      <c r="I19" s="69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67"/>
      <c r="Y19" s="68"/>
      <c r="Z19" s="68"/>
      <c r="AA19" s="68"/>
      <c r="AB19" s="68"/>
      <c r="AC19" s="68"/>
      <c r="AD19" s="69"/>
      <c r="AE19" s="67"/>
      <c r="AF19" s="68"/>
      <c r="AG19" s="68"/>
      <c r="AH19" s="68"/>
      <c r="AI19" s="68"/>
      <c r="AJ19" s="68"/>
      <c r="AK19" s="69"/>
      <c r="AL19" s="67"/>
      <c r="AM19" s="68"/>
      <c r="AN19" s="68"/>
      <c r="AO19" s="68"/>
      <c r="AP19" s="68"/>
      <c r="AQ19" s="68"/>
      <c r="AR19" s="69"/>
      <c r="AS19" s="67"/>
      <c r="AT19" s="68"/>
      <c r="AU19" s="68"/>
      <c r="AV19" s="68"/>
      <c r="AW19" s="68"/>
      <c r="AX19" s="68"/>
      <c r="AY19" s="69"/>
      <c r="AZ19" s="67"/>
      <c r="BA19" s="68"/>
      <c r="BB19" s="68"/>
      <c r="BC19" s="68"/>
      <c r="BD19" s="68"/>
      <c r="BE19" s="68"/>
      <c r="BF19" s="69"/>
      <c r="BG19" s="67"/>
      <c r="BH19" s="68"/>
      <c r="BI19" s="68"/>
      <c r="BJ19" s="68"/>
      <c r="BK19" s="68"/>
      <c r="BL19" s="68"/>
      <c r="BM19" s="69"/>
      <c r="BN19" s="67"/>
      <c r="BO19" s="68"/>
      <c r="BP19" s="68"/>
      <c r="BQ19" s="68"/>
      <c r="BR19" s="68"/>
      <c r="BS19" s="68"/>
      <c r="BT19" s="69"/>
      <c r="BU19" s="59"/>
      <c r="BV19" s="59"/>
      <c r="BW19" s="59"/>
      <c r="BX19" s="59"/>
      <c r="BY19" s="59"/>
      <c r="BZ19" s="59"/>
      <c r="CA19" s="59"/>
    </row>
    <row r="20" spans="1:79">
      <c r="A20" s="59"/>
      <c r="B20" s="44">
        <f t="shared" si="0"/>
        <v>1939</v>
      </c>
      <c r="C20" s="67"/>
      <c r="D20" s="68"/>
      <c r="E20" s="68"/>
      <c r="F20" s="68"/>
      <c r="G20" s="68"/>
      <c r="H20" s="68"/>
      <c r="I20" s="69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67"/>
      <c r="Y20" s="68"/>
      <c r="Z20" s="68"/>
      <c r="AA20" s="68"/>
      <c r="AB20" s="68"/>
      <c r="AC20" s="68"/>
      <c r="AD20" s="69"/>
      <c r="AE20" s="67"/>
      <c r="AF20" s="68"/>
      <c r="AG20" s="68"/>
      <c r="AH20" s="68"/>
      <c r="AI20" s="68"/>
      <c r="AJ20" s="68"/>
      <c r="AK20" s="69"/>
      <c r="AL20" s="67"/>
      <c r="AM20" s="68"/>
      <c r="AN20" s="68"/>
      <c r="AO20" s="68"/>
      <c r="AP20" s="68"/>
      <c r="AQ20" s="68"/>
      <c r="AR20" s="69"/>
      <c r="AS20" s="67"/>
      <c r="AT20" s="68"/>
      <c r="AU20" s="68"/>
      <c r="AV20" s="68"/>
      <c r="AW20" s="68"/>
      <c r="AX20" s="68"/>
      <c r="AY20" s="69"/>
      <c r="AZ20" s="67"/>
      <c r="BA20" s="68"/>
      <c r="BB20" s="68"/>
      <c r="BC20" s="68"/>
      <c r="BD20" s="68"/>
      <c r="BE20" s="68"/>
      <c r="BF20" s="69"/>
      <c r="BG20" s="67"/>
      <c r="BH20" s="68"/>
      <c r="BI20" s="68"/>
      <c r="BJ20" s="68"/>
      <c r="BK20" s="68"/>
      <c r="BL20" s="68"/>
      <c r="BM20" s="69"/>
      <c r="BN20" s="67"/>
      <c r="BO20" s="68"/>
      <c r="BP20" s="68"/>
      <c r="BQ20" s="68"/>
      <c r="BR20" s="68"/>
      <c r="BS20" s="68"/>
      <c r="BT20" s="69"/>
      <c r="BU20" s="59"/>
      <c r="BV20" s="59"/>
      <c r="BW20" s="59"/>
      <c r="BX20" s="59"/>
      <c r="BY20" s="59"/>
      <c r="BZ20" s="59"/>
      <c r="CA20" s="59"/>
    </row>
    <row r="21" spans="1:79">
      <c r="A21" s="59"/>
      <c r="B21" s="44">
        <f t="shared" si="0"/>
        <v>1940</v>
      </c>
      <c r="C21" s="67"/>
      <c r="D21" s="68"/>
      <c r="E21" s="68"/>
      <c r="F21" s="68"/>
      <c r="G21" s="68"/>
      <c r="H21" s="68"/>
      <c r="I21" s="69"/>
      <c r="J21" s="67"/>
      <c r="K21" s="68"/>
      <c r="L21" s="68"/>
      <c r="M21" s="68"/>
      <c r="N21" s="68"/>
      <c r="O21" s="68"/>
      <c r="P21" s="69"/>
      <c r="Q21" s="67"/>
      <c r="R21" s="68"/>
      <c r="S21" s="68"/>
      <c r="T21" s="68"/>
      <c r="U21" s="68"/>
      <c r="V21" s="68"/>
      <c r="W21" s="69"/>
      <c r="X21" s="67"/>
      <c r="Y21" s="68"/>
      <c r="Z21" s="68"/>
      <c r="AA21" s="68"/>
      <c r="AB21" s="68"/>
      <c r="AC21" s="68"/>
      <c r="AD21" s="69"/>
      <c r="AE21" s="67"/>
      <c r="AF21" s="68"/>
      <c r="AG21" s="68"/>
      <c r="AH21" s="68"/>
      <c r="AI21" s="68"/>
      <c r="AJ21" s="68"/>
      <c r="AK21" s="69"/>
      <c r="AL21" s="67"/>
      <c r="AM21" s="68"/>
      <c r="AN21" s="68"/>
      <c r="AO21" s="68"/>
      <c r="AP21" s="68"/>
      <c r="AQ21" s="68"/>
      <c r="AR21" s="69"/>
      <c r="AS21" s="67"/>
      <c r="AT21" s="68"/>
      <c r="AU21" s="68"/>
      <c r="AV21" s="68"/>
      <c r="AW21" s="68"/>
      <c r="AX21" s="68"/>
      <c r="AY21" s="69"/>
      <c r="AZ21" s="67"/>
      <c r="BA21" s="68"/>
      <c r="BB21" s="68"/>
      <c r="BC21" s="68"/>
      <c r="BD21" s="68"/>
      <c r="BE21" s="68"/>
      <c r="BF21" s="69"/>
      <c r="BG21" s="67"/>
      <c r="BH21" s="68"/>
      <c r="BI21" s="68"/>
      <c r="BJ21" s="68"/>
      <c r="BK21" s="68"/>
      <c r="BL21" s="68"/>
      <c r="BM21" s="69"/>
      <c r="BN21" s="67"/>
      <c r="BO21" s="68"/>
      <c r="BP21" s="68"/>
      <c r="BQ21" s="68"/>
      <c r="BR21" s="68"/>
      <c r="BS21" s="68"/>
      <c r="BT21" s="69"/>
      <c r="BU21" s="59"/>
      <c r="BV21" s="59"/>
      <c r="BW21" s="59"/>
      <c r="BX21" s="59"/>
      <c r="BY21" s="59"/>
      <c r="BZ21" s="59"/>
      <c r="CA21" s="59"/>
    </row>
    <row r="22" spans="1:79">
      <c r="A22" s="59"/>
      <c r="B22" s="44">
        <f t="shared" si="0"/>
        <v>1941</v>
      </c>
      <c r="C22" s="67"/>
      <c r="D22" s="68"/>
      <c r="E22" s="68"/>
      <c r="F22" s="68"/>
      <c r="G22" s="68"/>
      <c r="H22" s="68"/>
      <c r="I22" s="69"/>
      <c r="J22" s="67"/>
      <c r="K22" s="68"/>
      <c r="L22" s="68"/>
      <c r="M22" s="68"/>
      <c r="N22" s="68"/>
      <c r="O22" s="68"/>
      <c r="P22" s="69"/>
      <c r="Q22" s="67"/>
      <c r="R22" s="68"/>
      <c r="S22" s="68"/>
      <c r="T22" s="68"/>
      <c r="U22" s="68"/>
      <c r="V22" s="68"/>
      <c r="W22" s="69"/>
      <c r="X22" s="67"/>
      <c r="Y22" s="68"/>
      <c r="Z22" s="68"/>
      <c r="AA22" s="68"/>
      <c r="AB22" s="68"/>
      <c r="AC22" s="68"/>
      <c r="AD22" s="69"/>
      <c r="AE22" s="67"/>
      <c r="AF22" s="68"/>
      <c r="AG22" s="68"/>
      <c r="AH22" s="68"/>
      <c r="AI22" s="68"/>
      <c r="AJ22" s="68"/>
      <c r="AK22" s="69"/>
      <c r="AL22" s="67"/>
      <c r="AM22" s="68"/>
      <c r="AN22" s="68"/>
      <c r="AO22" s="68"/>
      <c r="AP22" s="68"/>
      <c r="AQ22" s="68"/>
      <c r="AR22" s="69"/>
      <c r="AS22" s="67"/>
      <c r="AT22" s="68"/>
      <c r="AU22" s="68"/>
      <c r="AV22" s="68"/>
      <c r="AW22" s="68"/>
      <c r="AX22" s="68"/>
      <c r="AY22" s="69"/>
      <c r="AZ22" s="67"/>
      <c r="BA22" s="68"/>
      <c r="BB22" s="68"/>
      <c r="BC22" s="68"/>
      <c r="BD22" s="68"/>
      <c r="BE22" s="68"/>
      <c r="BF22" s="69"/>
      <c r="BG22" s="67"/>
      <c r="BH22" s="68"/>
      <c r="BI22" s="68"/>
      <c r="BJ22" s="68"/>
      <c r="BK22" s="68"/>
      <c r="BL22" s="68"/>
      <c r="BM22" s="69"/>
      <c r="BN22" s="67"/>
      <c r="BO22" s="68"/>
      <c r="BP22" s="68"/>
      <c r="BQ22" s="68"/>
      <c r="BR22" s="68"/>
      <c r="BS22" s="68"/>
      <c r="BT22" s="69"/>
      <c r="BU22" s="59"/>
      <c r="BV22" s="59"/>
      <c r="BW22" s="59"/>
      <c r="BX22" s="59"/>
      <c r="BY22" s="59"/>
      <c r="BZ22" s="59"/>
      <c r="CA22" s="59"/>
    </row>
    <row r="23" spans="1:79">
      <c r="A23" s="59"/>
      <c r="B23" s="44">
        <f t="shared" si="0"/>
        <v>1942</v>
      </c>
      <c r="C23" s="67"/>
      <c r="D23" s="68"/>
      <c r="E23" s="68"/>
      <c r="F23" s="68"/>
      <c r="G23" s="68"/>
      <c r="H23" s="68"/>
      <c r="I23" s="69"/>
      <c r="J23" s="67"/>
      <c r="K23" s="68"/>
      <c r="L23" s="68"/>
      <c r="M23" s="68"/>
      <c r="N23" s="68"/>
      <c r="O23" s="68"/>
      <c r="P23" s="69"/>
      <c r="Q23" s="67"/>
      <c r="R23" s="68"/>
      <c r="S23" s="68"/>
      <c r="T23" s="68"/>
      <c r="U23" s="68"/>
      <c r="V23" s="68"/>
      <c r="W23" s="69"/>
      <c r="X23" s="67"/>
      <c r="Y23" s="68"/>
      <c r="Z23" s="68"/>
      <c r="AA23" s="68"/>
      <c r="AB23" s="68"/>
      <c r="AC23" s="68"/>
      <c r="AD23" s="69"/>
      <c r="AE23" s="67"/>
      <c r="AF23" s="68"/>
      <c r="AG23" s="68"/>
      <c r="AH23" s="68"/>
      <c r="AI23" s="68"/>
      <c r="AJ23" s="68"/>
      <c r="AK23" s="69"/>
      <c r="AL23" s="67"/>
      <c r="AM23" s="68"/>
      <c r="AN23" s="68"/>
      <c r="AO23" s="68"/>
      <c r="AP23" s="68"/>
      <c r="AQ23" s="68"/>
      <c r="AR23" s="69"/>
      <c r="AS23" s="67"/>
      <c r="AT23" s="68"/>
      <c r="AU23" s="68"/>
      <c r="AV23" s="68"/>
      <c r="AW23" s="68"/>
      <c r="AX23" s="68"/>
      <c r="AY23" s="69"/>
      <c r="AZ23" s="67"/>
      <c r="BA23" s="68"/>
      <c r="BB23" s="68"/>
      <c r="BC23" s="68"/>
      <c r="BD23" s="68"/>
      <c r="BE23" s="68"/>
      <c r="BF23" s="69"/>
      <c r="BG23" s="67"/>
      <c r="BH23" s="68"/>
      <c r="BI23" s="68"/>
      <c r="BJ23" s="68"/>
      <c r="BK23" s="68"/>
      <c r="BL23" s="68"/>
      <c r="BM23" s="69"/>
      <c r="BN23" s="67"/>
      <c r="BO23" s="68"/>
      <c r="BP23" s="68"/>
      <c r="BQ23" s="68"/>
      <c r="BR23" s="68"/>
      <c r="BS23" s="68"/>
      <c r="BT23" s="69"/>
      <c r="BU23" s="59"/>
      <c r="BV23" s="59"/>
      <c r="BW23" s="59"/>
      <c r="BX23" s="59"/>
      <c r="BY23" s="59"/>
      <c r="BZ23" s="59"/>
      <c r="CA23" s="59"/>
    </row>
    <row r="24" spans="1:79">
      <c r="A24" s="59"/>
      <c r="B24" s="44">
        <f t="shared" si="0"/>
        <v>1943</v>
      </c>
      <c r="C24" s="67"/>
      <c r="D24" s="68"/>
      <c r="E24" s="68"/>
      <c r="F24" s="68"/>
      <c r="G24" s="68"/>
      <c r="H24" s="68"/>
      <c r="I24" s="69"/>
      <c r="J24" s="67"/>
      <c r="K24" s="68"/>
      <c r="L24" s="68"/>
      <c r="M24" s="68"/>
      <c r="N24" s="68"/>
      <c r="O24" s="68"/>
      <c r="P24" s="69"/>
      <c r="Q24" s="67"/>
      <c r="R24" s="68"/>
      <c r="S24" s="68"/>
      <c r="T24" s="68"/>
      <c r="U24" s="68"/>
      <c r="V24" s="68"/>
      <c r="W24" s="69"/>
      <c r="X24" s="67"/>
      <c r="Y24" s="68"/>
      <c r="Z24" s="68"/>
      <c r="AA24" s="68"/>
      <c r="AB24" s="68"/>
      <c r="AC24" s="68"/>
      <c r="AD24" s="69"/>
      <c r="AE24" s="67"/>
      <c r="AF24" s="68"/>
      <c r="AG24" s="68"/>
      <c r="AH24" s="68"/>
      <c r="AI24" s="68"/>
      <c r="AJ24" s="68"/>
      <c r="AK24" s="69"/>
      <c r="AL24" s="67"/>
      <c r="AM24" s="68"/>
      <c r="AN24" s="68"/>
      <c r="AO24" s="68"/>
      <c r="AP24" s="68"/>
      <c r="AQ24" s="68"/>
      <c r="AR24" s="69"/>
      <c r="AS24" s="67"/>
      <c r="AT24" s="68"/>
      <c r="AU24" s="68"/>
      <c r="AV24" s="68"/>
      <c r="AW24" s="68"/>
      <c r="AX24" s="68"/>
      <c r="AY24" s="69"/>
      <c r="AZ24" s="67"/>
      <c r="BA24" s="68"/>
      <c r="BB24" s="68"/>
      <c r="BC24" s="68"/>
      <c r="BD24" s="68"/>
      <c r="BE24" s="68"/>
      <c r="BF24" s="69"/>
      <c r="BG24" s="67"/>
      <c r="BH24" s="68"/>
      <c r="BI24" s="68"/>
      <c r="BJ24" s="68"/>
      <c r="BK24" s="68"/>
      <c r="BL24" s="68"/>
      <c r="BM24" s="69"/>
      <c r="BN24" s="67"/>
      <c r="BO24" s="68"/>
      <c r="BP24" s="68"/>
      <c r="BQ24" s="68"/>
      <c r="BR24" s="68"/>
      <c r="BS24" s="68"/>
      <c r="BT24" s="69"/>
      <c r="BU24" s="59"/>
      <c r="BV24" s="59"/>
      <c r="BW24" s="59"/>
      <c r="BX24" s="59"/>
      <c r="BY24" s="59"/>
      <c r="BZ24" s="59"/>
      <c r="CA24" s="59"/>
    </row>
    <row r="25" spans="1:79">
      <c r="A25" s="59"/>
      <c r="B25" s="44">
        <f t="shared" si="0"/>
        <v>1944</v>
      </c>
      <c r="C25" s="67"/>
      <c r="D25" s="68"/>
      <c r="E25" s="68"/>
      <c r="F25" s="68"/>
      <c r="G25" s="68"/>
      <c r="H25" s="68"/>
      <c r="I25" s="69"/>
      <c r="J25" s="67"/>
      <c r="K25" s="68"/>
      <c r="L25" s="68"/>
      <c r="M25" s="68"/>
      <c r="N25" s="68"/>
      <c r="O25" s="68"/>
      <c r="P25" s="69"/>
      <c r="Q25" s="67"/>
      <c r="R25" s="68"/>
      <c r="S25" s="68"/>
      <c r="T25" s="68"/>
      <c r="U25" s="68"/>
      <c r="V25" s="68"/>
      <c r="W25" s="69"/>
      <c r="X25" s="67"/>
      <c r="Y25" s="68"/>
      <c r="Z25" s="68"/>
      <c r="AA25" s="68"/>
      <c r="AB25" s="68"/>
      <c r="AC25" s="68"/>
      <c r="AD25" s="69"/>
      <c r="AE25" s="67"/>
      <c r="AF25" s="68"/>
      <c r="AG25" s="68"/>
      <c r="AH25" s="68"/>
      <c r="AI25" s="68"/>
      <c r="AJ25" s="68"/>
      <c r="AK25" s="69"/>
      <c r="AL25" s="67"/>
      <c r="AM25" s="68"/>
      <c r="AN25" s="68"/>
      <c r="AO25" s="68"/>
      <c r="AP25" s="68"/>
      <c r="AQ25" s="68"/>
      <c r="AR25" s="69"/>
      <c r="AS25" s="67"/>
      <c r="AT25" s="68"/>
      <c r="AU25" s="68"/>
      <c r="AV25" s="68"/>
      <c r="AW25" s="68"/>
      <c r="AX25" s="68"/>
      <c r="AY25" s="69"/>
      <c r="AZ25" s="67"/>
      <c r="BA25" s="68"/>
      <c r="BB25" s="68"/>
      <c r="BC25" s="68"/>
      <c r="BD25" s="68"/>
      <c r="BE25" s="68"/>
      <c r="BF25" s="69"/>
      <c r="BG25" s="67"/>
      <c r="BH25" s="68"/>
      <c r="BI25" s="68"/>
      <c r="BJ25" s="68"/>
      <c r="BK25" s="68"/>
      <c r="BL25" s="68"/>
      <c r="BM25" s="69"/>
      <c r="BN25" s="67"/>
      <c r="BO25" s="68"/>
      <c r="BP25" s="68"/>
      <c r="BQ25" s="68"/>
      <c r="BR25" s="68"/>
      <c r="BS25" s="68"/>
      <c r="BT25" s="69"/>
      <c r="BU25" s="59"/>
      <c r="BV25" s="59"/>
      <c r="BW25" s="59"/>
      <c r="BX25" s="59"/>
      <c r="BY25" s="59"/>
      <c r="BZ25" s="59"/>
      <c r="CA25" s="59"/>
    </row>
    <row r="26" spans="1:79">
      <c r="A26" s="59"/>
      <c r="B26" s="44">
        <f t="shared" si="0"/>
        <v>1945</v>
      </c>
      <c r="C26" s="67"/>
      <c r="D26" s="68"/>
      <c r="E26" s="68"/>
      <c r="F26" s="68"/>
      <c r="G26" s="68"/>
      <c r="H26" s="68"/>
      <c r="I26" s="69"/>
      <c r="J26" s="67"/>
      <c r="K26" s="68"/>
      <c r="L26" s="68"/>
      <c r="M26" s="68"/>
      <c r="N26" s="68"/>
      <c r="O26" s="68"/>
      <c r="P26" s="69"/>
      <c r="Q26" s="67"/>
      <c r="R26" s="68"/>
      <c r="S26" s="68"/>
      <c r="T26" s="68"/>
      <c r="U26" s="68"/>
      <c r="V26" s="68"/>
      <c r="W26" s="69"/>
      <c r="X26" s="67"/>
      <c r="Y26" s="68"/>
      <c r="Z26" s="68"/>
      <c r="AA26" s="68"/>
      <c r="AB26" s="68"/>
      <c r="AC26" s="68"/>
      <c r="AD26" s="69"/>
      <c r="AE26" s="67"/>
      <c r="AF26" s="68"/>
      <c r="AG26" s="68"/>
      <c r="AH26" s="68"/>
      <c r="AI26" s="68"/>
      <c r="AJ26" s="68"/>
      <c r="AK26" s="69"/>
      <c r="AL26" s="67"/>
      <c r="AM26" s="68"/>
      <c r="AN26" s="68"/>
      <c r="AO26" s="68"/>
      <c r="AP26" s="68"/>
      <c r="AQ26" s="68"/>
      <c r="AR26" s="69"/>
      <c r="AS26" s="67"/>
      <c r="AT26" s="68"/>
      <c r="AU26" s="68"/>
      <c r="AV26" s="68"/>
      <c r="AW26" s="68"/>
      <c r="AX26" s="68"/>
      <c r="AY26" s="69"/>
      <c r="AZ26" s="67"/>
      <c r="BA26" s="68"/>
      <c r="BB26" s="68"/>
      <c r="BC26" s="68"/>
      <c r="BD26" s="68"/>
      <c r="BE26" s="68"/>
      <c r="BF26" s="69"/>
      <c r="BG26" s="67"/>
      <c r="BH26" s="68"/>
      <c r="BI26" s="68"/>
      <c r="BJ26" s="68"/>
      <c r="BK26" s="68"/>
      <c r="BL26" s="68"/>
      <c r="BM26" s="69"/>
      <c r="BN26" s="67"/>
      <c r="BO26" s="68"/>
      <c r="BP26" s="68"/>
      <c r="BQ26" s="68"/>
      <c r="BR26" s="68"/>
      <c r="BS26" s="68"/>
      <c r="BT26" s="69"/>
      <c r="BU26" s="59"/>
      <c r="BV26" s="59"/>
      <c r="BW26" s="59"/>
      <c r="BX26" s="59"/>
      <c r="BY26" s="59"/>
      <c r="BZ26" s="59"/>
      <c r="CA26" s="59"/>
    </row>
    <row r="27" spans="1:79">
      <c r="A27" s="59"/>
      <c r="B27" s="44">
        <f t="shared" si="0"/>
        <v>1946</v>
      </c>
      <c r="C27" s="67"/>
      <c r="D27" s="68"/>
      <c r="E27" s="68"/>
      <c r="F27" s="68"/>
      <c r="G27" s="68"/>
      <c r="H27" s="68"/>
      <c r="I27" s="69"/>
      <c r="J27" s="67"/>
      <c r="K27" s="68"/>
      <c r="L27" s="68"/>
      <c r="M27" s="68"/>
      <c r="N27" s="68"/>
      <c r="O27" s="68"/>
      <c r="P27" s="69"/>
      <c r="Q27" s="67"/>
      <c r="R27" s="68"/>
      <c r="S27" s="68"/>
      <c r="T27" s="68"/>
      <c r="U27" s="68"/>
      <c r="V27" s="68"/>
      <c r="W27" s="69"/>
      <c r="X27" s="67"/>
      <c r="Y27" s="68"/>
      <c r="Z27" s="68"/>
      <c r="AA27" s="68"/>
      <c r="AB27" s="68"/>
      <c r="AC27" s="68"/>
      <c r="AD27" s="69"/>
      <c r="AE27" s="67"/>
      <c r="AF27" s="68"/>
      <c r="AG27" s="68"/>
      <c r="AH27" s="68"/>
      <c r="AI27" s="68"/>
      <c r="AJ27" s="68"/>
      <c r="AK27" s="69"/>
      <c r="AL27" s="67"/>
      <c r="AM27" s="68"/>
      <c r="AN27" s="68"/>
      <c r="AO27" s="68"/>
      <c r="AP27" s="68"/>
      <c r="AQ27" s="68"/>
      <c r="AR27" s="69"/>
      <c r="AS27" s="67"/>
      <c r="AT27" s="68"/>
      <c r="AU27" s="68"/>
      <c r="AV27" s="68"/>
      <c r="AW27" s="68"/>
      <c r="AX27" s="68"/>
      <c r="AY27" s="69"/>
      <c r="AZ27" s="67"/>
      <c r="BA27" s="68"/>
      <c r="BB27" s="68"/>
      <c r="BC27" s="68"/>
      <c r="BD27" s="68"/>
      <c r="BE27" s="68"/>
      <c r="BF27" s="69"/>
      <c r="BG27" s="67"/>
      <c r="BH27" s="68"/>
      <c r="BI27" s="68"/>
      <c r="BJ27" s="68"/>
      <c r="BK27" s="68"/>
      <c r="BL27" s="68"/>
      <c r="BM27" s="69"/>
      <c r="BN27" s="67"/>
      <c r="BO27" s="68"/>
      <c r="BP27" s="68"/>
      <c r="BQ27" s="68"/>
      <c r="BR27" s="68"/>
      <c r="BS27" s="68"/>
      <c r="BT27" s="69"/>
      <c r="BU27" s="59"/>
      <c r="BV27" s="59"/>
      <c r="BW27" s="59"/>
      <c r="BX27" s="59"/>
      <c r="BY27" s="59"/>
      <c r="BZ27" s="59"/>
      <c r="CA27" s="59"/>
    </row>
    <row r="28" spans="1:79">
      <c r="A28" s="59"/>
      <c r="B28" s="44">
        <f t="shared" si="0"/>
        <v>1947</v>
      </c>
      <c r="C28" s="67"/>
      <c r="D28" s="68"/>
      <c r="E28" s="68"/>
      <c r="F28" s="68"/>
      <c r="G28" s="68"/>
      <c r="H28" s="68"/>
      <c r="I28" s="69"/>
      <c r="J28" s="67"/>
      <c r="K28" s="68"/>
      <c r="L28" s="68"/>
      <c r="M28" s="68"/>
      <c r="N28" s="68"/>
      <c r="O28" s="68"/>
      <c r="P28" s="69"/>
      <c r="Q28" s="67"/>
      <c r="R28" s="68"/>
      <c r="S28" s="68"/>
      <c r="T28" s="68"/>
      <c r="U28" s="68"/>
      <c r="V28" s="68"/>
      <c r="W28" s="69"/>
      <c r="X28" s="67"/>
      <c r="Y28" s="68"/>
      <c r="Z28" s="68"/>
      <c r="AA28" s="68"/>
      <c r="AB28" s="68"/>
      <c r="AC28" s="68"/>
      <c r="AD28" s="69"/>
      <c r="AE28" s="67"/>
      <c r="AF28" s="68"/>
      <c r="AG28" s="68"/>
      <c r="AH28" s="68"/>
      <c r="AI28" s="68"/>
      <c r="AJ28" s="68"/>
      <c r="AK28" s="69"/>
      <c r="AL28" s="67"/>
      <c r="AM28" s="68"/>
      <c r="AN28" s="68"/>
      <c r="AO28" s="68"/>
      <c r="AP28" s="68"/>
      <c r="AQ28" s="68"/>
      <c r="AR28" s="69"/>
      <c r="AS28" s="67"/>
      <c r="AT28" s="68"/>
      <c r="AU28" s="68"/>
      <c r="AV28" s="68"/>
      <c r="AW28" s="68"/>
      <c r="AX28" s="68"/>
      <c r="AY28" s="69"/>
      <c r="AZ28" s="67"/>
      <c r="BA28" s="68"/>
      <c r="BB28" s="68"/>
      <c r="BC28" s="68"/>
      <c r="BD28" s="68"/>
      <c r="BE28" s="68"/>
      <c r="BF28" s="69"/>
      <c r="BG28" s="67"/>
      <c r="BH28" s="68"/>
      <c r="BI28" s="68"/>
      <c r="BJ28" s="68"/>
      <c r="BK28" s="68"/>
      <c r="BL28" s="68"/>
      <c r="BM28" s="69"/>
      <c r="BN28" s="67"/>
      <c r="BO28" s="68"/>
      <c r="BP28" s="68"/>
      <c r="BQ28" s="68"/>
      <c r="BR28" s="68"/>
      <c r="BS28" s="68"/>
      <c r="BT28" s="69"/>
      <c r="BU28" s="59"/>
      <c r="BV28" s="59"/>
      <c r="BW28" s="59"/>
      <c r="BX28" s="59"/>
      <c r="BY28" s="59"/>
      <c r="BZ28" s="59"/>
      <c r="CA28" s="59"/>
    </row>
    <row r="29" spans="1:79">
      <c r="A29" s="59"/>
      <c r="B29" s="44">
        <f t="shared" si="0"/>
        <v>1948</v>
      </c>
      <c r="C29" s="67"/>
      <c r="D29" s="68"/>
      <c r="E29" s="68"/>
      <c r="F29" s="68"/>
      <c r="G29" s="68"/>
      <c r="H29" s="68"/>
      <c r="I29" s="69"/>
      <c r="J29" s="67"/>
      <c r="K29" s="68"/>
      <c r="L29" s="68"/>
      <c r="M29" s="68"/>
      <c r="N29" s="68"/>
      <c r="O29" s="68"/>
      <c r="P29" s="69"/>
      <c r="Q29" s="67"/>
      <c r="R29" s="68"/>
      <c r="S29" s="68"/>
      <c r="T29" s="68"/>
      <c r="U29" s="68"/>
      <c r="V29" s="68"/>
      <c r="W29" s="69"/>
      <c r="X29" s="67"/>
      <c r="Y29" s="68"/>
      <c r="Z29" s="68"/>
      <c r="AA29" s="68"/>
      <c r="AB29" s="68"/>
      <c r="AC29" s="68"/>
      <c r="AD29" s="69"/>
      <c r="AE29" s="67"/>
      <c r="AF29" s="68"/>
      <c r="AG29" s="68"/>
      <c r="AH29" s="68"/>
      <c r="AI29" s="68"/>
      <c r="AJ29" s="68"/>
      <c r="AK29" s="69"/>
      <c r="AL29" s="67"/>
      <c r="AM29" s="68"/>
      <c r="AN29" s="68"/>
      <c r="AO29" s="68"/>
      <c r="AP29" s="68"/>
      <c r="AQ29" s="68"/>
      <c r="AR29" s="69"/>
      <c r="AS29" s="67"/>
      <c r="AT29" s="68"/>
      <c r="AU29" s="68"/>
      <c r="AV29" s="68"/>
      <c r="AW29" s="68"/>
      <c r="AX29" s="68"/>
      <c r="AY29" s="69"/>
      <c r="AZ29" s="67"/>
      <c r="BA29" s="68"/>
      <c r="BB29" s="68"/>
      <c r="BC29" s="68"/>
      <c r="BD29" s="68"/>
      <c r="BE29" s="68"/>
      <c r="BF29" s="69"/>
      <c r="BG29" s="67"/>
      <c r="BH29" s="68"/>
      <c r="BI29" s="68"/>
      <c r="BJ29" s="68"/>
      <c r="BK29" s="68"/>
      <c r="BL29" s="68"/>
      <c r="BM29" s="69"/>
      <c r="BN29" s="67"/>
      <c r="BO29" s="68"/>
      <c r="BP29" s="68"/>
      <c r="BQ29" s="68"/>
      <c r="BR29" s="68"/>
      <c r="BS29" s="68"/>
      <c r="BT29" s="69"/>
      <c r="BU29" s="59"/>
      <c r="BV29" s="59"/>
      <c r="BW29" s="59"/>
      <c r="BX29" s="59"/>
      <c r="BY29" s="59"/>
      <c r="BZ29" s="59"/>
      <c r="CA29" s="59"/>
    </row>
    <row r="30" spans="1:79">
      <c r="A30" s="59"/>
      <c r="B30" s="44">
        <f t="shared" si="0"/>
        <v>1949</v>
      </c>
      <c r="C30" s="67"/>
      <c r="D30" s="68"/>
      <c r="E30" s="68"/>
      <c r="F30" s="68"/>
      <c r="G30" s="68"/>
      <c r="H30" s="68"/>
      <c r="I30" s="69"/>
      <c r="J30" s="67"/>
      <c r="K30" s="68"/>
      <c r="L30" s="68"/>
      <c r="M30" s="68"/>
      <c r="N30" s="68"/>
      <c r="O30" s="68"/>
      <c r="P30" s="69"/>
      <c r="Q30" s="67"/>
      <c r="R30" s="68"/>
      <c r="S30" s="68"/>
      <c r="T30" s="68"/>
      <c r="U30" s="68"/>
      <c r="V30" s="68"/>
      <c r="W30" s="69"/>
      <c r="X30" s="67"/>
      <c r="Y30" s="68"/>
      <c r="Z30" s="68"/>
      <c r="AA30" s="68"/>
      <c r="AB30" s="68"/>
      <c r="AC30" s="68"/>
      <c r="AD30" s="69"/>
      <c r="AE30" s="67"/>
      <c r="AF30" s="68"/>
      <c r="AG30" s="68"/>
      <c r="AH30" s="68"/>
      <c r="AI30" s="68"/>
      <c r="AJ30" s="68"/>
      <c r="AK30" s="69"/>
      <c r="AL30" s="67"/>
      <c r="AM30" s="68"/>
      <c r="AN30" s="68"/>
      <c r="AO30" s="68"/>
      <c r="AP30" s="68"/>
      <c r="AQ30" s="68"/>
      <c r="AR30" s="69"/>
      <c r="AS30" s="67"/>
      <c r="AT30" s="68"/>
      <c r="AU30" s="68"/>
      <c r="AV30" s="68"/>
      <c r="AW30" s="68"/>
      <c r="AX30" s="68"/>
      <c r="AY30" s="69"/>
      <c r="AZ30" s="67"/>
      <c r="BA30" s="68"/>
      <c r="BB30" s="68"/>
      <c r="BC30" s="68"/>
      <c r="BD30" s="68"/>
      <c r="BE30" s="68"/>
      <c r="BF30" s="69"/>
      <c r="BG30" s="67"/>
      <c r="BH30" s="68"/>
      <c r="BI30" s="68"/>
      <c r="BJ30" s="68"/>
      <c r="BK30" s="68"/>
      <c r="BL30" s="68"/>
      <c r="BM30" s="69"/>
      <c r="BN30" s="67"/>
      <c r="BO30" s="68"/>
      <c r="BP30" s="68"/>
      <c r="BQ30" s="68"/>
      <c r="BR30" s="68"/>
      <c r="BS30" s="68"/>
      <c r="BT30" s="69"/>
      <c r="BU30" s="59"/>
      <c r="BV30" s="59"/>
      <c r="BW30" s="59"/>
      <c r="BX30" s="59"/>
      <c r="BY30" s="59"/>
      <c r="BZ30" s="59"/>
      <c r="CA30" s="59"/>
    </row>
    <row r="31" spans="1:79">
      <c r="A31" s="59"/>
      <c r="B31" s="44">
        <f t="shared" si="0"/>
        <v>1950</v>
      </c>
      <c r="C31" s="67"/>
      <c r="D31" s="68"/>
      <c r="E31" s="68"/>
      <c r="F31" s="68"/>
      <c r="G31" s="68"/>
      <c r="H31" s="68"/>
      <c r="I31" s="69"/>
      <c r="J31" s="67"/>
      <c r="K31" s="68"/>
      <c r="L31" s="68"/>
      <c r="M31" s="68"/>
      <c r="N31" s="68"/>
      <c r="O31" s="68"/>
      <c r="P31" s="69"/>
      <c r="Q31" s="67"/>
      <c r="R31" s="68"/>
      <c r="S31" s="68"/>
      <c r="T31" s="68"/>
      <c r="U31" s="68"/>
      <c r="V31" s="68"/>
      <c r="W31" s="69"/>
      <c r="X31" s="67"/>
      <c r="Y31" s="68"/>
      <c r="Z31" s="68"/>
      <c r="AA31" s="68"/>
      <c r="AB31" s="68"/>
      <c r="AC31" s="68"/>
      <c r="AD31" s="69"/>
      <c r="AE31" s="67"/>
      <c r="AF31" s="68"/>
      <c r="AG31" s="68"/>
      <c r="AH31" s="68"/>
      <c r="AI31" s="68"/>
      <c r="AJ31" s="68"/>
      <c r="AK31" s="69"/>
      <c r="AL31" s="67"/>
      <c r="AM31" s="68"/>
      <c r="AN31" s="68"/>
      <c r="AO31" s="68"/>
      <c r="AP31" s="68"/>
      <c r="AQ31" s="68"/>
      <c r="AR31" s="69"/>
      <c r="AS31" s="67"/>
      <c r="AT31" s="68"/>
      <c r="AU31" s="68"/>
      <c r="AV31" s="68"/>
      <c r="AW31" s="68"/>
      <c r="AX31" s="68"/>
      <c r="AY31" s="69"/>
      <c r="AZ31" s="67"/>
      <c r="BA31" s="68"/>
      <c r="BB31" s="68"/>
      <c r="BC31" s="68"/>
      <c r="BD31" s="68"/>
      <c r="BE31" s="68"/>
      <c r="BF31" s="69"/>
      <c r="BG31" s="67"/>
      <c r="BH31" s="68"/>
      <c r="BI31" s="68"/>
      <c r="BJ31" s="68"/>
      <c r="BK31" s="68"/>
      <c r="BL31" s="68"/>
      <c r="BM31" s="69"/>
      <c r="BN31" s="67"/>
      <c r="BO31" s="68"/>
      <c r="BP31" s="68"/>
      <c r="BQ31" s="68"/>
      <c r="BR31" s="68"/>
      <c r="BS31" s="68"/>
      <c r="BT31" s="69"/>
      <c r="BU31" s="59"/>
      <c r="BV31" s="59"/>
      <c r="BW31" s="59"/>
      <c r="BX31" s="59"/>
      <c r="BY31" s="59"/>
      <c r="BZ31" s="59"/>
      <c r="CA31" s="59"/>
    </row>
    <row r="32" spans="1:79">
      <c r="A32" s="59"/>
      <c r="B32" s="44">
        <f t="shared" si="0"/>
        <v>1951</v>
      </c>
      <c r="C32" s="67"/>
      <c r="D32" s="68"/>
      <c r="E32" s="68"/>
      <c r="F32" s="68"/>
      <c r="G32" s="68"/>
      <c r="H32" s="68"/>
      <c r="I32" s="69"/>
      <c r="J32" s="67"/>
      <c r="K32" s="68"/>
      <c r="L32" s="68"/>
      <c r="M32" s="68"/>
      <c r="N32" s="68"/>
      <c r="O32" s="68"/>
      <c r="P32" s="69"/>
      <c r="Q32" s="67"/>
      <c r="R32" s="68"/>
      <c r="S32" s="68"/>
      <c r="T32" s="68"/>
      <c r="U32" s="68"/>
      <c r="V32" s="68"/>
      <c r="W32" s="69"/>
      <c r="X32" s="67"/>
      <c r="Y32" s="68"/>
      <c r="Z32" s="68"/>
      <c r="AA32" s="68"/>
      <c r="AB32" s="68"/>
      <c r="AC32" s="68"/>
      <c r="AD32" s="69"/>
      <c r="AE32" s="67"/>
      <c r="AF32" s="68"/>
      <c r="AG32" s="68"/>
      <c r="AH32" s="68"/>
      <c r="AI32" s="68"/>
      <c r="AJ32" s="68"/>
      <c r="AK32" s="69"/>
      <c r="AL32" s="67"/>
      <c r="AM32" s="68"/>
      <c r="AN32" s="68"/>
      <c r="AO32" s="68"/>
      <c r="AP32" s="68"/>
      <c r="AQ32" s="68"/>
      <c r="AR32" s="69"/>
      <c r="AS32" s="67"/>
      <c r="AT32" s="68"/>
      <c r="AU32" s="68"/>
      <c r="AV32" s="68"/>
      <c r="AW32" s="68"/>
      <c r="AX32" s="68"/>
      <c r="AY32" s="69"/>
      <c r="AZ32" s="67"/>
      <c r="BA32" s="68"/>
      <c r="BB32" s="68"/>
      <c r="BC32" s="68"/>
      <c r="BD32" s="68"/>
      <c r="BE32" s="68"/>
      <c r="BF32" s="69"/>
      <c r="BG32" s="67"/>
      <c r="BH32" s="68"/>
      <c r="BI32" s="68"/>
      <c r="BJ32" s="68"/>
      <c r="BK32" s="68"/>
      <c r="BL32" s="68"/>
      <c r="BM32" s="69"/>
      <c r="BN32" s="67"/>
      <c r="BO32" s="68"/>
      <c r="BP32" s="68"/>
      <c r="BQ32" s="68"/>
      <c r="BR32" s="68"/>
      <c r="BS32" s="68"/>
      <c r="BT32" s="69"/>
      <c r="BU32" s="59"/>
      <c r="BV32" s="59"/>
      <c r="BW32" s="59"/>
      <c r="BX32" s="59"/>
      <c r="BY32" s="59"/>
      <c r="BZ32" s="59"/>
      <c r="CA32" s="59"/>
    </row>
    <row r="33" spans="1:79">
      <c r="A33" s="59"/>
      <c r="B33" s="44">
        <f t="shared" si="0"/>
        <v>1952</v>
      </c>
      <c r="C33" s="67"/>
      <c r="D33" s="68"/>
      <c r="E33" s="68"/>
      <c r="F33" s="68"/>
      <c r="G33" s="68"/>
      <c r="H33" s="68"/>
      <c r="I33" s="69"/>
      <c r="J33" s="67"/>
      <c r="K33" s="68"/>
      <c r="L33" s="68"/>
      <c r="M33" s="68"/>
      <c r="N33" s="68"/>
      <c r="O33" s="68"/>
      <c r="P33" s="69"/>
      <c r="Q33" s="67"/>
      <c r="R33" s="68"/>
      <c r="S33" s="68"/>
      <c r="T33" s="68"/>
      <c r="U33" s="68"/>
      <c r="V33" s="68"/>
      <c r="W33" s="69"/>
      <c r="X33" s="67"/>
      <c r="Y33" s="68"/>
      <c r="Z33" s="68"/>
      <c r="AA33" s="68"/>
      <c r="AB33" s="68"/>
      <c r="AC33" s="68"/>
      <c r="AD33" s="69"/>
      <c r="AE33" s="67"/>
      <c r="AF33" s="68"/>
      <c r="AG33" s="68"/>
      <c r="AH33" s="68"/>
      <c r="AI33" s="68"/>
      <c r="AJ33" s="68"/>
      <c r="AK33" s="69"/>
      <c r="AL33" s="67"/>
      <c r="AM33" s="68"/>
      <c r="AN33" s="68"/>
      <c r="AO33" s="68"/>
      <c r="AP33" s="68"/>
      <c r="AQ33" s="68"/>
      <c r="AR33" s="69"/>
      <c r="AS33" s="67"/>
      <c r="AT33" s="68"/>
      <c r="AU33" s="68"/>
      <c r="AV33" s="68"/>
      <c r="AW33" s="68"/>
      <c r="AX33" s="68"/>
      <c r="AY33" s="69"/>
      <c r="AZ33" s="67"/>
      <c r="BA33" s="68"/>
      <c r="BB33" s="68"/>
      <c r="BC33" s="68"/>
      <c r="BD33" s="68"/>
      <c r="BE33" s="68"/>
      <c r="BF33" s="69"/>
      <c r="BG33" s="67"/>
      <c r="BH33" s="68"/>
      <c r="BI33" s="68"/>
      <c r="BJ33" s="68"/>
      <c r="BK33" s="68"/>
      <c r="BL33" s="68"/>
      <c r="BM33" s="69"/>
      <c r="BN33" s="67"/>
      <c r="BO33" s="68"/>
      <c r="BP33" s="68"/>
      <c r="BQ33" s="68"/>
      <c r="BR33" s="68"/>
      <c r="BS33" s="68"/>
      <c r="BT33" s="69"/>
      <c r="BU33" s="59"/>
      <c r="BV33" s="59"/>
      <c r="BW33" s="59"/>
      <c r="BX33" s="59"/>
      <c r="BY33" s="59"/>
      <c r="BZ33" s="59"/>
      <c r="CA33" s="59"/>
    </row>
    <row r="34" spans="1:79">
      <c r="A34" s="59"/>
      <c r="B34" s="44">
        <f t="shared" si="0"/>
        <v>1953</v>
      </c>
      <c r="C34" s="67"/>
      <c r="D34" s="68"/>
      <c r="E34" s="68"/>
      <c r="F34" s="68"/>
      <c r="G34" s="68"/>
      <c r="H34" s="68"/>
      <c r="I34" s="69"/>
      <c r="J34" s="67"/>
      <c r="K34" s="68"/>
      <c r="L34" s="68"/>
      <c r="M34" s="68"/>
      <c r="N34" s="68"/>
      <c r="O34" s="68"/>
      <c r="P34" s="69"/>
      <c r="Q34" s="67"/>
      <c r="R34" s="68"/>
      <c r="S34" s="68"/>
      <c r="T34" s="68"/>
      <c r="U34" s="68"/>
      <c r="V34" s="68"/>
      <c r="W34" s="69"/>
      <c r="X34" s="67"/>
      <c r="Y34" s="68"/>
      <c r="Z34" s="68"/>
      <c r="AA34" s="68"/>
      <c r="AB34" s="68"/>
      <c r="AC34" s="68"/>
      <c r="AD34" s="69"/>
      <c r="AE34" s="67"/>
      <c r="AF34" s="68"/>
      <c r="AG34" s="68"/>
      <c r="AH34" s="68"/>
      <c r="AI34" s="68"/>
      <c r="AJ34" s="68"/>
      <c r="AK34" s="69"/>
      <c r="AL34" s="67"/>
      <c r="AM34" s="68"/>
      <c r="AN34" s="68"/>
      <c r="AO34" s="68"/>
      <c r="AP34" s="68"/>
      <c r="AQ34" s="68"/>
      <c r="AR34" s="69"/>
      <c r="AS34" s="67"/>
      <c r="AT34" s="68"/>
      <c r="AU34" s="68"/>
      <c r="AV34" s="68"/>
      <c r="AW34" s="68"/>
      <c r="AX34" s="68"/>
      <c r="AY34" s="69"/>
      <c r="AZ34" s="67"/>
      <c r="BA34" s="68"/>
      <c r="BB34" s="68"/>
      <c r="BC34" s="68"/>
      <c r="BD34" s="68"/>
      <c r="BE34" s="68"/>
      <c r="BF34" s="69"/>
      <c r="BG34" s="67"/>
      <c r="BH34" s="68"/>
      <c r="BI34" s="68"/>
      <c r="BJ34" s="68"/>
      <c r="BK34" s="68"/>
      <c r="BL34" s="68"/>
      <c r="BM34" s="69"/>
      <c r="BN34" s="67"/>
      <c r="BO34" s="68"/>
      <c r="BP34" s="68"/>
      <c r="BQ34" s="68"/>
      <c r="BR34" s="68"/>
      <c r="BS34" s="68"/>
      <c r="BT34" s="69"/>
      <c r="BU34" s="59"/>
      <c r="BV34" s="59"/>
      <c r="BW34" s="59"/>
      <c r="BX34" s="59"/>
      <c r="BY34" s="59"/>
      <c r="BZ34" s="59"/>
      <c r="CA34" s="59"/>
    </row>
    <row r="35" spans="1:79">
      <c r="A35" s="59"/>
      <c r="B35" s="44">
        <f t="shared" si="0"/>
        <v>1954</v>
      </c>
      <c r="C35" s="67"/>
      <c r="D35" s="68"/>
      <c r="E35" s="68"/>
      <c r="F35" s="68"/>
      <c r="G35" s="68"/>
      <c r="H35" s="68"/>
      <c r="I35" s="69"/>
      <c r="J35" s="67"/>
      <c r="K35" s="68"/>
      <c r="L35" s="68"/>
      <c r="M35" s="68"/>
      <c r="N35" s="68"/>
      <c r="O35" s="68"/>
      <c r="P35" s="69"/>
      <c r="Q35" s="67"/>
      <c r="R35" s="68"/>
      <c r="S35" s="68"/>
      <c r="T35" s="68"/>
      <c r="U35" s="68"/>
      <c r="V35" s="68"/>
      <c r="W35" s="69"/>
      <c r="X35" s="67"/>
      <c r="Y35" s="68"/>
      <c r="Z35" s="68"/>
      <c r="AA35" s="68"/>
      <c r="AB35" s="68"/>
      <c r="AC35" s="68"/>
      <c r="AD35" s="69"/>
      <c r="AE35" s="67"/>
      <c r="AF35" s="68"/>
      <c r="AG35" s="68"/>
      <c r="AH35" s="68"/>
      <c r="AI35" s="68"/>
      <c r="AJ35" s="68"/>
      <c r="AK35" s="69"/>
      <c r="AL35" s="67"/>
      <c r="AM35" s="68"/>
      <c r="AN35" s="68"/>
      <c r="AO35" s="68"/>
      <c r="AP35" s="68"/>
      <c r="AQ35" s="68"/>
      <c r="AR35" s="69"/>
      <c r="AS35" s="67"/>
      <c r="AT35" s="68"/>
      <c r="AU35" s="68"/>
      <c r="AV35" s="68"/>
      <c r="AW35" s="68"/>
      <c r="AX35" s="68"/>
      <c r="AY35" s="69"/>
      <c r="AZ35" s="67"/>
      <c r="BA35" s="68"/>
      <c r="BB35" s="68"/>
      <c r="BC35" s="68"/>
      <c r="BD35" s="68"/>
      <c r="BE35" s="68"/>
      <c r="BF35" s="69"/>
      <c r="BG35" s="67"/>
      <c r="BH35" s="68"/>
      <c r="BI35" s="68"/>
      <c r="BJ35" s="68"/>
      <c r="BK35" s="68"/>
      <c r="BL35" s="68"/>
      <c r="BM35" s="69"/>
      <c r="BN35" s="67"/>
      <c r="BO35" s="68"/>
      <c r="BP35" s="68"/>
      <c r="BQ35" s="68"/>
      <c r="BR35" s="68"/>
      <c r="BS35" s="68"/>
      <c r="BT35" s="69"/>
      <c r="BU35" s="59"/>
      <c r="BV35" s="59"/>
      <c r="BW35" s="59"/>
      <c r="BX35" s="59"/>
      <c r="BY35" s="59"/>
      <c r="BZ35" s="59"/>
      <c r="CA35" s="59"/>
    </row>
    <row r="36" spans="1:79">
      <c r="A36" s="59"/>
      <c r="B36" s="44">
        <f t="shared" si="0"/>
        <v>1955</v>
      </c>
      <c r="C36" s="67"/>
      <c r="D36" s="68"/>
      <c r="E36" s="68"/>
      <c r="F36" s="68"/>
      <c r="G36" s="68"/>
      <c r="H36" s="68"/>
      <c r="I36" s="69"/>
      <c r="J36" s="67"/>
      <c r="K36" s="68"/>
      <c r="L36" s="68"/>
      <c r="M36" s="68"/>
      <c r="N36" s="68"/>
      <c r="O36" s="68"/>
      <c r="P36" s="69"/>
      <c r="Q36" s="67"/>
      <c r="R36" s="68"/>
      <c r="S36" s="68"/>
      <c r="T36" s="68"/>
      <c r="U36" s="68"/>
      <c r="V36" s="68"/>
      <c r="W36" s="69"/>
      <c r="X36" s="67"/>
      <c r="Y36" s="68"/>
      <c r="Z36" s="68"/>
      <c r="AA36" s="68"/>
      <c r="AB36" s="68"/>
      <c r="AC36" s="68"/>
      <c r="AD36" s="69"/>
      <c r="AE36" s="67"/>
      <c r="AF36" s="68"/>
      <c r="AG36" s="68"/>
      <c r="AH36" s="68"/>
      <c r="AI36" s="68"/>
      <c r="AJ36" s="68"/>
      <c r="AK36" s="69"/>
      <c r="AL36" s="67"/>
      <c r="AM36" s="68"/>
      <c r="AN36" s="68"/>
      <c r="AO36" s="68"/>
      <c r="AP36" s="68"/>
      <c r="AQ36" s="68"/>
      <c r="AR36" s="69"/>
      <c r="AS36" s="67"/>
      <c r="AT36" s="68"/>
      <c r="AU36" s="68"/>
      <c r="AV36" s="68"/>
      <c r="AW36" s="68"/>
      <c r="AX36" s="68"/>
      <c r="AY36" s="69"/>
      <c r="AZ36" s="67"/>
      <c r="BA36" s="68"/>
      <c r="BB36" s="68"/>
      <c r="BC36" s="68"/>
      <c r="BD36" s="68"/>
      <c r="BE36" s="68"/>
      <c r="BF36" s="69"/>
      <c r="BG36" s="67"/>
      <c r="BH36" s="68"/>
      <c r="BI36" s="68"/>
      <c r="BJ36" s="68"/>
      <c r="BK36" s="68"/>
      <c r="BL36" s="68"/>
      <c r="BM36" s="69"/>
      <c r="BN36" s="67"/>
      <c r="BO36" s="68"/>
      <c r="BP36" s="68"/>
      <c r="BQ36" s="68"/>
      <c r="BR36" s="68"/>
      <c r="BS36" s="68"/>
      <c r="BT36" s="69"/>
      <c r="BU36" s="59"/>
      <c r="BV36" s="59"/>
      <c r="BW36" s="59"/>
      <c r="BX36" s="59"/>
      <c r="BY36" s="59"/>
      <c r="BZ36" s="59"/>
      <c r="CA36" s="59"/>
    </row>
    <row r="37" spans="1:79">
      <c r="A37" s="59"/>
      <c r="B37" s="44">
        <f t="shared" si="0"/>
        <v>1956</v>
      </c>
      <c r="C37" s="67"/>
      <c r="D37" s="68"/>
      <c r="E37" s="68"/>
      <c r="F37" s="68"/>
      <c r="G37" s="68"/>
      <c r="H37" s="68"/>
      <c r="I37" s="69"/>
      <c r="J37" s="67"/>
      <c r="K37" s="68"/>
      <c r="L37" s="68"/>
      <c r="M37" s="68"/>
      <c r="N37" s="68"/>
      <c r="O37" s="68"/>
      <c r="P37" s="69"/>
      <c r="Q37" s="67"/>
      <c r="R37" s="68"/>
      <c r="S37" s="68"/>
      <c r="T37" s="68"/>
      <c r="U37" s="68"/>
      <c r="V37" s="68"/>
      <c r="W37" s="69"/>
      <c r="X37" s="67"/>
      <c r="Y37" s="68"/>
      <c r="Z37" s="68"/>
      <c r="AA37" s="68"/>
      <c r="AB37" s="68"/>
      <c r="AC37" s="68"/>
      <c r="AD37" s="69"/>
      <c r="AE37" s="67"/>
      <c r="AF37" s="68"/>
      <c r="AG37" s="68"/>
      <c r="AH37" s="68"/>
      <c r="AI37" s="68"/>
      <c r="AJ37" s="68"/>
      <c r="AK37" s="69"/>
      <c r="AL37" s="67"/>
      <c r="AM37" s="68"/>
      <c r="AN37" s="68"/>
      <c r="AO37" s="68"/>
      <c r="AP37" s="68"/>
      <c r="AQ37" s="68"/>
      <c r="AR37" s="69"/>
      <c r="AS37" s="67"/>
      <c r="AT37" s="68"/>
      <c r="AU37" s="68"/>
      <c r="AV37" s="68"/>
      <c r="AW37" s="68"/>
      <c r="AX37" s="68"/>
      <c r="AY37" s="69"/>
      <c r="AZ37" s="67"/>
      <c r="BA37" s="68"/>
      <c r="BB37" s="68"/>
      <c r="BC37" s="68"/>
      <c r="BD37" s="68"/>
      <c r="BE37" s="68"/>
      <c r="BF37" s="69"/>
      <c r="BG37" s="67"/>
      <c r="BH37" s="68"/>
      <c r="BI37" s="68"/>
      <c r="BJ37" s="68"/>
      <c r="BK37" s="68"/>
      <c r="BL37" s="68"/>
      <c r="BM37" s="69"/>
      <c r="BN37" s="67"/>
      <c r="BO37" s="68"/>
      <c r="BP37" s="68"/>
      <c r="BQ37" s="68"/>
      <c r="BR37" s="68"/>
      <c r="BS37" s="68"/>
      <c r="BT37" s="69"/>
      <c r="BU37" s="59"/>
      <c r="BV37" s="59"/>
      <c r="BW37" s="59"/>
      <c r="BX37" s="59"/>
      <c r="BY37" s="59"/>
      <c r="BZ37" s="59"/>
      <c r="CA37" s="59"/>
    </row>
    <row r="38" spans="1:79">
      <c r="A38" s="59"/>
      <c r="B38" s="44">
        <f t="shared" si="0"/>
        <v>1957</v>
      </c>
      <c r="C38" s="67"/>
      <c r="D38" s="68"/>
      <c r="E38" s="68"/>
      <c r="F38" s="68"/>
      <c r="G38" s="68"/>
      <c r="H38" s="68"/>
      <c r="I38" s="69"/>
      <c r="J38" s="67"/>
      <c r="K38" s="68"/>
      <c r="L38" s="68"/>
      <c r="M38" s="68"/>
      <c r="N38" s="68"/>
      <c r="O38" s="68"/>
      <c r="P38" s="69"/>
      <c r="Q38" s="67"/>
      <c r="R38" s="68"/>
      <c r="S38" s="68"/>
      <c r="T38" s="68"/>
      <c r="U38" s="68"/>
      <c r="V38" s="68"/>
      <c r="W38" s="69"/>
      <c r="X38" s="67"/>
      <c r="Y38" s="68"/>
      <c r="Z38" s="68"/>
      <c r="AA38" s="68"/>
      <c r="AB38" s="68"/>
      <c r="AC38" s="68"/>
      <c r="AD38" s="69"/>
      <c r="AE38" s="67"/>
      <c r="AF38" s="68"/>
      <c r="AG38" s="68"/>
      <c r="AH38" s="68"/>
      <c r="AI38" s="68"/>
      <c r="AJ38" s="68"/>
      <c r="AK38" s="69"/>
      <c r="AL38" s="67"/>
      <c r="AM38" s="68"/>
      <c r="AN38" s="68"/>
      <c r="AO38" s="68"/>
      <c r="AP38" s="68"/>
      <c r="AQ38" s="68"/>
      <c r="AR38" s="69"/>
      <c r="AS38" s="67"/>
      <c r="AT38" s="68"/>
      <c r="AU38" s="68"/>
      <c r="AV38" s="68"/>
      <c r="AW38" s="68"/>
      <c r="AX38" s="68"/>
      <c r="AY38" s="69"/>
      <c r="AZ38" s="67"/>
      <c r="BA38" s="68"/>
      <c r="BB38" s="68"/>
      <c r="BC38" s="68"/>
      <c r="BD38" s="68"/>
      <c r="BE38" s="68"/>
      <c r="BF38" s="69"/>
      <c r="BG38" s="67"/>
      <c r="BH38" s="68"/>
      <c r="BI38" s="68"/>
      <c r="BJ38" s="68"/>
      <c r="BK38" s="68"/>
      <c r="BL38" s="68"/>
      <c r="BM38" s="69"/>
      <c r="BN38" s="67"/>
      <c r="BO38" s="68"/>
      <c r="BP38" s="68"/>
      <c r="BQ38" s="68"/>
      <c r="BR38" s="68"/>
      <c r="BS38" s="68"/>
      <c r="BT38" s="69"/>
      <c r="BU38" s="59"/>
      <c r="BV38" s="59"/>
      <c r="BW38" s="59"/>
      <c r="BX38" s="59"/>
      <c r="BY38" s="59"/>
      <c r="BZ38" s="59"/>
      <c r="CA38" s="59"/>
    </row>
    <row r="39" spans="1:79">
      <c r="A39" s="59"/>
      <c r="B39" s="44">
        <f t="shared" si="0"/>
        <v>1958</v>
      </c>
      <c r="C39" s="67"/>
      <c r="D39" s="68"/>
      <c r="E39" s="68"/>
      <c r="F39" s="68"/>
      <c r="G39" s="68"/>
      <c r="H39" s="68"/>
      <c r="I39" s="69"/>
      <c r="J39" s="67"/>
      <c r="K39" s="68"/>
      <c r="L39" s="68"/>
      <c r="M39" s="68"/>
      <c r="N39" s="68"/>
      <c r="O39" s="68"/>
      <c r="P39" s="69"/>
      <c r="Q39" s="67"/>
      <c r="R39" s="68"/>
      <c r="S39" s="68"/>
      <c r="T39" s="68"/>
      <c r="U39" s="68"/>
      <c r="V39" s="68"/>
      <c r="W39" s="69"/>
      <c r="X39" s="67"/>
      <c r="Y39" s="68"/>
      <c r="Z39" s="68"/>
      <c r="AA39" s="68"/>
      <c r="AB39" s="68"/>
      <c r="AC39" s="68"/>
      <c r="AD39" s="69"/>
      <c r="AE39" s="67"/>
      <c r="AF39" s="68"/>
      <c r="AG39" s="68"/>
      <c r="AH39" s="68"/>
      <c r="AI39" s="68"/>
      <c r="AJ39" s="68"/>
      <c r="AK39" s="69"/>
      <c r="AL39" s="67"/>
      <c r="AM39" s="68"/>
      <c r="AN39" s="68"/>
      <c r="AO39" s="68"/>
      <c r="AP39" s="68"/>
      <c r="AQ39" s="68"/>
      <c r="AR39" s="69"/>
      <c r="AS39" s="67"/>
      <c r="AT39" s="68"/>
      <c r="AU39" s="68"/>
      <c r="AV39" s="68"/>
      <c r="AW39" s="68"/>
      <c r="AX39" s="68"/>
      <c r="AY39" s="69"/>
      <c r="AZ39" s="67"/>
      <c r="BA39" s="68"/>
      <c r="BB39" s="68"/>
      <c r="BC39" s="68"/>
      <c r="BD39" s="68"/>
      <c r="BE39" s="68"/>
      <c r="BF39" s="69"/>
      <c r="BG39" s="67"/>
      <c r="BH39" s="68"/>
      <c r="BI39" s="68"/>
      <c r="BJ39" s="68"/>
      <c r="BK39" s="68"/>
      <c r="BL39" s="68"/>
      <c r="BM39" s="69"/>
      <c r="BN39" s="67"/>
      <c r="BO39" s="68"/>
      <c r="BP39" s="68"/>
      <c r="BQ39" s="68"/>
      <c r="BR39" s="68"/>
      <c r="BS39" s="68"/>
      <c r="BT39" s="69"/>
      <c r="BU39" s="59"/>
      <c r="BV39" s="59"/>
      <c r="BW39" s="59"/>
      <c r="BX39" s="59"/>
      <c r="BY39" s="59"/>
      <c r="BZ39" s="59"/>
      <c r="CA39" s="59"/>
    </row>
    <row r="40" spans="1:79">
      <c r="A40" s="59"/>
      <c r="B40" s="44">
        <f t="shared" si="0"/>
        <v>1959</v>
      </c>
      <c r="C40" s="67"/>
      <c r="D40" s="68"/>
      <c r="E40" s="68"/>
      <c r="F40" s="68"/>
      <c r="G40" s="68"/>
      <c r="H40" s="68"/>
      <c r="I40" s="69"/>
      <c r="J40" s="67"/>
      <c r="K40" s="68"/>
      <c r="L40" s="68"/>
      <c r="M40" s="68"/>
      <c r="N40" s="68"/>
      <c r="O40" s="68"/>
      <c r="P40" s="69"/>
      <c r="Q40" s="67"/>
      <c r="R40" s="68"/>
      <c r="S40" s="68"/>
      <c r="T40" s="68"/>
      <c r="U40" s="68"/>
      <c r="V40" s="68"/>
      <c r="W40" s="69"/>
      <c r="X40" s="67"/>
      <c r="Y40" s="68"/>
      <c r="Z40" s="68"/>
      <c r="AA40" s="68"/>
      <c r="AB40" s="68"/>
      <c r="AC40" s="68"/>
      <c r="AD40" s="69"/>
      <c r="AE40" s="67"/>
      <c r="AF40" s="68"/>
      <c r="AG40" s="68"/>
      <c r="AH40" s="68"/>
      <c r="AI40" s="68"/>
      <c r="AJ40" s="68"/>
      <c r="AK40" s="69"/>
      <c r="AL40" s="67"/>
      <c r="AM40" s="68"/>
      <c r="AN40" s="68"/>
      <c r="AO40" s="68"/>
      <c r="AP40" s="68"/>
      <c r="AQ40" s="68"/>
      <c r="AR40" s="69"/>
      <c r="AS40" s="67"/>
      <c r="AT40" s="68"/>
      <c r="AU40" s="68"/>
      <c r="AV40" s="68"/>
      <c r="AW40" s="68"/>
      <c r="AX40" s="68"/>
      <c r="AY40" s="69"/>
      <c r="AZ40" s="67"/>
      <c r="BA40" s="68"/>
      <c r="BB40" s="68"/>
      <c r="BC40" s="68"/>
      <c r="BD40" s="68"/>
      <c r="BE40" s="68"/>
      <c r="BF40" s="69"/>
      <c r="BG40" s="67"/>
      <c r="BH40" s="68"/>
      <c r="BI40" s="68"/>
      <c r="BJ40" s="68"/>
      <c r="BK40" s="68"/>
      <c r="BL40" s="68"/>
      <c r="BM40" s="69"/>
      <c r="BN40" s="67"/>
      <c r="BO40" s="68"/>
      <c r="BP40" s="68"/>
      <c r="BQ40" s="68"/>
      <c r="BR40" s="68"/>
      <c r="BS40" s="68"/>
      <c r="BT40" s="69"/>
      <c r="BU40" s="59"/>
      <c r="BV40" s="59"/>
      <c r="BW40" s="59"/>
      <c r="BX40" s="59"/>
      <c r="BY40" s="59"/>
      <c r="BZ40" s="59"/>
      <c r="CA40" s="59"/>
    </row>
    <row r="41" spans="1:79">
      <c r="A41" s="59"/>
      <c r="B41" s="44">
        <f t="shared" si="0"/>
        <v>1960</v>
      </c>
      <c r="C41" s="67"/>
      <c r="D41" s="68"/>
      <c r="E41" s="68"/>
      <c r="F41" s="68"/>
      <c r="G41" s="68"/>
      <c r="H41" s="68"/>
      <c r="I41" s="69"/>
      <c r="J41" s="67"/>
      <c r="K41" s="68"/>
      <c r="L41" s="68"/>
      <c r="M41" s="68"/>
      <c r="N41" s="68"/>
      <c r="O41" s="68"/>
      <c r="P41" s="69"/>
      <c r="Q41" s="67"/>
      <c r="R41" s="68"/>
      <c r="S41" s="68"/>
      <c r="T41" s="68"/>
      <c r="U41" s="68"/>
      <c r="V41" s="68"/>
      <c r="W41" s="69"/>
      <c r="X41" s="67"/>
      <c r="Y41" s="68"/>
      <c r="Z41" s="68"/>
      <c r="AA41" s="68"/>
      <c r="AB41" s="68"/>
      <c r="AC41" s="68"/>
      <c r="AD41" s="69"/>
      <c r="AE41" s="67"/>
      <c r="AF41" s="68"/>
      <c r="AG41" s="68"/>
      <c r="AH41" s="68"/>
      <c r="AI41" s="68"/>
      <c r="AJ41" s="68"/>
      <c r="AK41" s="69"/>
      <c r="AL41" s="67"/>
      <c r="AM41" s="68"/>
      <c r="AN41" s="68"/>
      <c r="AO41" s="68"/>
      <c r="AP41" s="68"/>
      <c r="AQ41" s="68"/>
      <c r="AR41" s="69"/>
      <c r="AS41" s="67"/>
      <c r="AT41" s="68"/>
      <c r="AU41" s="68"/>
      <c r="AV41" s="68"/>
      <c r="AW41" s="68"/>
      <c r="AX41" s="68"/>
      <c r="AY41" s="69"/>
      <c r="AZ41" s="67"/>
      <c r="BA41" s="68"/>
      <c r="BB41" s="68"/>
      <c r="BC41" s="68"/>
      <c r="BD41" s="68"/>
      <c r="BE41" s="68"/>
      <c r="BF41" s="69"/>
      <c r="BG41" s="67"/>
      <c r="BH41" s="68"/>
      <c r="BI41" s="68"/>
      <c r="BJ41" s="68"/>
      <c r="BK41" s="68"/>
      <c r="BL41" s="68"/>
      <c r="BM41" s="69"/>
      <c r="BN41" s="67"/>
      <c r="BO41" s="68"/>
      <c r="BP41" s="68"/>
      <c r="BQ41" s="68"/>
      <c r="BR41" s="68"/>
      <c r="BS41" s="68"/>
      <c r="BT41" s="69"/>
      <c r="BU41" s="59"/>
      <c r="BV41" s="59"/>
      <c r="BW41" s="59"/>
      <c r="BX41" s="59"/>
      <c r="BY41" s="59"/>
      <c r="BZ41" s="59"/>
      <c r="CA41" s="59"/>
    </row>
    <row r="42" spans="1:79">
      <c r="A42" s="59"/>
      <c r="B42" s="44">
        <f t="shared" si="0"/>
        <v>1961</v>
      </c>
      <c r="C42" s="67"/>
      <c r="D42" s="68"/>
      <c r="E42" s="68"/>
      <c r="F42" s="68"/>
      <c r="G42" s="68"/>
      <c r="H42" s="68"/>
      <c r="I42" s="69"/>
      <c r="J42" s="67"/>
      <c r="K42" s="68"/>
      <c r="L42" s="68"/>
      <c r="M42" s="68"/>
      <c r="N42" s="68"/>
      <c r="O42" s="68"/>
      <c r="P42" s="69"/>
      <c r="Q42" s="67"/>
      <c r="R42" s="68"/>
      <c r="S42" s="68"/>
      <c r="T42" s="68"/>
      <c r="U42" s="68"/>
      <c r="V42" s="68"/>
      <c r="W42" s="69"/>
      <c r="X42" s="67"/>
      <c r="Y42" s="68"/>
      <c r="Z42" s="68"/>
      <c r="AA42" s="68"/>
      <c r="AB42" s="68"/>
      <c r="AC42" s="68"/>
      <c r="AD42" s="69"/>
      <c r="AE42" s="67"/>
      <c r="AF42" s="68"/>
      <c r="AG42" s="68"/>
      <c r="AH42" s="68"/>
      <c r="AI42" s="68"/>
      <c r="AJ42" s="68"/>
      <c r="AK42" s="69"/>
      <c r="AL42" s="67"/>
      <c r="AM42" s="68"/>
      <c r="AN42" s="68"/>
      <c r="AO42" s="68"/>
      <c r="AP42" s="68"/>
      <c r="AQ42" s="68"/>
      <c r="AR42" s="69"/>
      <c r="AS42" s="67"/>
      <c r="AT42" s="68"/>
      <c r="AU42" s="68"/>
      <c r="AV42" s="68"/>
      <c r="AW42" s="68"/>
      <c r="AX42" s="68"/>
      <c r="AY42" s="69"/>
      <c r="AZ42" s="67"/>
      <c r="BA42" s="68"/>
      <c r="BB42" s="68"/>
      <c r="BC42" s="68"/>
      <c r="BD42" s="68"/>
      <c r="BE42" s="68"/>
      <c r="BF42" s="69"/>
      <c r="BG42" s="67"/>
      <c r="BH42" s="68"/>
      <c r="BI42" s="68"/>
      <c r="BJ42" s="68"/>
      <c r="BK42" s="68"/>
      <c r="BL42" s="68"/>
      <c r="BM42" s="69"/>
      <c r="BN42" s="67"/>
      <c r="BO42" s="68"/>
      <c r="BP42" s="68"/>
      <c r="BQ42" s="68"/>
      <c r="BR42" s="68"/>
      <c r="BS42" s="68"/>
      <c r="BT42" s="69"/>
      <c r="BU42" s="59"/>
      <c r="BV42" s="59"/>
      <c r="BW42" s="59"/>
      <c r="BX42" s="59"/>
      <c r="BY42" s="59"/>
      <c r="BZ42" s="59"/>
      <c r="CA42" s="59"/>
    </row>
    <row r="43" spans="1:79">
      <c r="A43" s="59"/>
      <c r="B43" s="44">
        <f t="shared" ref="B43:B74" si="1">IF(Start_year+ROW(B43)-ROW($B$11)&gt;End_year,"",Start_year+ROW(B43)-ROW($B$11))</f>
        <v>1962</v>
      </c>
      <c r="C43" s="67"/>
      <c r="D43" s="68"/>
      <c r="E43" s="68"/>
      <c r="F43" s="68"/>
      <c r="G43" s="68"/>
      <c r="H43" s="68"/>
      <c r="I43" s="69"/>
      <c r="J43" s="67"/>
      <c r="K43" s="68"/>
      <c r="L43" s="68"/>
      <c r="M43" s="68"/>
      <c r="N43" s="68"/>
      <c r="O43" s="68"/>
      <c r="P43" s="69"/>
      <c r="Q43" s="67"/>
      <c r="R43" s="68"/>
      <c r="S43" s="68"/>
      <c r="T43" s="68"/>
      <c r="U43" s="68"/>
      <c r="V43" s="68"/>
      <c r="W43" s="69"/>
      <c r="X43" s="67"/>
      <c r="Y43" s="68"/>
      <c r="Z43" s="68"/>
      <c r="AA43" s="68"/>
      <c r="AB43" s="68"/>
      <c r="AC43" s="68"/>
      <c r="AD43" s="69"/>
      <c r="AE43" s="67"/>
      <c r="AF43" s="68"/>
      <c r="AG43" s="68"/>
      <c r="AH43" s="68"/>
      <c r="AI43" s="68"/>
      <c r="AJ43" s="68"/>
      <c r="AK43" s="69"/>
      <c r="AL43" s="67"/>
      <c r="AM43" s="68"/>
      <c r="AN43" s="68"/>
      <c r="AO43" s="68"/>
      <c r="AP43" s="68"/>
      <c r="AQ43" s="68"/>
      <c r="AR43" s="69"/>
      <c r="AS43" s="67"/>
      <c r="AT43" s="68"/>
      <c r="AU43" s="68"/>
      <c r="AV43" s="68"/>
      <c r="AW43" s="68"/>
      <c r="AX43" s="68"/>
      <c r="AY43" s="69"/>
      <c r="AZ43" s="67"/>
      <c r="BA43" s="68"/>
      <c r="BB43" s="68"/>
      <c r="BC43" s="68"/>
      <c r="BD43" s="68"/>
      <c r="BE43" s="68"/>
      <c r="BF43" s="69"/>
      <c r="BG43" s="67"/>
      <c r="BH43" s="68"/>
      <c r="BI43" s="68"/>
      <c r="BJ43" s="68"/>
      <c r="BK43" s="68"/>
      <c r="BL43" s="68"/>
      <c r="BM43" s="69"/>
      <c r="BN43" s="67"/>
      <c r="BO43" s="68"/>
      <c r="BP43" s="68"/>
      <c r="BQ43" s="68"/>
      <c r="BR43" s="68"/>
      <c r="BS43" s="68"/>
      <c r="BT43" s="69"/>
      <c r="BU43" s="59"/>
      <c r="BV43" s="59"/>
      <c r="BW43" s="59"/>
      <c r="BX43" s="59"/>
      <c r="BY43" s="59"/>
      <c r="BZ43" s="59"/>
      <c r="CA43" s="59"/>
    </row>
    <row r="44" spans="1:79">
      <c r="A44" s="59"/>
      <c r="B44" s="44">
        <f t="shared" si="1"/>
        <v>1963</v>
      </c>
      <c r="C44" s="67"/>
      <c r="D44" s="68"/>
      <c r="E44" s="68"/>
      <c r="F44" s="68"/>
      <c r="G44" s="68"/>
      <c r="H44" s="68"/>
      <c r="I44" s="69"/>
      <c r="J44" s="67"/>
      <c r="K44" s="68"/>
      <c r="L44" s="68"/>
      <c r="M44" s="68"/>
      <c r="N44" s="68"/>
      <c r="O44" s="68"/>
      <c r="P44" s="69"/>
      <c r="Q44" s="67"/>
      <c r="R44" s="68"/>
      <c r="S44" s="68"/>
      <c r="T44" s="68"/>
      <c r="U44" s="68"/>
      <c r="V44" s="68"/>
      <c r="W44" s="69"/>
      <c r="X44" s="67"/>
      <c r="Y44" s="68"/>
      <c r="Z44" s="68"/>
      <c r="AA44" s="68"/>
      <c r="AB44" s="68"/>
      <c r="AC44" s="68"/>
      <c r="AD44" s="69"/>
      <c r="AE44" s="67"/>
      <c r="AF44" s="68"/>
      <c r="AG44" s="68"/>
      <c r="AH44" s="68"/>
      <c r="AI44" s="68"/>
      <c r="AJ44" s="68"/>
      <c r="AK44" s="69"/>
      <c r="AL44" s="67"/>
      <c r="AM44" s="68"/>
      <c r="AN44" s="68"/>
      <c r="AO44" s="68"/>
      <c r="AP44" s="68"/>
      <c r="AQ44" s="68"/>
      <c r="AR44" s="69"/>
      <c r="AS44" s="67"/>
      <c r="AT44" s="68"/>
      <c r="AU44" s="68"/>
      <c r="AV44" s="68"/>
      <c r="AW44" s="68"/>
      <c r="AX44" s="68"/>
      <c r="AY44" s="69"/>
      <c r="AZ44" s="67"/>
      <c r="BA44" s="68"/>
      <c r="BB44" s="68"/>
      <c r="BC44" s="68"/>
      <c r="BD44" s="68"/>
      <c r="BE44" s="68"/>
      <c r="BF44" s="69"/>
      <c r="BG44" s="67"/>
      <c r="BH44" s="68"/>
      <c r="BI44" s="68"/>
      <c r="BJ44" s="68"/>
      <c r="BK44" s="68"/>
      <c r="BL44" s="68"/>
      <c r="BM44" s="69"/>
      <c r="BN44" s="67"/>
      <c r="BO44" s="68"/>
      <c r="BP44" s="68"/>
      <c r="BQ44" s="68"/>
      <c r="BR44" s="68"/>
      <c r="BS44" s="68"/>
      <c r="BT44" s="69"/>
      <c r="BU44" s="59"/>
      <c r="BV44" s="59"/>
      <c r="BW44" s="59"/>
      <c r="BX44" s="59"/>
      <c r="BY44" s="59"/>
      <c r="BZ44" s="59"/>
      <c r="CA44" s="59"/>
    </row>
    <row r="45" spans="1:79">
      <c r="A45" s="59"/>
      <c r="B45" s="44">
        <f t="shared" si="1"/>
        <v>1964</v>
      </c>
      <c r="C45" s="67"/>
      <c r="D45" s="68"/>
      <c r="E45" s="68"/>
      <c r="F45" s="68"/>
      <c r="G45" s="68"/>
      <c r="H45" s="68"/>
      <c r="I45" s="69"/>
      <c r="J45" s="67"/>
      <c r="K45" s="68"/>
      <c r="L45" s="68"/>
      <c r="M45" s="68"/>
      <c r="N45" s="68"/>
      <c r="O45" s="68"/>
      <c r="P45" s="69"/>
      <c r="Q45" s="67"/>
      <c r="R45" s="68"/>
      <c r="S45" s="68"/>
      <c r="T45" s="68"/>
      <c r="U45" s="68"/>
      <c r="V45" s="68"/>
      <c r="W45" s="69"/>
      <c r="X45" s="67"/>
      <c r="Y45" s="68"/>
      <c r="Z45" s="68"/>
      <c r="AA45" s="68"/>
      <c r="AB45" s="68"/>
      <c r="AC45" s="68"/>
      <c r="AD45" s="69"/>
      <c r="AE45" s="67"/>
      <c r="AF45" s="68"/>
      <c r="AG45" s="68"/>
      <c r="AH45" s="68"/>
      <c r="AI45" s="68"/>
      <c r="AJ45" s="68"/>
      <c r="AK45" s="69"/>
      <c r="AL45" s="67"/>
      <c r="AM45" s="68"/>
      <c r="AN45" s="68"/>
      <c r="AO45" s="68"/>
      <c r="AP45" s="68"/>
      <c r="AQ45" s="68"/>
      <c r="AR45" s="69"/>
      <c r="AS45" s="67"/>
      <c r="AT45" s="68"/>
      <c r="AU45" s="68"/>
      <c r="AV45" s="68"/>
      <c r="AW45" s="68"/>
      <c r="AX45" s="68"/>
      <c r="AY45" s="69"/>
      <c r="AZ45" s="67"/>
      <c r="BA45" s="68"/>
      <c r="BB45" s="68"/>
      <c r="BC45" s="68"/>
      <c r="BD45" s="68"/>
      <c r="BE45" s="68"/>
      <c r="BF45" s="69"/>
      <c r="BG45" s="67"/>
      <c r="BH45" s="68"/>
      <c r="BI45" s="68"/>
      <c r="BJ45" s="68"/>
      <c r="BK45" s="68"/>
      <c r="BL45" s="68"/>
      <c r="BM45" s="69"/>
      <c r="BN45" s="67"/>
      <c r="BO45" s="68"/>
      <c r="BP45" s="68"/>
      <c r="BQ45" s="68"/>
      <c r="BR45" s="68"/>
      <c r="BS45" s="68"/>
      <c r="BT45" s="69"/>
      <c r="BU45" s="59"/>
      <c r="BV45" s="59"/>
      <c r="BW45" s="59"/>
      <c r="BX45" s="59"/>
      <c r="BY45" s="59"/>
      <c r="BZ45" s="59"/>
      <c r="CA45" s="59"/>
    </row>
    <row r="46" spans="1:79">
      <c r="A46" s="59"/>
      <c r="B46" s="44">
        <f t="shared" si="1"/>
        <v>1965</v>
      </c>
      <c r="C46" s="67"/>
      <c r="D46" s="68"/>
      <c r="E46" s="68"/>
      <c r="F46" s="68"/>
      <c r="G46" s="68"/>
      <c r="H46" s="68"/>
      <c r="I46" s="69"/>
      <c r="J46" s="67"/>
      <c r="K46" s="68"/>
      <c r="L46" s="68"/>
      <c r="M46" s="68"/>
      <c r="N46" s="68"/>
      <c r="O46" s="68"/>
      <c r="P46" s="69"/>
      <c r="Q46" s="67"/>
      <c r="R46" s="68"/>
      <c r="S46" s="68"/>
      <c r="T46" s="68"/>
      <c r="U46" s="68"/>
      <c r="V46" s="68"/>
      <c r="W46" s="69"/>
      <c r="X46" s="67"/>
      <c r="Y46" s="68"/>
      <c r="Z46" s="68"/>
      <c r="AA46" s="68"/>
      <c r="AB46" s="68"/>
      <c r="AC46" s="68"/>
      <c r="AD46" s="69"/>
      <c r="AE46" s="67"/>
      <c r="AF46" s="68"/>
      <c r="AG46" s="68"/>
      <c r="AH46" s="68"/>
      <c r="AI46" s="68"/>
      <c r="AJ46" s="68"/>
      <c r="AK46" s="69"/>
      <c r="AL46" s="67"/>
      <c r="AM46" s="68"/>
      <c r="AN46" s="68"/>
      <c r="AO46" s="68"/>
      <c r="AP46" s="68"/>
      <c r="AQ46" s="68"/>
      <c r="AR46" s="69"/>
      <c r="AS46" s="67"/>
      <c r="AT46" s="68"/>
      <c r="AU46" s="68"/>
      <c r="AV46" s="68"/>
      <c r="AW46" s="68"/>
      <c r="AX46" s="68"/>
      <c r="AY46" s="69"/>
      <c r="AZ46" s="67"/>
      <c r="BA46" s="68"/>
      <c r="BB46" s="68"/>
      <c r="BC46" s="68"/>
      <c r="BD46" s="68"/>
      <c r="BE46" s="68"/>
      <c r="BF46" s="69"/>
      <c r="BG46" s="67"/>
      <c r="BH46" s="68"/>
      <c r="BI46" s="68"/>
      <c r="BJ46" s="68"/>
      <c r="BK46" s="68"/>
      <c r="BL46" s="68"/>
      <c r="BM46" s="69"/>
      <c r="BN46" s="67"/>
      <c r="BO46" s="68"/>
      <c r="BP46" s="68"/>
      <c r="BQ46" s="68"/>
      <c r="BR46" s="68"/>
      <c r="BS46" s="68"/>
      <c r="BT46" s="69"/>
      <c r="BU46" s="59"/>
      <c r="BV46" s="59"/>
      <c r="BW46" s="59"/>
      <c r="BX46" s="59"/>
      <c r="BY46" s="59"/>
      <c r="BZ46" s="59"/>
      <c r="CA46" s="59"/>
    </row>
    <row r="47" spans="1:79">
      <c r="A47" s="59"/>
      <c r="B47" s="44">
        <f t="shared" si="1"/>
        <v>1966</v>
      </c>
      <c r="C47" s="67"/>
      <c r="D47" s="68"/>
      <c r="E47" s="68"/>
      <c r="F47" s="68"/>
      <c r="G47" s="68"/>
      <c r="H47" s="68"/>
      <c r="I47" s="69"/>
      <c r="J47" s="67"/>
      <c r="K47" s="68"/>
      <c r="L47" s="68"/>
      <c r="M47" s="68"/>
      <c r="N47" s="68"/>
      <c r="O47" s="68"/>
      <c r="P47" s="69"/>
      <c r="Q47" s="67"/>
      <c r="R47" s="68"/>
      <c r="S47" s="68"/>
      <c r="T47" s="68"/>
      <c r="U47" s="68"/>
      <c r="V47" s="68"/>
      <c r="W47" s="69"/>
      <c r="X47" s="67"/>
      <c r="Y47" s="68"/>
      <c r="Z47" s="68"/>
      <c r="AA47" s="68"/>
      <c r="AB47" s="68"/>
      <c r="AC47" s="68"/>
      <c r="AD47" s="69"/>
      <c r="AE47" s="67"/>
      <c r="AF47" s="68"/>
      <c r="AG47" s="68"/>
      <c r="AH47" s="68"/>
      <c r="AI47" s="68"/>
      <c r="AJ47" s="68"/>
      <c r="AK47" s="69"/>
      <c r="AL47" s="67"/>
      <c r="AM47" s="68"/>
      <c r="AN47" s="68"/>
      <c r="AO47" s="68"/>
      <c r="AP47" s="68"/>
      <c r="AQ47" s="68"/>
      <c r="AR47" s="69"/>
      <c r="AS47" s="67"/>
      <c r="AT47" s="68"/>
      <c r="AU47" s="68"/>
      <c r="AV47" s="68"/>
      <c r="AW47" s="68"/>
      <c r="AX47" s="68"/>
      <c r="AY47" s="69"/>
      <c r="AZ47" s="67"/>
      <c r="BA47" s="68"/>
      <c r="BB47" s="68"/>
      <c r="BC47" s="68"/>
      <c r="BD47" s="68"/>
      <c r="BE47" s="68"/>
      <c r="BF47" s="69"/>
      <c r="BG47" s="67"/>
      <c r="BH47" s="68"/>
      <c r="BI47" s="68"/>
      <c r="BJ47" s="68"/>
      <c r="BK47" s="68"/>
      <c r="BL47" s="68"/>
      <c r="BM47" s="69"/>
      <c r="BN47" s="67"/>
      <c r="BO47" s="68"/>
      <c r="BP47" s="68"/>
      <c r="BQ47" s="68"/>
      <c r="BR47" s="68"/>
      <c r="BS47" s="68"/>
      <c r="BT47" s="69"/>
      <c r="BU47" s="59"/>
      <c r="BV47" s="59"/>
      <c r="BW47" s="59"/>
      <c r="BX47" s="59"/>
      <c r="BY47" s="59"/>
      <c r="BZ47" s="59"/>
      <c r="CA47" s="59"/>
    </row>
    <row r="48" spans="1:79">
      <c r="A48" s="59"/>
      <c r="B48" s="44">
        <f t="shared" si="1"/>
        <v>1967</v>
      </c>
      <c r="C48" s="67"/>
      <c r="D48" s="68"/>
      <c r="E48" s="68"/>
      <c r="F48" s="68"/>
      <c r="G48" s="68"/>
      <c r="H48" s="68"/>
      <c r="I48" s="69"/>
      <c r="J48" s="67"/>
      <c r="K48" s="68"/>
      <c r="L48" s="68"/>
      <c r="M48" s="68"/>
      <c r="N48" s="68"/>
      <c r="O48" s="68"/>
      <c r="P48" s="69"/>
      <c r="Q48" s="67"/>
      <c r="R48" s="68"/>
      <c r="S48" s="68"/>
      <c r="T48" s="68"/>
      <c r="U48" s="68"/>
      <c r="V48" s="68"/>
      <c r="W48" s="69"/>
      <c r="X48" s="67"/>
      <c r="Y48" s="68"/>
      <c r="Z48" s="68"/>
      <c r="AA48" s="68"/>
      <c r="AB48" s="68"/>
      <c r="AC48" s="68"/>
      <c r="AD48" s="69"/>
      <c r="AE48" s="67"/>
      <c r="AF48" s="68"/>
      <c r="AG48" s="68"/>
      <c r="AH48" s="68"/>
      <c r="AI48" s="68"/>
      <c r="AJ48" s="68"/>
      <c r="AK48" s="69"/>
      <c r="AL48" s="67"/>
      <c r="AM48" s="68"/>
      <c r="AN48" s="68"/>
      <c r="AO48" s="68"/>
      <c r="AP48" s="68"/>
      <c r="AQ48" s="68"/>
      <c r="AR48" s="69"/>
      <c r="AS48" s="67"/>
      <c r="AT48" s="68"/>
      <c r="AU48" s="68"/>
      <c r="AV48" s="68"/>
      <c r="AW48" s="68"/>
      <c r="AX48" s="68"/>
      <c r="AY48" s="69"/>
      <c r="AZ48" s="67"/>
      <c r="BA48" s="68"/>
      <c r="BB48" s="68"/>
      <c r="BC48" s="68"/>
      <c r="BD48" s="68"/>
      <c r="BE48" s="68"/>
      <c r="BF48" s="69"/>
      <c r="BG48" s="67"/>
      <c r="BH48" s="68"/>
      <c r="BI48" s="68"/>
      <c r="BJ48" s="68"/>
      <c r="BK48" s="68"/>
      <c r="BL48" s="68"/>
      <c r="BM48" s="69"/>
      <c r="BN48" s="67"/>
      <c r="BO48" s="68"/>
      <c r="BP48" s="68"/>
      <c r="BQ48" s="68"/>
      <c r="BR48" s="68"/>
      <c r="BS48" s="68"/>
      <c r="BT48" s="69"/>
      <c r="BU48" s="59"/>
      <c r="BV48" s="59"/>
      <c r="BW48" s="59"/>
      <c r="BX48" s="59"/>
      <c r="BY48" s="59"/>
      <c r="BZ48" s="59"/>
      <c r="CA48" s="59"/>
    </row>
    <row r="49" spans="1:79">
      <c r="A49" s="59"/>
      <c r="B49" s="44">
        <f t="shared" si="1"/>
        <v>1968</v>
      </c>
      <c r="C49" s="67"/>
      <c r="D49" s="68"/>
      <c r="E49" s="68"/>
      <c r="F49" s="68"/>
      <c r="G49" s="68"/>
      <c r="H49" s="68"/>
      <c r="I49" s="69"/>
      <c r="J49" s="67"/>
      <c r="K49" s="68"/>
      <c r="L49" s="68"/>
      <c r="M49" s="68"/>
      <c r="N49" s="68"/>
      <c r="O49" s="68"/>
      <c r="P49" s="69"/>
      <c r="Q49" s="67"/>
      <c r="R49" s="68"/>
      <c r="S49" s="68"/>
      <c r="T49" s="68"/>
      <c r="U49" s="68"/>
      <c r="V49" s="68"/>
      <c r="W49" s="69"/>
      <c r="X49" s="67"/>
      <c r="Y49" s="68"/>
      <c r="Z49" s="68"/>
      <c r="AA49" s="68"/>
      <c r="AB49" s="68"/>
      <c r="AC49" s="68"/>
      <c r="AD49" s="69"/>
      <c r="AE49" s="67"/>
      <c r="AF49" s="68"/>
      <c r="AG49" s="68"/>
      <c r="AH49" s="68"/>
      <c r="AI49" s="68"/>
      <c r="AJ49" s="68"/>
      <c r="AK49" s="69"/>
      <c r="AL49" s="67"/>
      <c r="AM49" s="68"/>
      <c r="AN49" s="68"/>
      <c r="AO49" s="68"/>
      <c r="AP49" s="68"/>
      <c r="AQ49" s="68"/>
      <c r="AR49" s="69"/>
      <c r="AS49" s="67"/>
      <c r="AT49" s="68"/>
      <c r="AU49" s="68"/>
      <c r="AV49" s="68"/>
      <c r="AW49" s="68"/>
      <c r="AX49" s="68"/>
      <c r="AY49" s="69"/>
      <c r="AZ49" s="67"/>
      <c r="BA49" s="68"/>
      <c r="BB49" s="68"/>
      <c r="BC49" s="68"/>
      <c r="BD49" s="68"/>
      <c r="BE49" s="68"/>
      <c r="BF49" s="69"/>
      <c r="BG49" s="67"/>
      <c r="BH49" s="68"/>
      <c r="BI49" s="68"/>
      <c r="BJ49" s="68"/>
      <c r="BK49" s="68"/>
      <c r="BL49" s="68"/>
      <c r="BM49" s="69"/>
      <c r="BN49" s="67"/>
      <c r="BO49" s="68"/>
      <c r="BP49" s="68"/>
      <c r="BQ49" s="68"/>
      <c r="BR49" s="68"/>
      <c r="BS49" s="68"/>
      <c r="BT49" s="69"/>
      <c r="BU49" s="59"/>
      <c r="BV49" s="59"/>
      <c r="BW49" s="59"/>
      <c r="BX49" s="59"/>
      <c r="BY49" s="59"/>
      <c r="BZ49" s="59"/>
      <c r="CA49" s="59"/>
    </row>
    <row r="50" spans="1:79">
      <c r="A50" s="59"/>
      <c r="B50" s="44">
        <f t="shared" si="1"/>
        <v>1969</v>
      </c>
      <c r="C50" s="67"/>
      <c r="D50" s="68"/>
      <c r="E50" s="68"/>
      <c r="F50" s="68"/>
      <c r="G50" s="68"/>
      <c r="H50" s="68"/>
      <c r="I50" s="69"/>
      <c r="J50" s="67"/>
      <c r="K50" s="68"/>
      <c r="L50" s="68"/>
      <c r="M50" s="68"/>
      <c r="N50" s="68"/>
      <c r="O50" s="68"/>
      <c r="P50" s="69"/>
      <c r="Q50" s="67"/>
      <c r="R50" s="68"/>
      <c r="S50" s="68"/>
      <c r="T50" s="68"/>
      <c r="U50" s="68"/>
      <c r="V50" s="68"/>
      <c r="W50" s="69"/>
      <c r="X50" s="67"/>
      <c r="Y50" s="68"/>
      <c r="Z50" s="68"/>
      <c r="AA50" s="68"/>
      <c r="AB50" s="68"/>
      <c r="AC50" s="68"/>
      <c r="AD50" s="69"/>
      <c r="AE50" s="67"/>
      <c r="AF50" s="68"/>
      <c r="AG50" s="68"/>
      <c r="AH50" s="68"/>
      <c r="AI50" s="68"/>
      <c r="AJ50" s="68"/>
      <c r="AK50" s="69"/>
      <c r="AL50" s="67"/>
      <c r="AM50" s="68"/>
      <c r="AN50" s="68"/>
      <c r="AO50" s="68"/>
      <c r="AP50" s="68"/>
      <c r="AQ50" s="68"/>
      <c r="AR50" s="69"/>
      <c r="AS50" s="67"/>
      <c r="AT50" s="68"/>
      <c r="AU50" s="68"/>
      <c r="AV50" s="68"/>
      <c r="AW50" s="68"/>
      <c r="AX50" s="68"/>
      <c r="AY50" s="69"/>
      <c r="AZ50" s="67"/>
      <c r="BA50" s="68"/>
      <c r="BB50" s="68"/>
      <c r="BC50" s="68"/>
      <c r="BD50" s="68"/>
      <c r="BE50" s="68"/>
      <c r="BF50" s="69"/>
      <c r="BG50" s="67"/>
      <c r="BH50" s="68"/>
      <c r="BI50" s="68"/>
      <c r="BJ50" s="68"/>
      <c r="BK50" s="68"/>
      <c r="BL50" s="68"/>
      <c r="BM50" s="69"/>
      <c r="BN50" s="67"/>
      <c r="BO50" s="68"/>
      <c r="BP50" s="68"/>
      <c r="BQ50" s="68"/>
      <c r="BR50" s="68"/>
      <c r="BS50" s="68"/>
      <c r="BT50" s="69"/>
      <c r="BU50" s="59"/>
      <c r="BV50" s="59"/>
      <c r="BW50" s="59"/>
      <c r="BX50" s="59"/>
      <c r="BY50" s="59"/>
      <c r="BZ50" s="59"/>
      <c r="CA50" s="59"/>
    </row>
    <row r="51" spans="1:79">
      <c r="A51" s="59"/>
      <c r="B51" s="44">
        <f t="shared" si="1"/>
        <v>1970</v>
      </c>
      <c r="C51" s="67"/>
      <c r="D51" s="68"/>
      <c r="E51" s="68"/>
      <c r="F51" s="68"/>
      <c r="G51" s="68"/>
      <c r="H51" s="68"/>
      <c r="I51" s="69"/>
      <c r="J51" s="67"/>
      <c r="K51" s="68"/>
      <c r="L51" s="68"/>
      <c r="M51" s="68"/>
      <c r="N51" s="68"/>
      <c r="O51" s="68"/>
      <c r="P51" s="69"/>
      <c r="Q51" s="67"/>
      <c r="R51" s="68"/>
      <c r="S51" s="68"/>
      <c r="T51" s="68"/>
      <c r="U51" s="68"/>
      <c r="V51" s="68"/>
      <c r="W51" s="69"/>
      <c r="X51" s="67"/>
      <c r="Y51" s="68"/>
      <c r="Z51" s="68"/>
      <c r="AA51" s="68"/>
      <c r="AB51" s="68"/>
      <c r="AC51" s="68"/>
      <c r="AD51" s="69"/>
      <c r="AE51" s="67"/>
      <c r="AF51" s="68"/>
      <c r="AG51" s="68"/>
      <c r="AH51" s="68"/>
      <c r="AI51" s="68"/>
      <c r="AJ51" s="68"/>
      <c r="AK51" s="69"/>
      <c r="AL51" s="67"/>
      <c r="AM51" s="68"/>
      <c r="AN51" s="68"/>
      <c r="AO51" s="68"/>
      <c r="AP51" s="68"/>
      <c r="AQ51" s="68"/>
      <c r="AR51" s="69"/>
      <c r="AS51" s="67"/>
      <c r="AT51" s="68"/>
      <c r="AU51" s="68"/>
      <c r="AV51" s="68"/>
      <c r="AW51" s="68"/>
      <c r="AX51" s="68"/>
      <c r="AY51" s="69"/>
      <c r="AZ51" s="67"/>
      <c r="BA51" s="68"/>
      <c r="BB51" s="68"/>
      <c r="BC51" s="68"/>
      <c r="BD51" s="68"/>
      <c r="BE51" s="68"/>
      <c r="BF51" s="69"/>
      <c r="BG51" s="67"/>
      <c r="BH51" s="68"/>
      <c r="BI51" s="68"/>
      <c r="BJ51" s="68"/>
      <c r="BK51" s="68"/>
      <c r="BL51" s="68"/>
      <c r="BM51" s="69"/>
      <c r="BN51" s="67"/>
      <c r="BO51" s="68"/>
      <c r="BP51" s="68"/>
      <c r="BQ51" s="68"/>
      <c r="BR51" s="68"/>
      <c r="BS51" s="68"/>
      <c r="BT51" s="69"/>
      <c r="BU51" s="59"/>
      <c r="BV51" s="59"/>
      <c r="BW51" s="59"/>
      <c r="BX51" s="59"/>
      <c r="BY51" s="59"/>
      <c r="BZ51" s="59"/>
      <c r="CA51" s="59"/>
    </row>
    <row r="52" spans="1:79">
      <c r="A52" s="59"/>
      <c r="B52" s="44">
        <f t="shared" si="1"/>
        <v>1971</v>
      </c>
      <c r="C52" s="67"/>
      <c r="D52" s="68"/>
      <c r="E52" s="68"/>
      <c r="F52" s="68"/>
      <c r="G52" s="68"/>
      <c r="H52" s="68"/>
      <c r="I52" s="69"/>
      <c r="J52" s="67"/>
      <c r="K52" s="68"/>
      <c r="L52" s="68"/>
      <c r="M52" s="68"/>
      <c r="N52" s="68"/>
      <c r="O52" s="68"/>
      <c r="P52" s="69"/>
      <c r="Q52" s="67"/>
      <c r="R52" s="68"/>
      <c r="S52" s="68"/>
      <c r="T52" s="68"/>
      <c r="U52" s="68"/>
      <c r="V52" s="68"/>
      <c r="W52" s="69"/>
      <c r="X52" s="67"/>
      <c r="Y52" s="68"/>
      <c r="Z52" s="68"/>
      <c r="AA52" s="68"/>
      <c r="AB52" s="68"/>
      <c r="AC52" s="68"/>
      <c r="AD52" s="69"/>
      <c r="AE52" s="67"/>
      <c r="AF52" s="68"/>
      <c r="AG52" s="68"/>
      <c r="AH52" s="68"/>
      <c r="AI52" s="68"/>
      <c r="AJ52" s="68"/>
      <c r="AK52" s="69"/>
      <c r="AL52" s="67"/>
      <c r="AM52" s="68"/>
      <c r="AN52" s="68"/>
      <c r="AO52" s="68"/>
      <c r="AP52" s="68"/>
      <c r="AQ52" s="68"/>
      <c r="AR52" s="69"/>
      <c r="AS52" s="67"/>
      <c r="AT52" s="68"/>
      <c r="AU52" s="68"/>
      <c r="AV52" s="68"/>
      <c r="AW52" s="68"/>
      <c r="AX52" s="68"/>
      <c r="AY52" s="69"/>
      <c r="AZ52" s="67"/>
      <c r="BA52" s="68"/>
      <c r="BB52" s="68"/>
      <c r="BC52" s="68"/>
      <c r="BD52" s="68"/>
      <c r="BE52" s="68"/>
      <c r="BF52" s="69"/>
      <c r="BG52" s="67"/>
      <c r="BH52" s="68"/>
      <c r="BI52" s="68"/>
      <c r="BJ52" s="68"/>
      <c r="BK52" s="68"/>
      <c r="BL52" s="68"/>
      <c r="BM52" s="69"/>
      <c r="BN52" s="67"/>
      <c r="BO52" s="68"/>
      <c r="BP52" s="68"/>
      <c r="BQ52" s="68"/>
      <c r="BR52" s="68"/>
      <c r="BS52" s="68"/>
      <c r="BT52" s="69"/>
      <c r="BU52" s="59"/>
      <c r="BV52" s="59"/>
      <c r="BW52" s="59"/>
      <c r="BX52" s="59"/>
      <c r="BY52" s="59"/>
      <c r="BZ52" s="59"/>
      <c r="CA52" s="59"/>
    </row>
    <row r="53" spans="1:79">
      <c r="A53" s="59"/>
      <c r="B53" s="44">
        <f t="shared" si="1"/>
        <v>1972</v>
      </c>
      <c r="C53" s="67"/>
      <c r="D53" s="68"/>
      <c r="E53" s="68"/>
      <c r="F53" s="68"/>
      <c r="G53" s="68"/>
      <c r="H53" s="68"/>
      <c r="I53" s="69"/>
      <c r="J53" s="67"/>
      <c r="K53" s="68"/>
      <c r="L53" s="68"/>
      <c r="M53" s="68"/>
      <c r="N53" s="68"/>
      <c r="O53" s="68"/>
      <c r="P53" s="69"/>
      <c r="Q53" s="67"/>
      <c r="R53" s="68"/>
      <c r="S53" s="68"/>
      <c r="T53" s="68"/>
      <c r="U53" s="68"/>
      <c r="V53" s="68"/>
      <c r="W53" s="69"/>
      <c r="X53" s="67"/>
      <c r="Y53" s="68"/>
      <c r="Z53" s="68"/>
      <c r="AA53" s="68"/>
      <c r="AB53" s="68"/>
      <c r="AC53" s="68"/>
      <c r="AD53" s="69"/>
      <c r="AE53" s="67"/>
      <c r="AF53" s="68"/>
      <c r="AG53" s="68"/>
      <c r="AH53" s="68"/>
      <c r="AI53" s="68"/>
      <c r="AJ53" s="68"/>
      <c r="AK53" s="69"/>
      <c r="AL53" s="67"/>
      <c r="AM53" s="68"/>
      <c r="AN53" s="68"/>
      <c r="AO53" s="68"/>
      <c r="AP53" s="68"/>
      <c r="AQ53" s="68"/>
      <c r="AR53" s="69"/>
      <c r="AS53" s="67"/>
      <c r="AT53" s="68"/>
      <c r="AU53" s="68"/>
      <c r="AV53" s="68"/>
      <c r="AW53" s="68"/>
      <c r="AX53" s="68"/>
      <c r="AY53" s="69"/>
      <c r="AZ53" s="67"/>
      <c r="BA53" s="68"/>
      <c r="BB53" s="68"/>
      <c r="BC53" s="68"/>
      <c r="BD53" s="68"/>
      <c r="BE53" s="68"/>
      <c r="BF53" s="69"/>
      <c r="BG53" s="67"/>
      <c r="BH53" s="68"/>
      <c r="BI53" s="68"/>
      <c r="BJ53" s="68"/>
      <c r="BK53" s="68"/>
      <c r="BL53" s="68"/>
      <c r="BM53" s="69"/>
      <c r="BN53" s="67"/>
      <c r="BO53" s="68"/>
      <c r="BP53" s="68"/>
      <c r="BQ53" s="68"/>
      <c r="BR53" s="68"/>
      <c r="BS53" s="68"/>
      <c r="BT53" s="69"/>
      <c r="BU53" s="59"/>
      <c r="BV53" s="59"/>
      <c r="BW53" s="59"/>
      <c r="BX53" s="59"/>
      <c r="BY53" s="59"/>
      <c r="BZ53" s="59"/>
      <c r="CA53" s="59"/>
    </row>
    <row r="54" spans="1:79">
      <c r="A54" s="59"/>
      <c r="B54" s="44">
        <f t="shared" si="1"/>
        <v>1973</v>
      </c>
      <c r="C54" s="67"/>
      <c r="D54" s="68"/>
      <c r="E54" s="68"/>
      <c r="F54" s="68"/>
      <c r="G54" s="68"/>
      <c r="H54" s="68"/>
      <c r="I54" s="69"/>
      <c r="J54" s="67"/>
      <c r="K54" s="68"/>
      <c r="L54" s="68"/>
      <c r="M54" s="68"/>
      <c r="N54" s="68"/>
      <c r="O54" s="68"/>
      <c r="P54" s="69"/>
      <c r="Q54" s="67"/>
      <c r="R54" s="68"/>
      <c r="S54" s="68"/>
      <c r="T54" s="68"/>
      <c r="U54" s="68"/>
      <c r="V54" s="68"/>
      <c r="W54" s="69"/>
      <c r="X54" s="67"/>
      <c r="Y54" s="68"/>
      <c r="Z54" s="68"/>
      <c r="AA54" s="68"/>
      <c r="AB54" s="68"/>
      <c r="AC54" s="68"/>
      <c r="AD54" s="69"/>
      <c r="AE54" s="67"/>
      <c r="AF54" s="68"/>
      <c r="AG54" s="68"/>
      <c r="AH54" s="68"/>
      <c r="AI54" s="68"/>
      <c r="AJ54" s="68"/>
      <c r="AK54" s="69"/>
      <c r="AL54" s="67"/>
      <c r="AM54" s="68"/>
      <c r="AN54" s="68"/>
      <c r="AO54" s="68"/>
      <c r="AP54" s="68"/>
      <c r="AQ54" s="68"/>
      <c r="AR54" s="69"/>
      <c r="AS54" s="67"/>
      <c r="AT54" s="68"/>
      <c r="AU54" s="68"/>
      <c r="AV54" s="68"/>
      <c r="AW54" s="68"/>
      <c r="AX54" s="68"/>
      <c r="AY54" s="69"/>
      <c r="AZ54" s="67"/>
      <c r="BA54" s="68"/>
      <c r="BB54" s="68"/>
      <c r="BC54" s="68"/>
      <c r="BD54" s="68"/>
      <c r="BE54" s="68"/>
      <c r="BF54" s="69"/>
      <c r="BG54" s="67"/>
      <c r="BH54" s="68"/>
      <c r="BI54" s="68"/>
      <c r="BJ54" s="68"/>
      <c r="BK54" s="68"/>
      <c r="BL54" s="68"/>
      <c r="BM54" s="69"/>
      <c r="BN54" s="67"/>
      <c r="BO54" s="68"/>
      <c r="BP54" s="68"/>
      <c r="BQ54" s="68"/>
      <c r="BR54" s="68"/>
      <c r="BS54" s="68"/>
      <c r="BT54" s="69"/>
      <c r="BU54" s="59"/>
      <c r="BV54" s="59"/>
      <c r="BW54" s="59"/>
      <c r="BX54" s="59"/>
      <c r="BY54" s="59"/>
      <c r="BZ54" s="59"/>
      <c r="CA54" s="59"/>
    </row>
    <row r="55" spans="1:79">
      <c r="A55" s="59"/>
      <c r="B55" s="44">
        <f t="shared" si="1"/>
        <v>1974</v>
      </c>
      <c r="C55" s="67"/>
      <c r="D55" s="68"/>
      <c r="E55" s="68"/>
      <c r="F55" s="68"/>
      <c r="G55" s="68"/>
      <c r="H55" s="68"/>
      <c r="I55" s="69"/>
      <c r="J55" s="67"/>
      <c r="K55" s="68"/>
      <c r="L55" s="68"/>
      <c r="M55" s="68"/>
      <c r="N55" s="68"/>
      <c r="O55" s="68"/>
      <c r="P55" s="69"/>
      <c r="Q55" s="67"/>
      <c r="R55" s="68"/>
      <c r="S55" s="68"/>
      <c r="T55" s="68"/>
      <c r="U55" s="68"/>
      <c r="V55" s="68"/>
      <c r="W55" s="69"/>
      <c r="X55" s="67"/>
      <c r="Y55" s="68"/>
      <c r="Z55" s="68"/>
      <c r="AA55" s="68"/>
      <c r="AB55" s="68"/>
      <c r="AC55" s="68"/>
      <c r="AD55" s="69"/>
      <c r="AE55" s="67"/>
      <c r="AF55" s="68"/>
      <c r="AG55" s="68"/>
      <c r="AH55" s="68"/>
      <c r="AI55" s="68"/>
      <c r="AJ55" s="68"/>
      <c r="AK55" s="69"/>
      <c r="AL55" s="67"/>
      <c r="AM55" s="68"/>
      <c r="AN55" s="68"/>
      <c r="AO55" s="68"/>
      <c r="AP55" s="68"/>
      <c r="AQ55" s="68"/>
      <c r="AR55" s="69"/>
      <c r="AS55" s="67"/>
      <c r="AT55" s="68"/>
      <c r="AU55" s="68"/>
      <c r="AV55" s="68"/>
      <c r="AW55" s="68"/>
      <c r="AX55" s="68"/>
      <c r="AY55" s="69"/>
      <c r="AZ55" s="67"/>
      <c r="BA55" s="68"/>
      <c r="BB55" s="68"/>
      <c r="BC55" s="68"/>
      <c r="BD55" s="68"/>
      <c r="BE55" s="68"/>
      <c r="BF55" s="69"/>
      <c r="BG55" s="67"/>
      <c r="BH55" s="68"/>
      <c r="BI55" s="68"/>
      <c r="BJ55" s="68"/>
      <c r="BK55" s="68"/>
      <c r="BL55" s="68"/>
      <c r="BM55" s="69"/>
      <c r="BN55" s="67"/>
      <c r="BO55" s="68"/>
      <c r="BP55" s="68"/>
      <c r="BQ55" s="68"/>
      <c r="BR55" s="68"/>
      <c r="BS55" s="68"/>
      <c r="BT55" s="69"/>
      <c r="BU55" s="59"/>
      <c r="BV55" s="59"/>
      <c r="BW55" s="59"/>
      <c r="BX55" s="59"/>
      <c r="BY55" s="59"/>
      <c r="BZ55" s="59"/>
      <c r="CA55" s="59"/>
    </row>
    <row r="56" spans="1:79">
      <c r="A56" s="59"/>
      <c r="B56" s="44">
        <f t="shared" si="1"/>
        <v>1975</v>
      </c>
      <c r="C56" s="67"/>
      <c r="D56" s="68"/>
      <c r="E56" s="68"/>
      <c r="F56" s="68"/>
      <c r="G56" s="68"/>
      <c r="H56" s="68"/>
      <c r="I56" s="69"/>
      <c r="J56" s="67"/>
      <c r="K56" s="68"/>
      <c r="L56" s="68"/>
      <c r="M56" s="68"/>
      <c r="N56" s="68"/>
      <c r="O56" s="68"/>
      <c r="P56" s="69"/>
      <c r="Q56" s="67"/>
      <c r="R56" s="68"/>
      <c r="S56" s="68"/>
      <c r="T56" s="68"/>
      <c r="U56" s="68"/>
      <c r="V56" s="68"/>
      <c r="W56" s="69"/>
      <c r="X56" s="67"/>
      <c r="Y56" s="68"/>
      <c r="Z56" s="68"/>
      <c r="AA56" s="68"/>
      <c r="AB56" s="68"/>
      <c r="AC56" s="68"/>
      <c r="AD56" s="69"/>
      <c r="AE56" s="67"/>
      <c r="AF56" s="68"/>
      <c r="AG56" s="68"/>
      <c r="AH56" s="68"/>
      <c r="AI56" s="68"/>
      <c r="AJ56" s="68"/>
      <c r="AK56" s="69"/>
      <c r="AL56" s="67"/>
      <c r="AM56" s="68"/>
      <c r="AN56" s="68"/>
      <c r="AO56" s="68"/>
      <c r="AP56" s="68"/>
      <c r="AQ56" s="68"/>
      <c r="AR56" s="69"/>
      <c r="AS56" s="67"/>
      <c r="AT56" s="68"/>
      <c r="AU56" s="68"/>
      <c r="AV56" s="68"/>
      <c r="AW56" s="68"/>
      <c r="AX56" s="68"/>
      <c r="AY56" s="69"/>
      <c r="AZ56" s="67"/>
      <c r="BA56" s="68"/>
      <c r="BB56" s="68"/>
      <c r="BC56" s="68"/>
      <c r="BD56" s="68"/>
      <c r="BE56" s="68"/>
      <c r="BF56" s="69"/>
      <c r="BG56" s="67"/>
      <c r="BH56" s="68"/>
      <c r="BI56" s="68"/>
      <c r="BJ56" s="68"/>
      <c r="BK56" s="68"/>
      <c r="BL56" s="68"/>
      <c r="BM56" s="69"/>
      <c r="BN56" s="67"/>
      <c r="BO56" s="68"/>
      <c r="BP56" s="68"/>
      <c r="BQ56" s="68"/>
      <c r="BR56" s="68"/>
      <c r="BS56" s="68"/>
      <c r="BT56" s="69"/>
      <c r="BU56" s="59"/>
      <c r="BV56" s="59"/>
      <c r="BW56" s="59"/>
      <c r="BX56" s="59"/>
      <c r="BY56" s="59"/>
      <c r="BZ56" s="59"/>
      <c r="CA56" s="59"/>
    </row>
    <row r="57" spans="1:79">
      <c r="A57" s="59"/>
      <c r="B57" s="44">
        <f t="shared" si="1"/>
        <v>1976</v>
      </c>
      <c r="C57" s="67"/>
      <c r="D57" s="68"/>
      <c r="E57" s="68"/>
      <c r="F57" s="68"/>
      <c r="G57" s="68"/>
      <c r="H57" s="68"/>
      <c r="I57" s="69"/>
      <c r="J57" s="67"/>
      <c r="K57" s="68"/>
      <c r="L57" s="68"/>
      <c r="M57" s="68"/>
      <c r="N57" s="68"/>
      <c r="O57" s="68"/>
      <c r="P57" s="69"/>
      <c r="Q57" s="67"/>
      <c r="R57" s="68"/>
      <c r="S57" s="68"/>
      <c r="T57" s="68"/>
      <c r="U57" s="68"/>
      <c r="V57" s="68"/>
      <c r="W57" s="69"/>
      <c r="X57" s="67"/>
      <c r="Y57" s="68"/>
      <c r="Z57" s="68"/>
      <c r="AA57" s="68"/>
      <c r="AB57" s="68"/>
      <c r="AC57" s="68"/>
      <c r="AD57" s="69"/>
      <c r="AE57" s="67"/>
      <c r="AF57" s="68"/>
      <c r="AG57" s="68"/>
      <c r="AH57" s="68"/>
      <c r="AI57" s="68"/>
      <c r="AJ57" s="68"/>
      <c r="AK57" s="69"/>
      <c r="AL57" s="67"/>
      <c r="AM57" s="68"/>
      <c r="AN57" s="68"/>
      <c r="AO57" s="68"/>
      <c r="AP57" s="68"/>
      <c r="AQ57" s="68"/>
      <c r="AR57" s="69"/>
      <c r="AS57" s="67"/>
      <c r="AT57" s="68"/>
      <c r="AU57" s="68"/>
      <c r="AV57" s="68"/>
      <c r="AW57" s="68"/>
      <c r="AX57" s="68"/>
      <c r="AY57" s="69"/>
      <c r="AZ57" s="67"/>
      <c r="BA57" s="68"/>
      <c r="BB57" s="68"/>
      <c r="BC57" s="68"/>
      <c r="BD57" s="68"/>
      <c r="BE57" s="68"/>
      <c r="BF57" s="69"/>
      <c r="BG57" s="67"/>
      <c r="BH57" s="68"/>
      <c r="BI57" s="68"/>
      <c r="BJ57" s="68"/>
      <c r="BK57" s="68"/>
      <c r="BL57" s="68"/>
      <c r="BM57" s="69"/>
      <c r="BN57" s="67"/>
      <c r="BO57" s="68"/>
      <c r="BP57" s="68"/>
      <c r="BQ57" s="68"/>
      <c r="BR57" s="68"/>
      <c r="BS57" s="68"/>
      <c r="BT57" s="69"/>
      <c r="BU57" s="59"/>
      <c r="BV57" s="59"/>
      <c r="BW57" s="59"/>
      <c r="BX57" s="59"/>
      <c r="BY57" s="59"/>
      <c r="BZ57" s="59"/>
      <c r="CA57" s="59"/>
    </row>
    <row r="58" spans="1:79">
      <c r="A58" s="59"/>
      <c r="B58" s="44">
        <f t="shared" si="1"/>
        <v>1977</v>
      </c>
      <c r="C58" s="67"/>
      <c r="D58" s="68"/>
      <c r="E58" s="68"/>
      <c r="F58" s="68"/>
      <c r="G58" s="68"/>
      <c r="H58" s="68"/>
      <c r="I58" s="69"/>
      <c r="J58" s="67"/>
      <c r="K58" s="68"/>
      <c r="L58" s="68"/>
      <c r="M58" s="68"/>
      <c r="N58" s="68"/>
      <c r="O58" s="68"/>
      <c r="P58" s="69"/>
      <c r="Q58" s="67"/>
      <c r="R58" s="68"/>
      <c r="S58" s="68"/>
      <c r="T58" s="68"/>
      <c r="U58" s="68"/>
      <c r="V58" s="68"/>
      <c r="W58" s="69"/>
      <c r="X58" s="67"/>
      <c r="Y58" s="68"/>
      <c r="Z58" s="68"/>
      <c r="AA58" s="68"/>
      <c r="AB58" s="68"/>
      <c r="AC58" s="68"/>
      <c r="AD58" s="69"/>
      <c r="AE58" s="67"/>
      <c r="AF58" s="68"/>
      <c r="AG58" s="68"/>
      <c r="AH58" s="68"/>
      <c r="AI58" s="68"/>
      <c r="AJ58" s="68"/>
      <c r="AK58" s="69"/>
      <c r="AL58" s="67"/>
      <c r="AM58" s="68"/>
      <c r="AN58" s="68"/>
      <c r="AO58" s="68"/>
      <c r="AP58" s="68"/>
      <c r="AQ58" s="68"/>
      <c r="AR58" s="69"/>
      <c r="AS58" s="67"/>
      <c r="AT58" s="68"/>
      <c r="AU58" s="68"/>
      <c r="AV58" s="68"/>
      <c r="AW58" s="68"/>
      <c r="AX58" s="68"/>
      <c r="AY58" s="69"/>
      <c r="AZ58" s="67"/>
      <c r="BA58" s="68"/>
      <c r="BB58" s="68"/>
      <c r="BC58" s="68"/>
      <c r="BD58" s="68"/>
      <c r="BE58" s="68"/>
      <c r="BF58" s="69"/>
      <c r="BG58" s="67"/>
      <c r="BH58" s="68"/>
      <c r="BI58" s="68"/>
      <c r="BJ58" s="68"/>
      <c r="BK58" s="68"/>
      <c r="BL58" s="68"/>
      <c r="BM58" s="69"/>
      <c r="BN58" s="67"/>
      <c r="BO58" s="68"/>
      <c r="BP58" s="68"/>
      <c r="BQ58" s="68"/>
      <c r="BR58" s="68"/>
      <c r="BS58" s="68"/>
      <c r="BT58" s="69"/>
      <c r="BU58" s="59"/>
      <c r="BV58" s="59"/>
      <c r="BW58" s="59"/>
      <c r="BX58" s="59"/>
      <c r="BY58" s="59"/>
      <c r="BZ58" s="59"/>
      <c r="CA58" s="59"/>
    </row>
    <row r="59" spans="1:79">
      <c r="A59" s="59"/>
      <c r="B59" s="44">
        <f t="shared" si="1"/>
        <v>1978</v>
      </c>
      <c r="C59" s="67"/>
      <c r="D59" s="68"/>
      <c r="E59" s="68"/>
      <c r="F59" s="68"/>
      <c r="G59" s="68"/>
      <c r="H59" s="68"/>
      <c r="I59" s="69"/>
      <c r="J59" s="67"/>
      <c r="K59" s="68"/>
      <c r="L59" s="68"/>
      <c r="M59" s="68"/>
      <c r="N59" s="68"/>
      <c r="O59" s="68"/>
      <c r="P59" s="69"/>
      <c r="Q59" s="67"/>
      <c r="R59" s="68"/>
      <c r="S59" s="68"/>
      <c r="T59" s="68"/>
      <c r="U59" s="68"/>
      <c r="V59" s="68"/>
      <c r="W59" s="69"/>
      <c r="X59" s="67"/>
      <c r="Y59" s="68"/>
      <c r="Z59" s="68"/>
      <c r="AA59" s="68"/>
      <c r="AB59" s="68"/>
      <c r="AC59" s="68"/>
      <c r="AD59" s="69"/>
      <c r="AE59" s="67"/>
      <c r="AF59" s="68"/>
      <c r="AG59" s="68"/>
      <c r="AH59" s="68"/>
      <c r="AI59" s="68"/>
      <c r="AJ59" s="68"/>
      <c r="AK59" s="69"/>
      <c r="AL59" s="67"/>
      <c r="AM59" s="68"/>
      <c r="AN59" s="68"/>
      <c r="AO59" s="68"/>
      <c r="AP59" s="68"/>
      <c r="AQ59" s="68"/>
      <c r="AR59" s="69"/>
      <c r="AS59" s="67"/>
      <c r="AT59" s="68"/>
      <c r="AU59" s="68"/>
      <c r="AV59" s="68"/>
      <c r="AW59" s="68"/>
      <c r="AX59" s="68"/>
      <c r="AY59" s="69"/>
      <c r="AZ59" s="67"/>
      <c r="BA59" s="68"/>
      <c r="BB59" s="68"/>
      <c r="BC59" s="68"/>
      <c r="BD59" s="68"/>
      <c r="BE59" s="68"/>
      <c r="BF59" s="69"/>
      <c r="BG59" s="67"/>
      <c r="BH59" s="68"/>
      <c r="BI59" s="68"/>
      <c r="BJ59" s="68"/>
      <c r="BK59" s="68"/>
      <c r="BL59" s="68"/>
      <c r="BM59" s="69"/>
      <c r="BN59" s="67"/>
      <c r="BO59" s="68"/>
      <c r="BP59" s="68"/>
      <c r="BQ59" s="68"/>
      <c r="BR59" s="68"/>
      <c r="BS59" s="68"/>
      <c r="BT59" s="69"/>
      <c r="BU59" s="59"/>
      <c r="BV59" s="59"/>
      <c r="BW59" s="59"/>
      <c r="BX59" s="59"/>
      <c r="BY59" s="59"/>
      <c r="BZ59" s="59"/>
      <c r="CA59" s="59"/>
    </row>
    <row r="60" spans="1:79">
      <c r="A60" s="59"/>
      <c r="B60" s="44">
        <f t="shared" si="1"/>
        <v>1979</v>
      </c>
      <c r="C60" s="67"/>
      <c r="D60" s="68"/>
      <c r="E60" s="68"/>
      <c r="F60" s="68"/>
      <c r="G60" s="68"/>
      <c r="H60" s="68"/>
      <c r="I60" s="69"/>
      <c r="J60" s="67"/>
      <c r="K60" s="68"/>
      <c r="L60" s="68"/>
      <c r="M60" s="68"/>
      <c r="N60" s="68"/>
      <c r="O60" s="68"/>
      <c r="P60" s="69"/>
      <c r="Q60" s="67"/>
      <c r="R60" s="68"/>
      <c r="S60" s="68"/>
      <c r="T60" s="68"/>
      <c r="U60" s="68"/>
      <c r="V60" s="68"/>
      <c r="W60" s="69"/>
      <c r="X60" s="67"/>
      <c r="Y60" s="68"/>
      <c r="Z60" s="68"/>
      <c r="AA60" s="68"/>
      <c r="AB60" s="68"/>
      <c r="AC60" s="68"/>
      <c r="AD60" s="69"/>
      <c r="AE60" s="67"/>
      <c r="AF60" s="68"/>
      <c r="AG60" s="68"/>
      <c r="AH60" s="68"/>
      <c r="AI60" s="68"/>
      <c r="AJ60" s="68"/>
      <c r="AK60" s="69"/>
      <c r="AL60" s="67"/>
      <c r="AM60" s="68"/>
      <c r="AN60" s="68"/>
      <c r="AO60" s="68"/>
      <c r="AP60" s="68"/>
      <c r="AQ60" s="68"/>
      <c r="AR60" s="69"/>
      <c r="AS60" s="67"/>
      <c r="AT60" s="68"/>
      <c r="AU60" s="68"/>
      <c r="AV60" s="68"/>
      <c r="AW60" s="68"/>
      <c r="AX60" s="68"/>
      <c r="AY60" s="69"/>
      <c r="AZ60" s="67"/>
      <c r="BA60" s="68"/>
      <c r="BB60" s="68"/>
      <c r="BC60" s="68"/>
      <c r="BD60" s="68"/>
      <c r="BE60" s="68"/>
      <c r="BF60" s="69"/>
      <c r="BG60" s="67"/>
      <c r="BH60" s="68"/>
      <c r="BI60" s="68"/>
      <c r="BJ60" s="68"/>
      <c r="BK60" s="68"/>
      <c r="BL60" s="68"/>
      <c r="BM60" s="69"/>
      <c r="BN60" s="67"/>
      <c r="BO60" s="68"/>
      <c r="BP60" s="68"/>
      <c r="BQ60" s="68"/>
      <c r="BR60" s="68"/>
      <c r="BS60" s="68"/>
      <c r="BT60" s="69"/>
      <c r="BU60" s="59"/>
      <c r="BV60" s="59"/>
      <c r="BW60" s="59"/>
      <c r="BX60" s="59"/>
      <c r="BY60" s="59"/>
      <c r="BZ60" s="59"/>
      <c r="CA60" s="59"/>
    </row>
    <row r="61" spans="1:79">
      <c r="A61" s="59"/>
      <c r="B61" s="44">
        <f t="shared" si="1"/>
        <v>1980</v>
      </c>
      <c r="C61" s="67"/>
      <c r="D61" s="68"/>
      <c r="E61" s="68"/>
      <c r="F61" s="68"/>
      <c r="G61" s="68"/>
      <c r="H61" s="68"/>
      <c r="I61" s="69"/>
      <c r="J61" s="67"/>
      <c r="K61" s="68"/>
      <c r="L61" s="68"/>
      <c r="M61" s="68"/>
      <c r="N61" s="68"/>
      <c r="O61" s="68"/>
      <c r="P61" s="69"/>
      <c r="Q61" s="67"/>
      <c r="R61" s="68"/>
      <c r="S61" s="68"/>
      <c r="T61" s="68"/>
      <c r="U61" s="68"/>
      <c r="V61" s="68"/>
      <c r="W61" s="69"/>
      <c r="X61" s="67"/>
      <c r="Y61" s="68"/>
      <c r="Z61" s="68"/>
      <c r="AA61" s="68"/>
      <c r="AB61" s="68"/>
      <c r="AC61" s="68"/>
      <c r="AD61" s="69"/>
      <c r="AE61" s="67"/>
      <c r="AF61" s="68"/>
      <c r="AG61" s="68"/>
      <c r="AH61" s="68"/>
      <c r="AI61" s="68"/>
      <c r="AJ61" s="68"/>
      <c r="AK61" s="69"/>
      <c r="AL61" s="67"/>
      <c r="AM61" s="68"/>
      <c r="AN61" s="68"/>
      <c r="AO61" s="68"/>
      <c r="AP61" s="68"/>
      <c r="AQ61" s="68"/>
      <c r="AR61" s="69"/>
      <c r="AS61" s="67"/>
      <c r="AT61" s="68"/>
      <c r="AU61" s="68"/>
      <c r="AV61" s="68"/>
      <c r="AW61" s="68"/>
      <c r="AX61" s="68"/>
      <c r="AY61" s="69"/>
      <c r="AZ61" s="67"/>
      <c r="BA61" s="68"/>
      <c r="BB61" s="68"/>
      <c r="BC61" s="68"/>
      <c r="BD61" s="68"/>
      <c r="BE61" s="68"/>
      <c r="BF61" s="69"/>
      <c r="BG61" s="67"/>
      <c r="BH61" s="68"/>
      <c r="BI61" s="68"/>
      <c r="BJ61" s="68"/>
      <c r="BK61" s="68"/>
      <c r="BL61" s="68"/>
      <c r="BM61" s="69"/>
      <c r="BN61" s="67"/>
      <c r="BO61" s="68"/>
      <c r="BP61" s="68"/>
      <c r="BQ61" s="68"/>
      <c r="BR61" s="68"/>
      <c r="BS61" s="68"/>
      <c r="BT61" s="69"/>
      <c r="BU61" s="59"/>
      <c r="BV61" s="59"/>
      <c r="BW61" s="59"/>
      <c r="BX61" s="59"/>
      <c r="BY61" s="59"/>
      <c r="BZ61" s="59"/>
      <c r="CA61" s="59"/>
    </row>
    <row r="62" spans="1:79">
      <c r="A62" s="59"/>
      <c r="B62" s="44" t="str">
        <f t="shared" si="1"/>
        <v/>
      </c>
      <c r="C62" s="67"/>
      <c r="D62" s="68"/>
      <c r="E62" s="68"/>
      <c r="F62" s="68"/>
      <c r="G62" s="68"/>
      <c r="H62" s="68"/>
      <c r="I62" s="69"/>
      <c r="J62" s="67"/>
      <c r="K62" s="68"/>
      <c r="L62" s="68"/>
      <c r="M62" s="68"/>
      <c r="N62" s="68"/>
      <c r="O62" s="68"/>
      <c r="P62" s="69"/>
      <c r="Q62" s="67"/>
      <c r="R62" s="68"/>
      <c r="S62" s="68"/>
      <c r="T62" s="68"/>
      <c r="U62" s="68"/>
      <c r="V62" s="68"/>
      <c r="W62" s="69"/>
      <c r="X62" s="67"/>
      <c r="Y62" s="68"/>
      <c r="Z62" s="68"/>
      <c r="AA62" s="68"/>
      <c r="AB62" s="68"/>
      <c r="AC62" s="68"/>
      <c r="AD62" s="69"/>
      <c r="AE62" s="67"/>
      <c r="AF62" s="68"/>
      <c r="AG62" s="68"/>
      <c r="AH62" s="68"/>
      <c r="AI62" s="68"/>
      <c r="AJ62" s="68"/>
      <c r="AK62" s="69"/>
      <c r="AL62" s="67"/>
      <c r="AM62" s="68"/>
      <c r="AN62" s="68"/>
      <c r="AO62" s="68"/>
      <c r="AP62" s="68"/>
      <c r="AQ62" s="68"/>
      <c r="AR62" s="69"/>
      <c r="AS62" s="67"/>
      <c r="AT62" s="68"/>
      <c r="AU62" s="68"/>
      <c r="AV62" s="68"/>
      <c r="AW62" s="68"/>
      <c r="AX62" s="68"/>
      <c r="AY62" s="69"/>
      <c r="AZ62" s="67"/>
      <c r="BA62" s="68"/>
      <c r="BB62" s="68"/>
      <c r="BC62" s="68"/>
      <c r="BD62" s="68"/>
      <c r="BE62" s="68"/>
      <c r="BF62" s="69"/>
      <c r="BG62" s="67"/>
      <c r="BH62" s="68"/>
      <c r="BI62" s="68"/>
      <c r="BJ62" s="68"/>
      <c r="BK62" s="68"/>
      <c r="BL62" s="68"/>
      <c r="BM62" s="69"/>
      <c r="BN62" s="67"/>
      <c r="BO62" s="68"/>
      <c r="BP62" s="68"/>
      <c r="BQ62" s="68"/>
      <c r="BR62" s="68"/>
      <c r="BS62" s="68"/>
      <c r="BT62" s="69"/>
      <c r="BU62" s="59"/>
      <c r="BV62" s="59"/>
      <c r="BW62" s="59"/>
      <c r="BX62" s="59"/>
      <c r="BY62" s="59"/>
      <c r="BZ62" s="59"/>
      <c r="CA62" s="59"/>
    </row>
    <row r="63" spans="1:79">
      <c r="A63" s="59"/>
      <c r="B63" s="44" t="str">
        <f t="shared" si="1"/>
        <v/>
      </c>
      <c r="C63" s="67"/>
      <c r="D63" s="68"/>
      <c r="E63" s="68"/>
      <c r="F63" s="68"/>
      <c r="G63" s="68"/>
      <c r="H63" s="68"/>
      <c r="I63" s="69"/>
      <c r="J63" s="67"/>
      <c r="K63" s="68"/>
      <c r="L63" s="68"/>
      <c r="M63" s="68"/>
      <c r="N63" s="68"/>
      <c r="O63" s="68"/>
      <c r="P63" s="69"/>
      <c r="Q63" s="67"/>
      <c r="R63" s="68"/>
      <c r="S63" s="68"/>
      <c r="T63" s="68"/>
      <c r="U63" s="68"/>
      <c r="V63" s="68"/>
      <c r="W63" s="69"/>
      <c r="X63" s="67"/>
      <c r="Y63" s="68"/>
      <c r="Z63" s="68"/>
      <c r="AA63" s="68"/>
      <c r="AB63" s="68"/>
      <c r="AC63" s="68"/>
      <c r="AD63" s="69"/>
      <c r="AE63" s="67"/>
      <c r="AF63" s="68"/>
      <c r="AG63" s="68"/>
      <c r="AH63" s="68"/>
      <c r="AI63" s="68"/>
      <c r="AJ63" s="68"/>
      <c r="AK63" s="69"/>
      <c r="AL63" s="67"/>
      <c r="AM63" s="68"/>
      <c r="AN63" s="68"/>
      <c r="AO63" s="68"/>
      <c r="AP63" s="68"/>
      <c r="AQ63" s="68"/>
      <c r="AR63" s="69"/>
      <c r="AS63" s="67"/>
      <c r="AT63" s="68"/>
      <c r="AU63" s="68"/>
      <c r="AV63" s="68"/>
      <c r="AW63" s="68"/>
      <c r="AX63" s="68"/>
      <c r="AY63" s="69"/>
      <c r="AZ63" s="67"/>
      <c r="BA63" s="68"/>
      <c r="BB63" s="68"/>
      <c r="BC63" s="68"/>
      <c r="BD63" s="68"/>
      <c r="BE63" s="68"/>
      <c r="BF63" s="69"/>
      <c r="BG63" s="67"/>
      <c r="BH63" s="68"/>
      <c r="BI63" s="68"/>
      <c r="BJ63" s="68"/>
      <c r="BK63" s="68"/>
      <c r="BL63" s="68"/>
      <c r="BM63" s="69"/>
      <c r="BN63" s="67"/>
      <c r="BO63" s="68"/>
      <c r="BP63" s="68"/>
      <c r="BQ63" s="68"/>
      <c r="BR63" s="68"/>
      <c r="BS63" s="68"/>
      <c r="BT63" s="69"/>
      <c r="BU63" s="59"/>
      <c r="BV63" s="59"/>
      <c r="BW63" s="59"/>
      <c r="BX63" s="59"/>
      <c r="BY63" s="59"/>
      <c r="BZ63" s="59"/>
      <c r="CA63" s="59"/>
    </row>
    <row r="64" spans="1:79">
      <c r="A64" s="59"/>
      <c r="B64" s="44" t="str">
        <f t="shared" si="1"/>
        <v/>
      </c>
      <c r="C64" s="67"/>
      <c r="D64" s="68"/>
      <c r="E64" s="68"/>
      <c r="F64" s="68"/>
      <c r="G64" s="68"/>
      <c r="H64" s="68"/>
      <c r="I64" s="69"/>
      <c r="J64" s="67"/>
      <c r="K64" s="68"/>
      <c r="L64" s="68"/>
      <c r="M64" s="68"/>
      <c r="N64" s="68"/>
      <c r="O64" s="68"/>
      <c r="P64" s="69"/>
      <c r="Q64" s="67"/>
      <c r="R64" s="68"/>
      <c r="S64" s="68"/>
      <c r="T64" s="68"/>
      <c r="U64" s="68"/>
      <c r="V64" s="68"/>
      <c r="W64" s="69"/>
      <c r="X64" s="67"/>
      <c r="Y64" s="68"/>
      <c r="Z64" s="68"/>
      <c r="AA64" s="68"/>
      <c r="AB64" s="68"/>
      <c r="AC64" s="68"/>
      <c r="AD64" s="69"/>
      <c r="AE64" s="67"/>
      <c r="AF64" s="68"/>
      <c r="AG64" s="68"/>
      <c r="AH64" s="68"/>
      <c r="AI64" s="68"/>
      <c r="AJ64" s="68"/>
      <c r="AK64" s="69"/>
      <c r="AL64" s="67"/>
      <c r="AM64" s="68"/>
      <c r="AN64" s="68"/>
      <c r="AO64" s="68"/>
      <c r="AP64" s="68"/>
      <c r="AQ64" s="68"/>
      <c r="AR64" s="69"/>
      <c r="AS64" s="67"/>
      <c r="AT64" s="68"/>
      <c r="AU64" s="68"/>
      <c r="AV64" s="68"/>
      <c r="AW64" s="68"/>
      <c r="AX64" s="68"/>
      <c r="AY64" s="69"/>
      <c r="AZ64" s="67"/>
      <c r="BA64" s="68"/>
      <c r="BB64" s="68"/>
      <c r="BC64" s="68"/>
      <c r="BD64" s="68"/>
      <c r="BE64" s="68"/>
      <c r="BF64" s="69"/>
      <c r="BG64" s="67"/>
      <c r="BH64" s="68"/>
      <c r="BI64" s="68"/>
      <c r="BJ64" s="68"/>
      <c r="BK64" s="68"/>
      <c r="BL64" s="68"/>
      <c r="BM64" s="69"/>
      <c r="BN64" s="67"/>
      <c r="BO64" s="68"/>
      <c r="BP64" s="68"/>
      <c r="BQ64" s="68"/>
      <c r="BR64" s="68"/>
      <c r="BS64" s="68"/>
      <c r="BT64" s="69"/>
      <c r="BU64" s="59"/>
      <c r="BV64" s="59"/>
      <c r="BW64" s="59"/>
      <c r="BX64" s="59"/>
      <c r="BY64" s="59"/>
      <c r="BZ64" s="59"/>
      <c r="CA64" s="59"/>
    </row>
    <row r="65" spans="1:79">
      <c r="A65" s="59"/>
      <c r="B65" s="44" t="str">
        <f t="shared" si="1"/>
        <v/>
      </c>
      <c r="C65" s="67"/>
      <c r="D65" s="68"/>
      <c r="E65" s="68"/>
      <c r="F65" s="68"/>
      <c r="G65" s="68"/>
      <c r="H65" s="68"/>
      <c r="I65" s="69"/>
      <c r="J65" s="67"/>
      <c r="K65" s="68"/>
      <c r="L65" s="68"/>
      <c r="M65" s="68"/>
      <c r="N65" s="68"/>
      <c r="O65" s="68"/>
      <c r="P65" s="69"/>
      <c r="Q65" s="67"/>
      <c r="R65" s="68"/>
      <c r="S65" s="68"/>
      <c r="T65" s="68"/>
      <c r="U65" s="68"/>
      <c r="V65" s="68"/>
      <c r="W65" s="69"/>
      <c r="X65" s="67"/>
      <c r="Y65" s="68"/>
      <c r="Z65" s="68"/>
      <c r="AA65" s="68"/>
      <c r="AB65" s="68"/>
      <c r="AC65" s="68"/>
      <c r="AD65" s="69"/>
      <c r="AE65" s="67"/>
      <c r="AF65" s="68"/>
      <c r="AG65" s="68"/>
      <c r="AH65" s="68"/>
      <c r="AI65" s="68"/>
      <c r="AJ65" s="68"/>
      <c r="AK65" s="69"/>
      <c r="AL65" s="67"/>
      <c r="AM65" s="68"/>
      <c r="AN65" s="68"/>
      <c r="AO65" s="68"/>
      <c r="AP65" s="68"/>
      <c r="AQ65" s="68"/>
      <c r="AR65" s="69"/>
      <c r="AS65" s="67"/>
      <c r="AT65" s="68"/>
      <c r="AU65" s="68"/>
      <c r="AV65" s="68"/>
      <c r="AW65" s="68"/>
      <c r="AX65" s="68"/>
      <c r="AY65" s="69"/>
      <c r="AZ65" s="67"/>
      <c r="BA65" s="68"/>
      <c r="BB65" s="68"/>
      <c r="BC65" s="68"/>
      <c r="BD65" s="68"/>
      <c r="BE65" s="68"/>
      <c r="BF65" s="69"/>
      <c r="BG65" s="67"/>
      <c r="BH65" s="68"/>
      <c r="BI65" s="68"/>
      <c r="BJ65" s="68"/>
      <c r="BK65" s="68"/>
      <c r="BL65" s="68"/>
      <c r="BM65" s="69"/>
      <c r="BN65" s="67"/>
      <c r="BO65" s="68"/>
      <c r="BP65" s="68"/>
      <c r="BQ65" s="68"/>
      <c r="BR65" s="68"/>
      <c r="BS65" s="68"/>
      <c r="BT65" s="69"/>
      <c r="BU65" s="59"/>
      <c r="BV65" s="59"/>
      <c r="BW65" s="59"/>
      <c r="BX65" s="59"/>
      <c r="BY65" s="59"/>
      <c r="BZ65" s="59"/>
      <c r="CA65" s="59"/>
    </row>
    <row r="66" spans="1:79">
      <c r="A66" s="59"/>
      <c r="B66" s="44" t="str">
        <f t="shared" si="1"/>
        <v/>
      </c>
      <c r="C66" s="67"/>
      <c r="D66" s="68"/>
      <c r="E66" s="68"/>
      <c r="F66" s="68"/>
      <c r="G66" s="68"/>
      <c r="H66" s="68"/>
      <c r="I66" s="69"/>
      <c r="J66" s="67"/>
      <c r="K66" s="68"/>
      <c r="L66" s="68"/>
      <c r="M66" s="68"/>
      <c r="N66" s="68"/>
      <c r="O66" s="68"/>
      <c r="P66" s="69"/>
      <c r="Q66" s="67"/>
      <c r="R66" s="68"/>
      <c r="S66" s="68"/>
      <c r="T66" s="68"/>
      <c r="U66" s="68"/>
      <c r="V66" s="68"/>
      <c r="W66" s="69"/>
      <c r="X66" s="67"/>
      <c r="Y66" s="68"/>
      <c r="Z66" s="68"/>
      <c r="AA66" s="68"/>
      <c r="AB66" s="68"/>
      <c r="AC66" s="68"/>
      <c r="AD66" s="69"/>
      <c r="AE66" s="67"/>
      <c r="AF66" s="68"/>
      <c r="AG66" s="68"/>
      <c r="AH66" s="68"/>
      <c r="AI66" s="68"/>
      <c r="AJ66" s="68"/>
      <c r="AK66" s="69"/>
      <c r="AL66" s="67"/>
      <c r="AM66" s="68"/>
      <c r="AN66" s="68"/>
      <c r="AO66" s="68"/>
      <c r="AP66" s="68"/>
      <c r="AQ66" s="68"/>
      <c r="AR66" s="69"/>
      <c r="AS66" s="67"/>
      <c r="AT66" s="68"/>
      <c r="AU66" s="68"/>
      <c r="AV66" s="68"/>
      <c r="AW66" s="68"/>
      <c r="AX66" s="68"/>
      <c r="AY66" s="69"/>
      <c r="AZ66" s="67"/>
      <c r="BA66" s="68"/>
      <c r="BB66" s="68"/>
      <c r="BC66" s="68"/>
      <c r="BD66" s="68"/>
      <c r="BE66" s="68"/>
      <c r="BF66" s="69"/>
      <c r="BG66" s="67"/>
      <c r="BH66" s="68"/>
      <c r="BI66" s="68"/>
      <c r="BJ66" s="68"/>
      <c r="BK66" s="68"/>
      <c r="BL66" s="68"/>
      <c r="BM66" s="69"/>
      <c r="BN66" s="67"/>
      <c r="BO66" s="68"/>
      <c r="BP66" s="68"/>
      <c r="BQ66" s="68"/>
      <c r="BR66" s="68"/>
      <c r="BS66" s="68"/>
      <c r="BT66" s="69"/>
      <c r="BU66" s="59"/>
      <c r="BV66" s="59"/>
      <c r="BW66" s="59"/>
      <c r="BX66" s="59"/>
      <c r="BY66" s="59"/>
      <c r="BZ66" s="59"/>
      <c r="CA66" s="59"/>
    </row>
    <row r="67" spans="1:79">
      <c r="A67" s="59"/>
      <c r="B67" s="44" t="str">
        <f t="shared" si="1"/>
        <v/>
      </c>
      <c r="C67" s="67"/>
      <c r="D67" s="68"/>
      <c r="E67" s="68"/>
      <c r="F67" s="68"/>
      <c r="G67" s="68"/>
      <c r="H67" s="68"/>
      <c r="I67" s="69"/>
      <c r="J67" s="67"/>
      <c r="K67" s="68"/>
      <c r="L67" s="68"/>
      <c r="M67" s="68"/>
      <c r="N67" s="68"/>
      <c r="O67" s="68"/>
      <c r="P67" s="69"/>
      <c r="Q67" s="67"/>
      <c r="R67" s="68"/>
      <c r="S67" s="68"/>
      <c r="T67" s="68"/>
      <c r="U67" s="68"/>
      <c r="V67" s="68"/>
      <c r="W67" s="69"/>
      <c r="X67" s="67"/>
      <c r="Y67" s="68"/>
      <c r="Z67" s="68"/>
      <c r="AA67" s="68"/>
      <c r="AB67" s="68"/>
      <c r="AC67" s="68"/>
      <c r="AD67" s="69"/>
      <c r="AE67" s="67"/>
      <c r="AF67" s="68"/>
      <c r="AG67" s="68"/>
      <c r="AH67" s="68"/>
      <c r="AI67" s="68"/>
      <c r="AJ67" s="68"/>
      <c r="AK67" s="69"/>
      <c r="AL67" s="67"/>
      <c r="AM67" s="68"/>
      <c r="AN67" s="68"/>
      <c r="AO67" s="68"/>
      <c r="AP67" s="68"/>
      <c r="AQ67" s="68"/>
      <c r="AR67" s="69"/>
      <c r="AS67" s="67"/>
      <c r="AT67" s="68"/>
      <c r="AU67" s="68"/>
      <c r="AV67" s="68"/>
      <c r="AW67" s="68"/>
      <c r="AX67" s="68"/>
      <c r="AY67" s="69"/>
      <c r="AZ67" s="67"/>
      <c r="BA67" s="68"/>
      <c r="BB67" s="68"/>
      <c r="BC67" s="68"/>
      <c r="BD67" s="68"/>
      <c r="BE67" s="68"/>
      <c r="BF67" s="69"/>
      <c r="BG67" s="67"/>
      <c r="BH67" s="68"/>
      <c r="BI67" s="68"/>
      <c r="BJ67" s="68"/>
      <c r="BK67" s="68"/>
      <c r="BL67" s="68"/>
      <c r="BM67" s="69"/>
      <c r="BN67" s="67"/>
      <c r="BO67" s="68"/>
      <c r="BP67" s="68"/>
      <c r="BQ67" s="68"/>
      <c r="BR67" s="68"/>
      <c r="BS67" s="68"/>
      <c r="BT67" s="69"/>
      <c r="BU67" s="59"/>
      <c r="BV67" s="59"/>
      <c r="BW67" s="59"/>
      <c r="BX67" s="59"/>
      <c r="BY67" s="59"/>
      <c r="BZ67" s="59"/>
      <c r="CA67" s="59"/>
    </row>
    <row r="68" spans="1:79">
      <c r="A68" s="59"/>
      <c r="B68" s="44" t="str">
        <f t="shared" si="1"/>
        <v/>
      </c>
      <c r="C68" s="67"/>
      <c r="D68" s="68"/>
      <c r="E68" s="68"/>
      <c r="F68" s="68"/>
      <c r="G68" s="68"/>
      <c r="H68" s="68"/>
      <c r="I68" s="69"/>
      <c r="J68" s="67"/>
      <c r="K68" s="68"/>
      <c r="L68" s="68"/>
      <c r="M68" s="68"/>
      <c r="N68" s="68"/>
      <c r="O68" s="68"/>
      <c r="P68" s="69"/>
      <c r="Q68" s="67"/>
      <c r="R68" s="68"/>
      <c r="S68" s="68"/>
      <c r="T68" s="68"/>
      <c r="U68" s="68"/>
      <c r="V68" s="68"/>
      <c r="W68" s="69"/>
      <c r="X68" s="67"/>
      <c r="Y68" s="68"/>
      <c r="Z68" s="68"/>
      <c r="AA68" s="68"/>
      <c r="AB68" s="68"/>
      <c r="AC68" s="68"/>
      <c r="AD68" s="69"/>
      <c r="AE68" s="67"/>
      <c r="AF68" s="68"/>
      <c r="AG68" s="68"/>
      <c r="AH68" s="68"/>
      <c r="AI68" s="68"/>
      <c r="AJ68" s="68"/>
      <c r="AK68" s="69"/>
      <c r="AL68" s="67"/>
      <c r="AM68" s="68"/>
      <c r="AN68" s="68"/>
      <c r="AO68" s="68"/>
      <c r="AP68" s="68"/>
      <c r="AQ68" s="68"/>
      <c r="AR68" s="69"/>
      <c r="AS68" s="67"/>
      <c r="AT68" s="68"/>
      <c r="AU68" s="68"/>
      <c r="AV68" s="68"/>
      <c r="AW68" s="68"/>
      <c r="AX68" s="68"/>
      <c r="AY68" s="69"/>
      <c r="AZ68" s="67"/>
      <c r="BA68" s="68"/>
      <c r="BB68" s="68"/>
      <c r="BC68" s="68"/>
      <c r="BD68" s="68"/>
      <c r="BE68" s="68"/>
      <c r="BF68" s="69"/>
      <c r="BG68" s="67"/>
      <c r="BH68" s="68"/>
      <c r="BI68" s="68"/>
      <c r="BJ68" s="68"/>
      <c r="BK68" s="68"/>
      <c r="BL68" s="68"/>
      <c r="BM68" s="69"/>
      <c r="BN68" s="67"/>
      <c r="BO68" s="68"/>
      <c r="BP68" s="68"/>
      <c r="BQ68" s="68"/>
      <c r="BR68" s="68"/>
      <c r="BS68" s="68"/>
      <c r="BT68" s="69"/>
      <c r="BU68" s="59"/>
      <c r="BV68" s="59"/>
      <c r="BW68" s="59"/>
      <c r="BX68" s="59"/>
      <c r="BY68" s="59"/>
      <c r="BZ68" s="59"/>
      <c r="CA68" s="59"/>
    </row>
    <row r="69" spans="1:79">
      <c r="A69" s="59"/>
      <c r="B69" s="44" t="str">
        <f t="shared" si="1"/>
        <v/>
      </c>
      <c r="C69" s="67"/>
      <c r="D69" s="68"/>
      <c r="E69" s="68"/>
      <c r="F69" s="68"/>
      <c r="G69" s="68"/>
      <c r="H69" s="68"/>
      <c r="I69" s="69"/>
      <c r="J69" s="67"/>
      <c r="K69" s="68"/>
      <c r="L69" s="68"/>
      <c r="M69" s="68"/>
      <c r="N69" s="68"/>
      <c r="O69" s="68"/>
      <c r="P69" s="69"/>
      <c r="Q69" s="67"/>
      <c r="R69" s="68"/>
      <c r="S69" s="68"/>
      <c r="T69" s="68"/>
      <c r="U69" s="68"/>
      <c r="V69" s="68"/>
      <c r="W69" s="69"/>
      <c r="X69" s="67"/>
      <c r="Y69" s="68"/>
      <c r="Z69" s="68"/>
      <c r="AA69" s="68"/>
      <c r="AB69" s="68"/>
      <c r="AC69" s="68"/>
      <c r="AD69" s="69"/>
      <c r="AE69" s="67"/>
      <c r="AF69" s="68"/>
      <c r="AG69" s="68"/>
      <c r="AH69" s="68"/>
      <c r="AI69" s="68"/>
      <c r="AJ69" s="68"/>
      <c r="AK69" s="69"/>
      <c r="AL69" s="67"/>
      <c r="AM69" s="68"/>
      <c r="AN69" s="68"/>
      <c r="AO69" s="68"/>
      <c r="AP69" s="68"/>
      <c r="AQ69" s="68"/>
      <c r="AR69" s="69"/>
      <c r="AS69" s="67"/>
      <c r="AT69" s="68"/>
      <c r="AU69" s="68"/>
      <c r="AV69" s="68"/>
      <c r="AW69" s="68"/>
      <c r="AX69" s="68"/>
      <c r="AY69" s="69"/>
      <c r="AZ69" s="67"/>
      <c r="BA69" s="68"/>
      <c r="BB69" s="68"/>
      <c r="BC69" s="68"/>
      <c r="BD69" s="68"/>
      <c r="BE69" s="68"/>
      <c r="BF69" s="69"/>
      <c r="BG69" s="67"/>
      <c r="BH69" s="68"/>
      <c r="BI69" s="68"/>
      <c r="BJ69" s="68"/>
      <c r="BK69" s="68"/>
      <c r="BL69" s="68"/>
      <c r="BM69" s="69"/>
      <c r="BN69" s="67"/>
      <c r="BO69" s="68"/>
      <c r="BP69" s="68"/>
      <c r="BQ69" s="68"/>
      <c r="BR69" s="68"/>
      <c r="BS69" s="68"/>
      <c r="BT69" s="69"/>
      <c r="BU69" s="59"/>
      <c r="BV69" s="59"/>
      <c r="BW69" s="59"/>
      <c r="BX69" s="59"/>
      <c r="BY69" s="59"/>
      <c r="BZ69" s="59"/>
      <c r="CA69" s="59"/>
    </row>
    <row r="70" spans="1:79">
      <c r="A70" s="59"/>
      <c r="B70" s="44" t="str">
        <f t="shared" si="1"/>
        <v/>
      </c>
      <c r="C70" s="67"/>
      <c r="D70" s="68"/>
      <c r="E70" s="68"/>
      <c r="F70" s="68"/>
      <c r="G70" s="68"/>
      <c r="H70" s="68"/>
      <c r="I70" s="69"/>
      <c r="J70" s="67"/>
      <c r="K70" s="68"/>
      <c r="L70" s="68"/>
      <c r="M70" s="68"/>
      <c r="N70" s="68"/>
      <c r="O70" s="68"/>
      <c r="P70" s="69"/>
      <c r="Q70" s="67"/>
      <c r="R70" s="68"/>
      <c r="S70" s="68"/>
      <c r="T70" s="68"/>
      <c r="U70" s="68"/>
      <c r="V70" s="68"/>
      <c r="W70" s="69"/>
      <c r="X70" s="67"/>
      <c r="Y70" s="68"/>
      <c r="Z70" s="68"/>
      <c r="AA70" s="68"/>
      <c r="AB70" s="68"/>
      <c r="AC70" s="68"/>
      <c r="AD70" s="69"/>
      <c r="AE70" s="67"/>
      <c r="AF70" s="68"/>
      <c r="AG70" s="68"/>
      <c r="AH70" s="68"/>
      <c r="AI70" s="68"/>
      <c r="AJ70" s="68"/>
      <c r="AK70" s="69"/>
      <c r="AL70" s="67"/>
      <c r="AM70" s="68"/>
      <c r="AN70" s="68"/>
      <c r="AO70" s="68"/>
      <c r="AP70" s="68"/>
      <c r="AQ70" s="68"/>
      <c r="AR70" s="69"/>
      <c r="AS70" s="67"/>
      <c r="AT70" s="68"/>
      <c r="AU70" s="68"/>
      <c r="AV70" s="68"/>
      <c r="AW70" s="68"/>
      <c r="AX70" s="68"/>
      <c r="AY70" s="69"/>
      <c r="AZ70" s="67"/>
      <c r="BA70" s="68"/>
      <c r="BB70" s="68"/>
      <c r="BC70" s="68"/>
      <c r="BD70" s="68"/>
      <c r="BE70" s="68"/>
      <c r="BF70" s="69"/>
      <c r="BG70" s="67"/>
      <c r="BH70" s="68"/>
      <c r="BI70" s="68"/>
      <c r="BJ70" s="68"/>
      <c r="BK70" s="68"/>
      <c r="BL70" s="68"/>
      <c r="BM70" s="69"/>
      <c r="BN70" s="67"/>
      <c r="BO70" s="68"/>
      <c r="BP70" s="68"/>
      <c r="BQ70" s="68"/>
      <c r="BR70" s="68"/>
      <c r="BS70" s="68"/>
      <c r="BT70" s="69"/>
      <c r="BU70" s="59"/>
      <c r="BV70" s="59"/>
      <c r="BW70" s="59"/>
      <c r="BX70" s="59"/>
      <c r="BY70" s="59"/>
      <c r="BZ70" s="59"/>
      <c r="CA70" s="59"/>
    </row>
    <row r="71" spans="1:79">
      <c r="A71" s="59"/>
      <c r="B71" s="44" t="str">
        <f t="shared" si="1"/>
        <v/>
      </c>
      <c r="C71" s="67"/>
      <c r="D71" s="68"/>
      <c r="E71" s="68"/>
      <c r="F71" s="68"/>
      <c r="G71" s="68"/>
      <c r="H71" s="68"/>
      <c r="I71" s="69"/>
      <c r="J71" s="67"/>
      <c r="K71" s="68"/>
      <c r="L71" s="68"/>
      <c r="M71" s="68"/>
      <c r="N71" s="68"/>
      <c r="O71" s="68"/>
      <c r="P71" s="69"/>
      <c r="Q71" s="67"/>
      <c r="R71" s="68"/>
      <c r="S71" s="68"/>
      <c r="T71" s="68"/>
      <c r="U71" s="68"/>
      <c r="V71" s="68"/>
      <c r="W71" s="69"/>
      <c r="X71" s="67"/>
      <c r="Y71" s="68"/>
      <c r="Z71" s="68"/>
      <c r="AA71" s="68"/>
      <c r="AB71" s="68"/>
      <c r="AC71" s="68"/>
      <c r="AD71" s="69"/>
      <c r="AE71" s="67"/>
      <c r="AF71" s="68"/>
      <c r="AG71" s="68"/>
      <c r="AH71" s="68"/>
      <c r="AI71" s="68"/>
      <c r="AJ71" s="68"/>
      <c r="AK71" s="69"/>
      <c r="AL71" s="67"/>
      <c r="AM71" s="68"/>
      <c r="AN71" s="68"/>
      <c r="AO71" s="68"/>
      <c r="AP71" s="68"/>
      <c r="AQ71" s="68"/>
      <c r="AR71" s="69"/>
      <c r="AS71" s="67"/>
      <c r="AT71" s="68"/>
      <c r="AU71" s="68"/>
      <c r="AV71" s="68"/>
      <c r="AW71" s="68"/>
      <c r="AX71" s="68"/>
      <c r="AY71" s="69"/>
      <c r="AZ71" s="67"/>
      <c r="BA71" s="68"/>
      <c r="BB71" s="68"/>
      <c r="BC71" s="68"/>
      <c r="BD71" s="68"/>
      <c r="BE71" s="68"/>
      <c r="BF71" s="69"/>
      <c r="BG71" s="67"/>
      <c r="BH71" s="68"/>
      <c r="BI71" s="68"/>
      <c r="BJ71" s="68"/>
      <c r="BK71" s="68"/>
      <c r="BL71" s="68"/>
      <c r="BM71" s="69"/>
      <c r="BN71" s="67"/>
      <c r="BO71" s="68"/>
      <c r="BP71" s="68"/>
      <c r="BQ71" s="68"/>
      <c r="BR71" s="68"/>
      <c r="BS71" s="68"/>
      <c r="BT71" s="69"/>
      <c r="BU71" s="59"/>
      <c r="BV71" s="59"/>
      <c r="BW71" s="59"/>
      <c r="BX71" s="59"/>
      <c r="BY71" s="59"/>
      <c r="BZ71" s="59"/>
      <c r="CA71" s="59"/>
    </row>
    <row r="72" spans="1:79">
      <c r="A72" s="59"/>
      <c r="B72" s="44" t="str">
        <f t="shared" si="1"/>
        <v/>
      </c>
      <c r="C72" s="67"/>
      <c r="D72" s="68"/>
      <c r="E72" s="68"/>
      <c r="F72" s="68"/>
      <c r="G72" s="68"/>
      <c r="H72" s="68"/>
      <c r="I72" s="69"/>
      <c r="J72" s="67"/>
      <c r="K72" s="68"/>
      <c r="L72" s="68"/>
      <c r="M72" s="68"/>
      <c r="N72" s="68"/>
      <c r="O72" s="68"/>
      <c r="P72" s="69"/>
      <c r="Q72" s="67"/>
      <c r="R72" s="68"/>
      <c r="S72" s="68"/>
      <c r="T72" s="68"/>
      <c r="U72" s="68"/>
      <c r="V72" s="68"/>
      <c r="W72" s="69"/>
      <c r="X72" s="67"/>
      <c r="Y72" s="68"/>
      <c r="Z72" s="68"/>
      <c r="AA72" s="68"/>
      <c r="AB72" s="68"/>
      <c r="AC72" s="68"/>
      <c r="AD72" s="69"/>
      <c r="AE72" s="67"/>
      <c r="AF72" s="68"/>
      <c r="AG72" s="68"/>
      <c r="AH72" s="68"/>
      <c r="AI72" s="68"/>
      <c r="AJ72" s="68"/>
      <c r="AK72" s="69"/>
      <c r="AL72" s="67"/>
      <c r="AM72" s="68"/>
      <c r="AN72" s="68"/>
      <c r="AO72" s="68"/>
      <c r="AP72" s="68"/>
      <c r="AQ72" s="68"/>
      <c r="AR72" s="69"/>
      <c r="AS72" s="67"/>
      <c r="AT72" s="68"/>
      <c r="AU72" s="68"/>
      <c r="AV72" s="68"/>
      <c r="AW72" s="68"/>
      <c r="AX72" s="68"/>
      <c r="AY72" s="69"/>
      <c r="AZ72" s="67"/>
      <c r="BA72" s="68"/>
      <c r="BB72" s="68"/>
      <c r="BC72" s="68"/>
      <c r="BD72" s="68"/>
      <c r="BE72" s="68"/>
      <c r="BF72" s="69"/>
      <c r="BG72" s="67"/>
      <c r="BH72" s="68"/>
      <c r="BI72" s="68"/>
      <c r="BJ72" s="68"/>
      <c r="BK72" s="68"/>
      <c r="BL72" s="68"/>
      <c r="BM72" s="69"/>
      <c r="BN72" s="67"/>
      <c r="BO72" s="68"/>
      <c r="BP72" s="68"/>
      <c r="BQ72" s="68"/>
      <c r="BR72" s="68"/>
      <c r="BS72" s="68"/>
      <c r="BT72" s="69"/>
      <c r="BU72" s="59"/>
      <c r="BV72" s="59"/>
      <c r="BW72" s="59"/>
      <c r="BX72" s="59"/>
      <c r="BY72" s="59"/>
      <c r="BZ72" s="59"/>
      <c r="CA72" s="59"/>
    </row>
    <row r="73" spans="1:79">
      <c r="A73" s="59"/>
      <c r="B73" s="44" t="str">
        <f t="shared" si="1"/>
        <v/>
      </c>
      <c r="C73" s="67"/>
      <c r="D73" s="68"/>
      <c r="E73" s="68"/>
      <c r="F73" s="68"/>
      <c r="G73" s="68"/>
      <c r="H73" s="68"/>
      <c r="I73" s="69"/>
      <c r="J73" s="67"/>
      <c r="K73" s="68"/>
      <c r="L73" s="68"/>
      <c r="M73" s="68"/>
      <c r="N73" s="68"/>
      <c r="O73" s="68"/>
      <c r="P73" s="69"/>
      <c r="Q73" s="67"/>
      <c r="R73" s="68"/>
      <c r="S73" s="68"/>
      <c r="T73" s="68"/>
      <c r="U73" s="68"/>
      <c r="V73" s="68"/>
      <c r="W73" s="69"/>
      <c r="X73" s="67"/>
      <c r="Y73" s="68"/>
      <c r="Z73" s="68"/>
      <c r="AA73" s="68"/>
      <c r="AB73" s="68"/>
      <c r="AC73" s="68"/>
      <c r="AD73" s="69"/>
      <c r="AE73" s="67"/>
      <c r="AF73" s="68"/>
      <c r="AG73" s="68"/>
      <c r="AH73" s="68"/>
      <c r="AI73" s="68"/>
      <c r="AJ73" s="68"/>
      <c r="AK73" s="69"/>
      <c r="AL73" s="67"/>
      <c r="AM73" s="68"/>
      <c r="AN73" s="68"/>
      <c r="AO73" s="68"/>
      <c r="AP73" s="68"/>
      <c r="AQ73" s="68"/>
      <c r="AR73" s="69"/>
      <c r="AS73" s="67"/>
      <c r="AT73" s="68"/>
      <c r="AU73" s="68"/>
      <c r="AV73" s="68"/>
      <c r="AW73" s="68"/>
      <c r="AX73" s="68"/>
      <c r="AY73" s="69"/>
      <c r="AZ73" s="67"/>
      <c r="BA73" s="68"/>
      <c r="BB73" s="68"/>
      <c r="BC73" s="68"/>
      <c r="BD73" s="68"/>
      <c r="BE73" s="68"/>
      <c r="BF73" s="69"/>
      <c r="BG73" s="67"/>
      <c r="BH73" s="68"/>
      <c r="BI73" s="68"/>
      <c r="BJ73" s="68"/>
      <c r="BK73" s="68"/>
      <c r="BL73" s="68"/>
      <c r="BM73" s="69"/>
      <c r="BN73" s="67"/>
      <c r="BO73" s="68"/>
      <c r="BP73" s="68"/>
      <c r="BQ73" s="68"/>
      <c r="BR73" s="68"/>
      <c r="BS73" s="68"/>
      <c r="BT73" s="69"/>
      <c r="BU73" s="59"/>
      <c r="BV73" s="59"/>
      <c r="BW73" s="59"/>
      <c r="BX73" s="59"/>
      <c r="BY73" s="59"/>
      <c r="BZ73" s="59"/>
      <c r="CA73" s="59"/>
    </row>
    <row r="74" spans="1:79">
      <c r="A74" s="59"/>
      <c r="B74" s="44" t="str">
        <f t="shared" si="1"/>
        <v/>
      </c>
      <c r="C74" s="67"/>
      <c r="D74" s="68"/>
      <c r="E74" s="68"/>
      <c r="F74" s="68"/>
      <c r="G74" s="68"/>
      <c r="H74" s="68"/>
      <c r="I74" s="69"/>
      <c r="J74" s="67"/>
      <c r="K74" s="68"/>
      <c r="L74" s="68"/>
      <c r="M74" s="68"/>
      <c r="N74" s="68"/>
      <c r="O74" s="68"/>
      <c r="P74" s="69"/>
      <c r="Q74" s="67"/>
      <c r="R74" s="68"/>
      <c r="S74" s="68"/>
      <c r="T74" s="68"/>
      <c r="U74" s="68"/>
      <c r="V74" s="68"/>
      <c r="W74" s="69"/>
      <c r="X74" s="67"/>
      <c r="Y74" s="68"/>
      <c r="Z74" s="68"/>
      <c r="AA74" s="68"/>
      <c r="AB74" s="68"/>
      <c r="AC74" s="68"/>
      <c r="AD74" s="69"/>
      <c r="AE74" s="67"/>
      <c r="AF74" s="68"/>
      <c r="AG74" s="68"/>
      <c r="AH74" s="68"/>
      <c r="AI74" s="68"/>
      <c r="AJ74" s="68"/>
      <c r="AK74" s="69"/>
      <c r="AL74" s="67"/>
      <c r="AM74" s="68"/>
      <c r="AN74" s="68"/>
      <c r="AO74" s="68"/>
      <c r="AP74" s="68"/>
      <c r="AQ74" s="68"/>
      <c r="AR74" s="69"/>
      <c r="AS74" s="67"/>
      <c r="AT74" s="68"/>
      <c r="AU74" s="68"/>
      <c r="AV74" s="68"/>
      <c r="AW74" s="68"/>
      <c r="AX74" s="68"/>
      <c r="AY74" s="69"/>
      <c r="AZ74" s="67"/>
      <c r="BA74" s="68"/>
      <c r="BB74" s="68"/>
      <c r="BC74" s="68"/>
      <c r="BD74" s="68"/>
      <c r="BE74" s="68"/>
      <c r="BF74" s="69"/>
      <c r="BG74" s="67"/>
      <c r="BH74" s="68"/>
      <c r="BI74" s="68"/>
      <c r="BJ74" s="68"/>
      <c r="BK74" s="68"/>
      <c r="BL74" s="68"/>
      <c r="BM74" s="69"/>
      <c r="BN74" s="67"/>
      <c r="BO74" s="68"/>
      <c r="BP74" s="68"/>
      <c r="BQ74" s="68"/>
      <c r="BR74" s="68"/>
      <c r="BS74" s="68"/>
      <c r="BT74" s="69"/>
      <c r="BU74" s="59"/>
      <c r="BV74" s="59"/>
      <c r="BW74" s="59"/>
      <c r="BX74" s="59"/>
      <c r="BY74" s="59"/>
      <c r="BZ74" s="59"/>
      <c r="CA74" s="59"/>
    </row>
    <row r="75" spans="1:79">
      <c r="A75" s="59"/>
      <c r="B75" s="44" t="str">
        <f t="shared" ref="B75:B106" si="2">IF(Start_year+ROW(B75)-ROW($B$11)&gt;End_year,"",Start_year+ROW(B75)-ROW($B$11))</f>
        <v/>
      </c>
      <c r="C75" s="67"/>
      <c r="D75" s="68"/>
      <c r="E75" s="68"/>
      <c r="F75" s="68"/>
      <c r="G75" s="68"/>
      <c r="H75" s="68"/>
      <c r="I75" s="69"/>
      <c r="J75" s="67"/>
      <c r="K75" s="68"/>
      <c r="L75" s="68"/>
      <c r="M75" s="68"/>
      <c r="N75" s="68"/>
      <c r="O75" s="68"/>
      <c r="P75" s="69"/>
      <c r="Q75" s="67"/>
      <c r="R75" s="68"/>
      <c r="S75" s="68"/>
      <c r="T75" s="68"/>
      <c r="U75" s="68"/>
      <c r="V75" s="68"/>
      <c r="W75" s="69"/>
      <c r="X75" s="67"/>
      <c r="Y75" s="68"/>
      <c r="Z75" s="68"/>
      <c r="AA75" s="68"/>
      <c r="AB75" s="68"/>
      <c r="AC75" s="68"/>
      <c r="AD75" s="69"/>
      <c r="AE75" s="67"/>
      <c r="AF75" s="68"/>
      <c r="AG75" s="68"/>
      <c r="AH75" s="68"/>
      <c r="AI75" s="68"/>
      <c r="AJ75" s="68"/>
      <c r="AK75" s="69"/>
      <c r="AL75" s="67"/>
      <c r="AM75" s="68"/>
      <c r="AN75" s="68"/>
      <c r="AO75" s="68"/>
      <c r="AP75" s="68"/>
      <c r="AQ75" s="68"/>
      <c r="AR75" s="69"/>
      <c r="AS75" s="67"/>
      <c r="AT75" s="68"/>
      <c r="AU75" s="68"/>
      <c r="AV75" s="68"/>
      <c r="AW75" s="68"/>
      <c r="AX75" s="68"/>
      <c r="AY75" s="69"/>
      <c r="AZ75" s="67"/>
      <c r="BA75" s="68"/>
      <c r="BB75" s="68"/>
      <c r="BC75" s="68"/>
      <c r="BD75" s="68"/>
      <c r="BE75" s="68"/>
      <c r="BF75" s="69"/>
      <c r="BG75" s="67"/>
      <c r="BH75" s="68"/>
      <c r="BI75" s="68"/>
      <c r="BJ75" s="68"/>
      <c r="BK75" s="68"/>
      <c r="BL75" s="68"/>
      <c r="BM75" s="69"/>
      <c r="BN75" s="67"/>
      <c r="BO75" s="68"/>
      <c r="BP75" s="68"/>
      <c r="BQ75" s="68"/>
      <c r="BR75" s="68"/>
      <c r="BS75" s="68"/>
      <c r="BT75" s="69"/>
      <c r="BU75" s="59"/>
      <c r="BV75" s="59"/>
      <c r="BW75" s="59"/>
      <c r="BX75" s="59"/>
      <c r="BY75" s="59"/>
      <c r="BZ75" s="59"/>
      <c r="CA75" s="59"/>
    </row>
    <row r="76" spans="1:79">
      <c r="A76" s="59"/>
      <c r="B76" s="44" t="str">
        <f t="shared" si="2"/>
        <v/>
      </c>
      <c r="C76" s="67"/>
      <c r="D76" s="68"/>
      <c r="E76" s="68"/>
      <c r="F76" s="68"/>
      <c r="G76" s="68"/>
      <c r="H76" s="68"/>
      <c r="I76" s="69"/>
      <c r="J76" s="67"/>
      <c r="K76" s="68"/>
      <c r="L76" s="68"/>
      <c r="M76" s="68"/>
      <c r="N76" s="68"/>
      <c r="O76" s="68"/>
      <c r="P76" s="69"/>
      <c r="Q76" s="67"/>
      <c r="R76" s="68"/>
      <c r="S76" s="68"/>
      <c r="T76" s="68"/>
      <c r="U76" s="68"/>
      <c r="V76" s="68"/>
      <c r="W76" s="69"/>
      <c r="X76" s="67"/>
      <c r="Y76" s="68"/>
      <c r="Z76" s="68"/>
      <c r="AA76" s="68"/>
      <c r="AB76" s="68"/>
      <c r="AC76" s="68"/>
      <c r="AD76" s="69"/>
      <c r="AE76" s="67"/>
      <c r="AF76" s="68"/>
      <c r="AG76" s="68"/>
      <c r="AH76" s="68"/>
      <c r="AI76" s="68"/>
      <c r="AJ76" s="68"/>
      <c r="AK76" s="69"/>
      <c r="AL76" s="67"/>
      <c r="AM76" s="68"/>
      <c r="AN76" s="68"/>
      <c r="AO76" s="68"/>
      <c r="AP76" s="68"/>
      <c r="AQ76" s="68"/>
      <c r="AR76" s="69"/>
      <c r="AS76" s="67"/>
      <c r="AT76" s="68"/>
      <c r="AU76" s="68"/>
      <c r="AV76" s="68"/>
      <c r="AW76" s="68"/>
      <c r="AX76" s="68"/>
      <c r="AY76" s="69"/>
      <c r="AZ76" s="67"/>
      <c r="BA76" s="68"/>
      <c r="BB76" s="68"/>
      <c r="BC76" s="68"/>
      <c r="BD76" s="68"/>
      <c r="BE76" s="68"/>
      <c r="BF76" s="69"/>
      <c r="BG76" s="67"/>
      <c r="BH76" s="68"/>
      <c r="BI76" s="68"/>
      <c r="BJ76" s="68"/>
      <c r="BK76" s="68"/>
      <c r="BL76" s="68"/>
      <c r="BM76" s="69"/>
      <c r="BN76" s="67"/>
      <c r="BO76" s="68"/>
      <c r="BP76" s="68"/>
      <c r="BQ76" s="68"/>
      <c r="BR76" s="68"/>
      <c r="BS76" s="68"/>
      <c r="BT76" s="69"/>
      <c r="BU76" s="59"/>
      <c r="BV76" s="59"/>
      <c r="BW76" s="59"/>
      <c r="BX76" s="59"/>
      <c r="BY76" s="59"/>
      <c r="BZ76" s="59"/>
      <c r="CA76" s="59"/>
    </row>
    <row r="77" spans="1:79">
      <c r="A77" s="59"/>
      <c r="B77" s="44" t="str">
        <f t="shared" si="2"/>
        <v/>
      </c>
      <c r="C77" s="67"/>
      <c r="D77" s="68"/>
      <c r="E77" s="68"/>
      <c r="F77" s="68"/>
      <c r="G77" s="68"/>
      <c r="H77" s="68"/>
      <c r="I77" s="69"/>
      <c r="J77" s="67"/>
      <c r="K77" s="68"/>
      <c r="L77" s="68"/>
      <c r="M77" s="68"/>
      <c r="N77" s="68"/>
      <c r="O77" s="68"/>
      <c r="P77" s="69"/>
      <c r="Q77" s="67"/>
      <c r="R77" s="68"/>
      <c r="S77" s="68"/>
      <c r="T77" s="68"/>
      <c r="U77" s="68"/>
      <c r="V77" s="68"/>
      <c r="W77" s="69"/>
      <c r="X77" s="67"/>
      <c r="Y77" s="68"/>
      <c r="Z77" s="68"/>
      <c r="AA77" s="68"/>
      <c r="AB77" s="68"/>
      <c r="AC77" s="68"/>
      <c r="AD77" s="69"/>
      <c r="AE77" s="67"/>
      <c r="AF77" s="68"/>
      <c r="AG77" s="68"/>
      <c r="AH77" s="68"/>
      <c r="AI77" s="68"/>
      <c r="AJ77" s="68"/>
      <c r="AK77" s="69"/>
      <c r="AL77" s="67"/>
      <c r="AM77" s="68"/>
      <c r="AN77" s="68"/>
      <c r="AO77" s="68"/>
      <c r="AP77" s="68"/>
      <c r="AQ77" s="68"/>
      <c r="AR77" s="69"/>
      <c r="AS77" s="67"/>
      <c r="AT77" s="68"/>
      <c r="AU77" s="68"/>
      <c r="AV77" s="68"/>
      <c r="AW77" s="68"/>
      <c r="AX77" s="68"/>
      <c r="AY77" s="69"/>
      <c r="AZ77" s="67"/>
      <c r="BA77" s="68"/>
      <c r="BB77" s="68"/>
      <c r="BC77" s="68"/>
      <c r="BD77" s="68"/>
      <c r="BE77" s="68"/>
      <c r="BF77" s="69"/>
      <c r="BG77" s="67"/>
      <c r="BH77" s="68"/>
      <c r="BI77" s="68"/>
      <c r="BJ77" s="68"/>
      <c r="BK77" s="68"/>
      <c r="BL77" s="68"/>
      <c r="BM77" s="69"/>
      <c r="BN77" s="67"/>
      <c r="BO77" s="68"/>
      <c r="BP77" s="68"/>
      <c r="BQ77" s="68"/>
      <c r="BR77" s="68"/>
      <c r="BS77" s="68"/>
      <c r="BT77" s="69"/>
      <c r="BU77" s="59"/>
      <c r="BV77" s="59"/>
      <c r="BW77" s="59"/>
      <c r="BX77" s="59"/>
      <c r="BY77" s="59"/>
      <c r="BZ77" s="59"/>
      <c r="CA77" s="59"/>
    </row>
    <row r="78" spans="1:79">
      <c r="A78" s="59"/>
      <c r="B78" s="44" t="str">
        <f t="shared" si="2"/>
        <v/>
      </c>
      <c r="C78" s="67"/>
      <c r="D78" s="68"/>
      <c r="E78" s="68"/>
      <c r="F78" s="68"/>
      <c r="G78" s="68"/>
      <c r="H78" s="68"/>
      <c r="I78" s="69"/>
      <c r="J78" s="67"/>
      <c r="K78" s="68"/>
      <c r="L78" s="68"/>
      <c r="M78" s="68"/>
      <c r="N78" s="68"/>
      <c r="O78" s="68"/>
      <c r="P78" s="69"/>
      <c r="Q78" s="67"/>
      <c r="R78" s="68"/>
      <c r="S78" s="68"/>
      <c r="T78" s="68"/>
      <c r="U78" s="68"/>
      <c r="V78" s="68"/>
      <c r="W78" s="69"/>
      <c r="X78" s="67"/>
      <c r="Y78" s="68"/>
      <c r="Z78" s="68"/>
      <c r="AA78" s="68"/>
      <c r="AB78" s="68"/>
      <c r="AC78" s="68"/>
      <c r="AD78" s="69"/>
      <c r="AE78" s="67"/>
      <c r="AF78" s="68"/>
      <c r="AG78" s="68"/>
      <c r="AH78" s="68"/>
      <c r="AI78" s="68"/>
      <c r="AJ78" s="68"/>
      <c r="AK78" s="69"/>
      <c r="AL78" s="67"/>
      <c r="AM78" s="68"/>
      <c r="AN78" s="68"/>
      <c r="AO78" s="68"/>
      <c r="AP78" s="68"/>
      <c r="AQ78" s="68"/>
      <c r="AR78" s="69"/>
      <c r="AS78" s="67"/>
      <c r="AT78" s="68"/>
      <c r="AU78" s="68"/>
      <c r="AV78" s="68"/>
      <c r="AW78" s="68"/>
      <c r="AX78" s="68"/>
      <c r="AY78" s="69"/>
      <c r="AZ78" s="67"/>
      <c r="BA78" s="68"/>
      <c r="BB78" s="68"/>
      <c r="BC78" s="68"/>
      <c r="BD78" s="68"/>
      <c r="BE78" s="68"/>
      <c r="BF78" s="69"/>
      <c r="BG78" s="67"/>
      <c r="BH78" s="68"/>
      <c r="BI78" s="68"/>
      <c r="BJ78" s="68"/>
      <c r="BK78" s="68"/>
      <c r="BL78" s="68"/>
      <c r="BM78" s="69"/>
      <c r="BN78" s="67"/>
      <c r="BO78" s="68"/>
      <c r="BP78" s="68"/>
      <c r="BQ78" s="68"/>
      <c r="BR78" s="68"/>
      <c r="BS78" s="68"/>
      <c r="BT78" s="69"/>
      <c r="BU78" s="59"/>
      <c r="BV78" s="59"/>
      <c r="BW78" s="59"/>
      <c r="BX78" s="59"/>
      <c r="BY78" s="59"/>
      <c r="BZ78" s="59"/>
      <c r="CA78" s="59"/>
    </row>
    <row r="79" spans="1:79">
      <c r="A79" s="59"/>
      <c r="B79" s="44" t="str">
        <f t="shared" si="2"/>
        <v/>
      </c>
      <c r="C79" s="67"/>
      <c r="D79" s="68"/>
      <c r="E79" s="68"/>
      <c r="F79" s="68"/>
      <c r="G79" s="68"/>
      <c r="H79" s="68"/>
      <c r="I79" s="69"/>
      <c r="J79" s="67"/>
      <c r="K79" s="68"/>
      <c r="L79" s="68"/>
      <c r="M79" s="68"/>
      <c r="N79" s="68"/>
      <c r="O79" s="68"/>
      <c r="P79" s="69"/>
      <c r="Q79" s="67"/>
      <c r="R79" s="68"/>
      <c r="S79" s="68"/>
      <c r="T79" s="68"/>
      <c r="U79" s="68"/>
      <c r="V79" s="68"/>
      <c r="W79" s="69"/>
      <c r="X79" s="67"/>
      <c r="Y79" s="68"/>
      <c r="Z79" s="68"/>
      <c r="AA79" s="68"/>
      <c r="AB79" s="68"/>
      <c r="AC79" s="68"/>
      <c r="AD79" s="69"/>
      <c r="AE79" s="67"/>
      <c r="AF79" s="68"/>
      <c r="AG79" s="68"/>
      <c r="AH79" s="68"/>
      <c r="AI79" s="68"/>
      <c r="AJ79" s="68"/>
      <c r="AK79" s="69"/>
      <c r="AL79" s="67"/>
      <c r="AM79" s="68"/>
      <c r="AN79" s="68"/>
      <c r="AO79" s="68"/>
      <c r="AP79" s="68"/>
      <c r="AQ79" s="68"/>
      <c r="AR79" s="69"/>
      <c r="AS79" s="67"/>
      <c r="AT79" s="68"/>
      <c r="AU79" s="68"/>
      <c r="AV79" s="68"/>
      <c r="AW79" s="68"/>
      <c r="AX79" s="68"/>
      <c r="AY79" s="69"/>
      <c r="AZ79" s="67"/>
      <c r="BA79" s="68"/>
      <c r="BB79" s="68"/>
      <c r="BC79" s="68"/>
      <c r="BD79" s="68"/>
      <c r="BE79" s="68"/>
      <c r="BF79" s="69"/>
      <c r="BG79" s="67"/>
      <c r="BH79" s="68"/>
      <c r="BI79" s="68"/>
      <c r="BJ79" s="68"/>
      <c r="BK79" s="68"/>
      <c r="BL79" s="68"/>
      <c r="BM79" s="69"/>
      <c r="BN79" s="67"/>
      <c r="BO79" s="68"/>
      <c r="BP79" s="68"/>
      <c r="BQ79" s="68"/>
      <c r="BR79" s="68"/>
      <c r="BS79" s="68"/>
      <c r="BT79" s="69"/>
      <c r="BU79" s="59"/>
      <c r="BV79" s="59"/>
      <c r="BW79" s="59"/>
      <c r="BX79" s="59"/>
      <c r="BY79" s="59"/>
      <c r="BZ79" s="59"/>
      <c r="CA79" s="59"/>
    </row>
    <row r="80" spans="1:79">
      <c r="A80" s="59"/>
      <c r="B80" s="44" t="str">
        <f t="shared" si="2"/>
        <v/>
      </c>
      <c r="C80" s="67"/>
      <c r="D80" s="68"/>
      <c r="E80" s="68"/>
      <c r="F80" s="68"/>
      <c r="G80" s="68"/>
      <c r="H80" s="68"/>
      <c r="I80" s="69"/>
      <c r="J80" s="67"/>
      <c r="K80" s="68"/>
      <c r="L80" s="68"/>
      <c r="M80" s="68"/>
      <c r="N80" s="68"/>
      <c r="O80" s="68"/>
      <c r="P80" s="69"/>
      <c r="Q80" s="67"/>
      <c r="R80" s="68"/>
      <c r="S80" s="68"/>
      <c r="T80" s="68"/>
      <c r="U80" s="68"/>
      <c r="V80" s="68"/>
      <c r="W80" s="69"/>
      <c r="X80" s="67"/>
      <c r="Y80" s="68"/>
      <c r="Z80" s="68"/>
      <c r="AA80" s="68"/>
      <c r="AB80" s="68"/>
      <c r="AC80" s="68"/>
      <c r="AD80" s="69"/>
      <c r="AE80" s="67"/>
      <c r="AF80" s="68"/>
      <c r="AG80" s="68"/>
      <c r="AH80" s="68"/>
      <c r="AI80" s="68"/>
      <c r="AJ80" s="68"/>
      <c r="AK80" s="69"/>
      <c r="AL80" s="67"/>
      <c r="AM80" s="68"/>
      <c r="AN80" s="68"/>
      <c r="AO80" s="68"/>
      <c r="AP80" s="68"/>
      <c r="AQ80" s="68"/>
      <c r="AR80" s="69"/>
      <c r="AS80" s="67"/>
      <c r="AT80" s="68"/>
      <c r="AU80" s="68"/>
      <c r="AV80" s="68"/>
      <c r="AW80" s="68"/>
      <c r="AX80" s="68"/>
      <c r="AY80" s="69"/>
      <c r="AZ80" s="67"/>
      <c r="BA80" s="68"/>
      <c r="BB80" s="68"/>
      <c r="BC80" s="68"/>
      <c r="BD80" s="68"/>
      <c r="BE80" s="68"/>
      <c r="BF80" s="69"/>
      <c r="BG80" s="67"/>
      <c r="BH80" s="68"/>
      <c r="BI80" s="68"/>
      <c r="BJ80" s="68"/>
      <c r="BK80" s="68"/>
      <c r="BL80" s="68"/>
      <c r="BM80" s="69"/>
      <c r="BN80" s="67"/>
      <c r="BO80" s="68"/>
      <c r="BP80" s="68"/>
      <c r="BQ80" s="68"/>
      <c r="BR80" s="68"/>
      <c r="BS80" s="68"/>
      <c r="BT80" s="69"/>
      <c r="BU80" s="59"/>
      <c r="BV80" s="59"/>
      <c r="BW80" s="59"/>
      <c r="BX80" s="59"/>
      <c r="BY80" s="59"/>
      <c r="BZ80" s="59"/>
      <c r="CA80" s="59"/>
    </row>
    <row r="81" spans="1:79">
      <c r="A81" s="59"/>
      <c r="B81" s="44" t="str">
        <f t="shared" si="2"/>
        <v/>
      </c>
      <c r="C81" s="67"/>
      <c r="D81" s="68"/>
      <c r="E81" s="68"/>
      <c r="F81" s="68"/>
      <c r="G81" s="68"/>
      <c r="H81" s="68"/>
      <c r="I81" s="69"/>
      <c r="J81" s="67"/>
      <c r="K81" s="68"/>
      <c r="L81" s="68"/>
      <c r="M81" s="68"/>
      <c r="N81" s="68"/>
      <c r="O81" s="68"/>
      <c r="P81" s="69"/>
      <c r="Q81" s="67"/>
      <c r="R81" s="68"/>
      <c r="S81" s="68"/>
      <c r="T81" s="68"/>
      <c r="U81" s="68"/>
      <c r="V81" s="68"/>
      <c r="W81" s="69"/>
      <c r="X81" s="67"/>
      <c r="Y81" s="68"/>
      <c r="Z81" s="68"/>
      <c r="AA81" s="68"/>
      <c r="AB81" s="68"/>
      <c r="AC81" s="68"/>
      <c r="AD81" s="69"/>
      <c r="AE81" s="67"/>
      <c r="AF81" s="68"/>
      <c r="AG81" s="68"/>
      <c r="AH81" s="68"/>
      <c r="AI81" s="68"/>
      <c r="AJ81" s="68"/>
      <c r="AK81" s="69"/>
      <c r="AL81" s="67"/>
      <c r="AM81" s="68"/>
      <c r="AN81" s="68"/>
      <c r="AO81" s="68"/>
      <c r="AP81" s="68"/>
      <c r="AQ81" s="68"/>
      <c r="AR81" s="69"/>
      <c r="AS81" s="67"/>
      <c r="AT81" s="68"/>
      <c r="AU81" s="68"/>
      <c r="AV81" s="68"/>
      <c r="AW81" s="68"/>
      <c r="AX81" s="68"/>
      <c r="AY81" s="69"/>
      <c r="AZ81" s="67"/>
      <c r="BA81" s="68"/>
      <c r="BB81" s="68"/>
      <c r="BC81" s="68"/>
      <c r="BD81" s="68"/>
      <c r="BE81" s="68"/>
      <c r="BF81" s="69"/>
      <c r="BG81" s="67"/>
      <c r="BH81" s="68"/>
      <c r="BI81" s="68"/>
      <c r="BJ81" s="68"/>
      <c r="BK81" s="68"/>
      <c r="BL81" s="68"/>
      <c r="BM81" s="69"/>
      <c r="BN81" s="67"/>
      <c r="BO81" s="68"/>
      <c r="BP81" s="68"/>
      <c r="BQ81" s="68"/>
      <c r="BR81" s="68"/>
      <c r="BS81" s="68"/>
      <c r="BT81" s="69"/>
      <c r="BU81" s="59"/>
      <c r="BV81" s="59"/>
      <c r="BW81" s="59"/>
      <c r="BX81" s="59"/>
      <c r="BY81" s="59"/>
      <c r="BZ81" s="59"/>
      <c r="CA81" s="59"/>
    </row>
    <row r="82" spans="1:79">
      <c r="A82" s="59"/>
      <c r="B82" s="44" t="str">
        <f t="shared" si="2"/>
        <v/>
      </c>
      <c r="C82" s="67"/>
      <c r="D82" s="68"/>
      <c r="E82" s="68"/>
      <c r="F82" s="68"/>
      <c r="G82" s="68"/>
      <c r="H82" s="68"/>
      <c r="I82" s="69"/>
      <c r="J82" s="67"/>
      <c r="K82" s="68"/>
      <c r="L82" s="68"/>
      <c r="M82" s="68"/>
      <c r="N82" s="68"/>
      <c r="O82" s="68"/>
      <c r="P82" s="69"/>
      <c r="Q82" s="67"/>
      <c r="R82" s="68"/>
      <c r="S82" s="68"/>
      <c r="T82" s="68"/>
      <c r="U82" s="68"/>
      <c r="V82" s="68"/>
      <c r="W82" s="69"/>
      <c r="X82" s="67"/>
      <c r="Y82" s="68"/>
      <c r="Z82" s="68"/>
      <c r="AA82" s="68"/>
      <c r="AB82" s="68"/>
      <c r="AC82" s="68"/>
      <c r="AD82" s="69"/>
      <c r="AE82" s="67"/>
      <c r="AF82" s="68"/>
      <c r="AG82" s="68"/>
      <c r="AH82" s="68"/>
      <c r="AI82" s="68"/>
      <c r="AJ82" s="68"/>
      <c r="AK82" s="69"/>
      <c r="AL82" s="67"/>
      <c r="AM82" s="68"/>
      <c r="AN82" s="68"/>
      <c r="AO82" s="68"/>
      <c r="AP82" s="68"/>
      <c r="AQ82" s="68"/>
      <c r="AR82" s="69"/>
      <c r="AS82" s="67"/>
      <c r="AT82" s="68"/>
      <c r="AU82" s="68"/>
      <c r="AV82" s="68"/>
      <c r="AW82" s="68"/>
      <c r="AX82" s="68"/>
      <c r="AY82" s="69"/>
      <c r="AZ82" s="67"/>
      <c r="BA82" s="68"/>
      <c r="BB82" s="68"/>
      <c r="BC82" s="68"/>
      <c r="BD82" s="68"/>
      <c r="BE82" s="68"/>
      <c r="BF82" s="69"/>
      <c r="BG82" s="67"/>
      <c r="BH82" s="68"/>
      <c r="BI82" s="68"/>
      <c r="BJ82" s="68"/>
      <c r="BK82" s="68"/>
      <c r="BL82" s="68"/>
      <c r="BM82" s="69"/>
      <c r="BN82" s="67"/>
      <c r="BO82" s="68"/>
      <c r="BP82" s="68"/>
      <c r="BQ82" s="68"/>
      <c r="BR82" s="68"/>
      <c r="BS82" s="68"/>
      <c r="BT82" s="69"/>
      <c r="BU82" s="59"/>
      <c r="BV82" s="59"/>
      <c r="BW82" s="59"/>
      <c r="BX82" s="59"/>
      <c r="BY82" s="59"/>
      <c r="BZ82" s="59"/>
      <c r="CA82" s="59"/>
    </row>
    <row r="83" spans="1:79">
      <c r="A83" s="59"/>
      <c r="B83" s="44" t="str">
        <f t="shared" si="2"/>
        <v/>
      </c>
      <c r="C83" s="67"/>
      <c r="D83" s="68"/>
      <c r="E83" s="68"/>
      <c r="F83" s="68"/>
      <c r="G83" s="68"/>
      <c r="H83" s="68"/>
      <c r="I83" s="69"/>
      <c r="J83" s="67"/>
      <c r="K83" s="68"/>
      <c r="L83" s="68"/>
      <c r="M83" s="68"/>
      <c r="N83" s="68"/>
      <c r="O83" s="68"/>
      <c r="P83" s="69"/>
      <c r="Q83" s="67"/>
      <c r="R83" s="68"/>
      <c r="S83" s="68"/>
      <c r="T83" s="68"/>
      <c r="U83" s="68"/>
      <c r="V83" s="68"/>
      <c r="W83" s="69"/>
      <c r="X83" s="67"/>
      <c r="Y83" s="68"/>
      <c r="Z83" s="68"/>
      <c r="AA83" s="68"/>
      <c r="AB83" s="68"/>
      <c r="AC83" s="68"/>
      <c r="AD83" s="69"/>
      <c r="AE83" s="67"/>
      <c r="AF83" s="68"/>
      <c r="AG83" s="68"/>
      <c r="AH83" s="68"/>
      <c r="AI83" s="68"/>
      <c r="AJ83" s="68"/>
      <c r="AK83" s="69"/>
      <c r="AL83" s="67"/>
      <c r="AM83" s="68"/>
      <c r="AN83" s="68"/>
      <c r="AO83" s="68"/>
      <c r="AP83" s="68"/>
      <c r="AQ83" s="68"/>
      <c r="AR83" s="69"/>
      <c r="AS83" s="67"/>
      <c r="AT83" s="68"/>
      <c r="AU83" s="68"/>
      <c r="AV83" s="68"/>
      <c r="AW83" s="68"/>
      <c r="AX83" s="68"/>
      <c r="AY83" s="69"/>
      <c r="AZ83" s="67"/>
      <c r="BA83" s="68"/>
      <c r="BB83" s="68"/>
      <c r="BC83" s="68"/>
      <c r="BD83" s="68"/>
      <c r="BE83" s="68"/>
      <c r="BF83" s="69"/>
      <c r="BG83" s="67"/>
      <c r="BH83" s="68"/>
      <c r="BI83" s="68"/>
      <c r="BJ83" s="68"/>
      <c r="BK83" s="68"/>
      <c r="BL83" s="68"/>
      <c r="BM83" s="69"/>
      <c r="BN83" s="67"/>
      <c r="BO83" s="68"/>
      <c r="BP83" s="68"/>
      <c r="BQ83" s="68"/>
      <c r="BR83" s="68"/>
      <c r="BS83" s="68"/>
      <c r="BT83" s="69"/>
      <c r="BU83" s="59"/>
      <c r="BV83" s="59"/>
      <c r="BW83" s="59"/>
      <c r="BX83" s="59"/>
      <c r="BY83" s="59"/>
      <c r="BZ83" s="59"/>
      <c r="CA83" s="59"/>
    </row>
    <row r="84" spans="1:79">
      <c r="A84" s="59"/>
      <c r="B84" s="44" t="str">
        <f t="shared" si="2"/>
        <v/>
      </c>
      <c r="C84" s="67"/>
      <c r="D84" s="68"/>
      <c r="E84" s="68"/>
      <c r="F84" s="68"/>
      <c r="G84" s="68"/>
      <c r="H84" s="68"/>
      <c r="I84" s="69"/>
      <c r="J84" s="67"/>
      <c r="K84" s="68"/>
      <c r="L84" s="68"/>
      <c r="M84" s="68"/>
      <c r="N84" s="68"/>
      <c r="O84" s="68"/>
      <c r="P84" s="69"/>
      <c r="Q84" s="67"/>
      <c r="R84" s="68"/>
      <c r="S84" s="68"/>
      <c r="T84" s="68"/>
      <c r="U84" s="68"/>
      <c r="V84" s="68"/>
      <c r="W84" s="69"/>
      <c r="X84" s="67"/>
      <c r="Y84" s="68"/>
      <c r="Z84" s="68"/>
      <c r="AA84" s="68"/>
      <c r="AB84" s="68"/>
      <c r="AC84" s="68"/>
      <c r="AD84" s="69"/>
      <c r="AE84" s="67"/>
      <c r="AF84" s="68"/>
      <c r="AG84" s="68"/>
      <c r="AH84" s="68"/>
      <c r="AI84" s="68"/>
      <c r="AJ84" s="68"/>
      <c r="AK84" s="69"/>
      <c r="AL84" s="67"/>
      <c r="AM84" s="68"/>
      <c r="AN84" s="68"/>
      <c r="AO84" s="68"/>
      <c r="AP84" s="68"/>
      <c r="AQ84" s="68"/>
      <c r="AR84" s="69"/>
      <c r="AS84" s="67"/>
      <c r="AT84" s="68"/>
      <c r="AU84" s="68"/>
      <c r="AV84" s="68"/>
      <c r="AW84" s="68"/>
      <c r="AX84" s="68"/>
      <c r="AY84" s="69"/>
      <c r="AZ84" s="67"/>
      <c r="BA84" s="68"/>
      <c r="BB84" s="68"/>
      <c r="BC84" s="68"/>
      <c r="BD84" s="68"/>
      <c r="BE84" s="68"/>
      <c r="BF84" s="69"/>
      <c r="BG84" s="67"/>
      <c r="BH84" s="68"/>
      <c r="BI84" s="68"/>
      <c r="BJ84" s="68"/>
      <c r="BK84" s="68"/>
      <c r="BL84" s="68"/>
      <c r="BM84" s="69"/>
      <c r="BN84" s="67"/>
      <c r="BO84" s="68"/>
      <c r="BP84" s="68"/>
      <c r="BQ84" s="68"/>
      <c r="BR84" s="68"/>
      <c r="BS84" s="68"/>
      <c r="BT84" s="69"/>
      <c r="BU84" s="59"/>
      <c r="BV84" s="59"/>
      <c r="BW84" s="59"/>
      <c r="BX84" s="59"/>
      <c r="BY84" s="59"/>
      <c r="BZ84" s="59"/>
      <c r="CA84" s="59"/>
    </row>
    <row r="85" spans="1:79">
      <c r="A85" s="59"/>
      <c r="B85" s="44" t="str">
        <f t="shared" si="2"/>
        <v/>
      </c>
      <c r="C85" s="67"/>
      <c r="D85" s="68"/>
      <c r="E85" s="68"/>
      <c r="F85" s="68"/>
      <c r="G85" s="68"/>
      <c r="H85" s="68"/>
      <c r="I85" s="69"/>
      <c r="J85" s="67"/>
      <c r="K85" s="68"/>
      <c r="L85" s="68"/>
      <c r="M85" s="68"/>
      <c r="N85" s="68"/>
      <c r="O85" s="68"/>
      <c r="P85" s="69"/>
      <c r="Q85" s="67"/>
      <c r="R85" s="68"/>
      <c r="S85" s="68"/>
      <c r="T85" s="68"/>
      <c r="U85" s="68"/>
      <c r="V85" s="68"/>
      <c r="W85" s="69"/>
      <c r="X85" s="67"/>
      <c r="Y85" s="68"/>
      <c r="Z85" s="68"/>
      <c r="AA85" s="68"/>
      <c r="AB85" s="68"/>
      <c r="AC85" s="68"/>
      <c r="AD85" s="69"/>
      <c r="AE85" s="67"/>
      <c r="AF85" s="68"/>
      <c r="AG85" s="68"/>
      <c r="AH85" s="68"/>
      <c r="AI85" s="68"/>
      <c r="AJ85" s="68"/>
      <c r="AK85" s="69"/>
      <c r="AL85" s="67"/>
      <c r="AM85" s="68"/>
      <c r="AN85" s="68"/>
      <c r="AO85" s="68"/>
      <c r="AP85" s="68"/>
      <c r="AQ85" s="68"/>
      <c r="AR85" s="69"/>
      <c r="AS85" s="67"/>
      <c r="AT85" s="68"/>
      <c r="AU85" s="68"/>
      <c r="AV85" s="68"/>
      <c r="AW85" s="68"/>
      <c r="AX85" s="68"/>
      <c r="AY85" s="69"/>
      <c r="AZ85" s="67"/>
      <c r="BA85" s="68"/>
      <c r="BB85" s="68"/>
      <c r="BC85" s="68"/>
      <c r="BD85" s="68"/>
      <c r="BE85" s="68"/>
      <c r="BF85" s="69"/>
      <c r="BG85" s="67"/>
      <c r="BH85" s="68"/>
      <c r="BI85" s="68"/>
      <c r="BJ85" s="68"/>
      <c r="BK85" s="68"/>
      <c r="BL85" s="68"/>
      <c r="BM85" s="69"/>
      <c r="BN85" s="67"/>
      <c r="BO85" s="68"/>
      <c r="BP85" s="68"/>
      <c r="BQ85" s="68"/>
      <c r="BR85" s="68"/>
      <c r="BS85" s="68"/>
      <c r="BT85" s="69"/>
      <c r="BU85" s="59"/>
      <c r="BV85" s="59"/>
      <c r="BW85" s="59"/>
      <c r="BX85" s="59"/>
      <c r="BY85" s="59"/>
      <c r="BZ85" s="59"/>
      <c r="CA85" s="59"/>
    </row>
    <row r="86" spans="1:79">
      <c r="A86" s="59"/>
      <c r="B86" s="44" t="str">
        <f t="shared" si="2"/>
        <v/>
      </c>
      <c r="C86" s="67"/>
      <c r="D86" s="68"/>
      <c r="E86" s="68"/>
      <c r="F86" s="68"/>
      <c r="G86" s="68"/>
      <c r="H86" s="68"/>
      <c r="I86" s="69"/>
      <c r="J86" s="67"/>
      <c r="K86" s="68"/>
      <c r="L86" s="68"/>
      <c r="M86" s="68"/>
      <c r="N86" s="68"/>
      <c r="O86" s="68"/>
      <c r="P86" s="69"/>
      <c r="Q86" s="67"/>
      <c r="R86" s="68"/>
      <c r="S86" s="68"/>
      <c r="T86" s="68"/>
      <c r="U86" s="68"/>
      <c r="V86" s="68"/>
      <c r="W86" s="69"/>
      <c r="X86" s="67"/>
      <c r="Y86" s="68"/>
      <c r="Z86" s="68"/>
      <c r="AA86" s="68"/>
      <c r="AB86" s="68"/>
      <c r="AC86" s="68"/>
      <c r="AD86" s="69"/>
      <c r="AE86" s="67"/>
      <c r="AF86" s="68"/>
      <c r="AG86" s="68"/>
      <c r="AH86" s="68"/>
      <c r="AI86" s="68"/>
      <c r="AJ86" s="68"/>
      <c r="AK86" s="69"/>
      <c r="AL86" s="67"/>
      <c r="AM86" s="68"/>
      <c r="AN86" s="68"/>
      <c r="AO86" s="68"/>
      <c r="AP86" s="68"/>
      <c r="AQ86" s="68"/>
      <c r="AR86" s="69"/>
      <c r="AS86" s="67"/>
      <c r="AT86" s="68"/>
      <c r="AU86" s="68"/>
      <c r="AV86" s="68"/>
      <c r="AW86" s="68"/>
      <c r="AX86" s="68"/>
      <c r="AY86" s="69"/>
      <c r="AZ86" s="67"/>
      <c r="BA86" s="68"/>
      <c r="BB86" s="68"/>
      <c r="BC86" s="68"/>
      <c r="BD86" s="68"/>
      <c r="BE86" s="68"/>
      <c r="BF86" s="69"/>
      <c r="BG86" s="67"/>
      <c r="BH86" s="68"/>
      <c r="BI86" s="68"/>
      <c r="BJ86" s="68"/>
      <c r="BK86" s="68"/>
      <c r="BL86" s="68"/>
      <c r="BM86" s="69"/>
      <c r="BN86" s="67"/>
      <c r="BO86" s="68"/>
      <c r="BP86" s="68"/>
      <c r="BQ86" s="68"/>
      <c r="BR86" s="68"/>
      <c r="BS86" s="68"/>
      <c r="BT86" s="69"/>
      <c r="BU86" s="59"/>
      <c r="BV86" s="59"/>
      <c r="BW86" s="59"/>
      <c r="BX86" s="59"/>
      <c r="BY86" s="59"/>
      <c r="BZ86" s="59"/>
      <c r="CA86" s="59"/>
    </row>
    <row r="87" spans="1:79">
      <c r="A87" s="59"/>
      <c r="B87" s="44" t="str">
        <f t="shared" si="2"/>
        <v/>
      </c>
      <c r="C87" s="67"/>
      <c r="D87" s="68"/>
      <c r="E87" s="68"/>
      <c r="F87" s="68"/>
      <c r="G87" s="68"/>
      <c r="H87" s="68"/>
      <c r="I87" s="69"/>
      <c r="J87" s="67"/>
      <c r="K87" s="68"/>
      <c r="L87" s="68"/>
      <c r="M87" s="68"/>
      <c r="N87" s="68"/>
      <c r="O87" s="68"/>
      <c r="P87" s="69"/>
      <c r="Q87" s="67"/>
      <c r="R87" s="68"/>
      <c r="S87" s="68"/>
      <c r="T87" s="68"/>
      <c r="U87" s="68"/>
      <c r="V87" s="68"/>
      <c r="W87" s="69"/>
      <c r="X87" s="67"/>
      <c r="Y87" s="68"/>
      <c r="Z87" s="68"/>
      <c r="AA87" s="68"/>
      <c r="AB87" s="68"/>
      <c r="AC87" s="68"/>
      <c r="AD87" s="69"/>
      <c r="AE87" s="67"/>
      <c r="AF87" s="68"/>
      <c r="AG87" s="68"/>
      <c r="AH87" s="68"/>
      <c r="AI87" s="68"/>
      <c r="AJ87" s="68"/>
      <c r="AK87" s="69"/>
      <c r="AL87" s="67"/>
      <c r="AM87" s="68"/>
      <c r="AN87" s="68"/>
      <c r="AO87" s="68"/>
      <c r="AP87" s="68"/>
      <c r="AQ87" s="68"/>
      <c r="AR87" s="69"/>
      <c r="AS87" s="67"/>
      <c r="AT87" s="68"/>
      <c r="AU87" s="68"/>
      <c r="AV87" s="68"/>
      <c r="AW87" s="68"/>
      <c r="AX87" s="68"/>
      <c r="AY87" s="69"/>
      <c r="AZ87" s="67"/>
      <c r="BA87" s="68"/>
      <c r="BB87" s="68"/>
      <c r="BC87" s="68"/>
      <c r="BD87" s="68"/>
      <c r="BE87" s="68"/>
      <c r="BF87" s="69"/>
      <c r="BG87" s="67"/>
      <c r="BH87" s="68"/>
      <c r="BI87" s="68"/>
      <c r="BJ87" s="68"/>
      <c r="BK87" s="68"/>
      <c r="BL87" s="68"/>
      <c r="BM87" s="69"/>
      <c r="BN87" s="67"/>
      <c r="BO87" s="68"/>
      <c r="BP87" s="68"/>
      <c r="BQ87" s="68"/>
      <c r="BR87" s="68"/>
      <c r="BS87" s="68"/>
      <c r="BT87" s="69"/>
      <c r="BU87" s="59"/>
      <c r="BV87" s="59"/>
      <c r="BW87" s="59"/>
      <c r="BX87" s="59"/>
      <c r="BY87" s="59"/>
      <c r="BZ87" s="59"/>
      <c r="CA87" s="59"/>
    </row>
    <row r="88" spans="1:79">
      <c r="A88" s="59"/>
      <c r="B88" s="44" t="str">
        <f t="shared" si="2"/>
        <v/>
      </c>
      <c r="C88" s="67"/>
      <c r="D88" s="68"/>
      <c r="E88" s="68"/>
      <c r="F88" s="68"/>
      <c r="G88" s="68"/>
      <c r="H88" s="68"/>
      <c r="I88" s="69"/>
      <c r="J88" s="67"/>
      <c r="K88" s="68"/>
      <c r="L88" s="68"/>
      <c r="M88" s="68"/>
      <c r="N88" s="68"/>
      <c r="O88" s="68"/>
      <c r="P88" s="69"/>
      <c r="Q88" s="67"/>
      <c r="R88" s="68"/>
      <c r="S88" s="68"/>
      <c r="T88" s="68"/>
      <c r="U88" s="68"/>
      <c r="V88" s="68"/>
      <c r="W88" s="69"/>
      <c r="X88" s="67"/>
      <c r="Y88" s="68"/>
      <c r="Z88" s="68"/>
      <c r="AA88" s="68"/>
      <c r="AB88" s="68"/>
      <c r="AC88" s="68"/>
      <c r="AD88" s="69"/>
      <c r="AE88" s="67"/>
      <c r="AF88" s="68"/>
      <c r="AG88" s="68"/>
      <c r="AH88" s="68"/>
      <c r="AI88" s="68"/>
      <c r="AJ88" s="68"/>
      <c r="AK88" s="69"/>
      <c r="AL88" s="67"/>
      <c r="AM88" s="68"/>
      <c r="AN88" s="68"/>
      <c r="AO88" s="68"/>
      <c r="AP88" s="68"/>
      <c r="AQ88" s="68"/>
      <c r="AR88" s="69"/>
      <c r="AS88" s="67"/>
      <c r="AT88" s="68"/>
      <c r="AU88" s="68"/>
      <c r="AV88" s="68"/>
      <c r="AW88" s="68"/>
      <c r="AX88" s="68"/>
      <c r="AY88" s="69"/>
      <c r="AZ88" s="67"/>
      <c r="BA88" s="68"/>
      <c r="BB88" s="68"/>
      <c r="BC88" s="68"/>
      <c r="BD88" s="68"/>
      <c r="BE88" s="68"/>
      <c r="BF88" s="69"/>
      <c r="BG88" s="67"/>
      <c r="BH88" s="68"/>
      <c r="BI88" s="68"/>
      <c r="BJ88" s="68"/>
      <c r="BK88" s="68"/>
      <c r="BL88" s="68"/>
      <c r="BM88" s="69"/>
      <c r="BN88" s="67"/>
      <c r="BO88" s="68"/>
      <c r="BP88" s="68"/>
      <c r="BQ88" s="68"/>
      <c r="BR88" s="68"/>
      <c r="BS88" s="68"/>
      <c r="BT88" s="69"/>
      <c r="BU88" s="59"/>
      <c r="BV88" s="59"/>
      <c r="BW88" s="59"/>
      <c r="BX88" s="59"/>
      <c r="BY88" s="59"/>
      <c r="BZ88" s="59"/>
      <c r="CA88" s="59"/>
    </row>
    <row r="89" spans="1:79">
      <c r="A89" s="59"/>
      <c r="B89" s="44" t="str">
        <f t="shared" si="2"/>
        <v/>
      </c>
      <c r="C89" s="67"/>
      <c r="D89" s="68"/>
      <c r="E89" s="68"/>
      <c r="F89" s="68"/>
      <c r="G89" s="68"/>
      <c r="H89" s="68"/>
      <c r="I89" s="69"/>
      <c r="J89" s="67"/>
      <c r="K89" s="68"/>
      <c r="L89" s="68"/>
      <c r="M89" s="68"/>
      <c r="N89" s="68"/>
      <c r="O89" s="68"/>
      <c r="P89" s="69"/>
      <c r="Q89" s="67"/>
      <c r="R89" s="68"/>
      <c r="S89" s="68"/>
      <c r="T89" s="68"/>
      <c r="U89" s="68"/>
      <c r="V89" s="68"/>
      <c r="W89" s="69"/>
      <c r="X89" s="67"/>
      <c r="Y89" s="68"/>
      <c r="Z89" s="68"/>
      <c r="AA89" s="68"/>
      <c r="AB89" s="68"/>
      <c r="AC89" s="68"/>
      <c r="AD89" s="69"/>
      <c r="AE89" s="67"/>
      <c r="AF89" s="68"/>
      <c r="AG89" s="68"/>
      <c r="AH89" s="68"/>
      <c r="AI89" s="68"/>
      <c r="AJ89" s="68"/>
      <c r="AK89" s="69"/>
      <c r="AL89" s="67"/>
      <c r="AM89" s="68"/>
      <c r="AN89" s="68"/>
      <c r="AO89" s="68"/>
      <c r="AP89" s="68"/>
      <c r="AQ89" s="68"/>
      <c r="AR89" s="69"/>
      <c r="AS89" s="67"/>
      <c r="AT89" s="68"/>
      <c r="AU89" s="68"/>
      <c r="AV89" s="68"/>
      <c r="AW89" s="68"/>
      <c r="AX89" s="68"/>
      <c r="AY89" s="69"/>
      <c r="AZ89" s="67"/>
      <c r="BA89" s="68"/>
      <c r="BB89" s="68"/>
      <c r="BC89" s="68"/>
      <c r="BD89" s="68"/>
      <c r="BE89" s="68"/>
      <c r="BF89" s="69"/>
      <c r="BG89" s="67"/>
      <c r="BH89" s="68"/>
      <c r="BI89" s="68"/>
      <c r="BJ89" s="68"/>
      <c r="BK89" s="68"/>
      <c r="BL89" s="68"/>
      <c r="BM89" s="69"/>
      <c r="BN89" s="67"/>
      <c r="BO89" s="68"/>
      <c r="BP89" s="68"/>
      <c r="BQ89" s="68"/>
      <c r="BR89" s="68"/>
      <c r="BS89" s="68"/>
      <c r="BT89" s="69"/>
      <c r="BU89" s="59"/>
      <c r="BV89" s="59"/>
      <c r="BW89" s="59"/>
      <c r="BX89" s="59"/>
      <c r="BY89" s="59"/>
      <c r="BZ89" s="59"/>
      <c r="CA89" s="59"/>
    </row>
    <row r="90" spans="1:79">
      <c r="A90" s="59"/>
      <c r="B90" s="44" t="str">
        <f t="shared" si="2"/>
        <v/>
      </c>
      <c r="C90" s="67"/>
      <c r="D90" s="68"/>
      <c r="E90" s="68"/>
      <c r="F90" s="68"/>
      <c r="G90" s="68"/>
      <c r="H90" s="68"/>
      <c r="I90" s="69"/>
      <c r="J90" s="67"/>
      <c r="K90" s="68"/>
      <c r="L90" s="68"/>
      <c r="M90" s="68"/>
      <c r="N90" s="68"/>
      <c r="O90" s="68"/>
      <c r="P90" s="69"/>
      <c r="Q90" s="67"/>
      <c r="R90" s="68"/>
      <c r="S90" s="68"/>
      <c r="T90" s="68"/>
      <c r="U90" s="68"/>
      <c r="V90" s="68"/>
      <c r="W90" s="69"/>
      <c r="X90" s="67"/>
      <c r="Y90" s="68"/>
      <c r="Z90" s="68"/>
      <c r="AA90" s="68"/>
      <c r="AB90" s="68"/>
      <c r="AC90" s="68"/>
      <c r="AD90" s="69"/>
      <c r="AE90" s="67"/>
      <c r="AF90" s="68"/>
      <c r="AG90" s="68"/>
      <c r="AH90" s="68"/>
      <c r="AI90" s="68"/>
      <c r="AJ90" s="68"/>
      <c r="AK90" s="69"/>
      <c r="AL90" s="67"/>
      <c r="AM90" s="68"/>
      <c r="AN90" s="68"/>
      <c r="AO90" s="68"/>
      <c r="AP90" s="68"/>
      <c r="AQ90" s="68"/>
      <c r="AR90" s="69"/>
      <c r="AS90" s="67"/>
      <c r="AT90" s="68"/>
      <c r="AU90" s="68"/>
      <c r="AV90" s="68"/>
      <c r="AW90" s="68"/>
      <c r="AX90" s="68"/>
      <c r="AY90" s="69"/>
      <c r="AZ90" s="67"/>
      <c r="BA90" s="68"/>
      <c r="BB90" s="68"/>
      <c r="BC90" s="68"/>
      <c r="BD90" s="68"/>
      <c r="BE90" s="68"/>
      <c r="BF90" s="69"/>
      <c r="BG90" s="67"/>
      <c r="BH90" s="68"/>
      <c r="BI90" s="68"/>
      <c r="BJ90" s="68"/>
      <c r="BK90" s="68"/>
      <c r="BL90" s="68"/>
      <c r="BM90" s="69"/>
      <c r="BN90" s="67"/>
      <c r="BO90" s="68"/>
      <c r="BP90" s="68"/>
      <c r="BQ90" s="68"/>
      <c r="BR90" s="68"/>
      <c r="BS90" s="68"/>
      <c r="BT90" s="69"/>
      <c r="BU90" s="59"/>
      <c r="BV90" s="59"/>
      <c r="BW90" s="59"/>
      <c r="BX90" s="59"/>
      <c r="BY90" s="59"/>
      <c r="BZ90" s="59"/>
      <c r="CA90" s="59"/>
    </row>
    <row r="91" spans="1:79">
      <c r="A91" s="59"/>
      <c r="B91" s="44" t="str">
        <f t="shared" si="2"/>
        <v/>
      </c>
      <c r="C91" s="67"/>
      <c r="D91" s="68"/>
      <c r="E91" s="68"/>
      <c r="F91" s="68"/>
      <c r="G91" s="68"/>
      <c r="H91" s="68"/>
      <c r="I91" s="69"/>
      <c r="J91" s="67"/>
      <c r="K91" s="68"/>
      <c r="L91" s="68"/>
      <c r="M91" s="68"/>
      <c r="N91" s="68"/>
      <c r="O91" s="68"/>
      <c r="P91" s="69"/>
      <c r="Q91" s="67"/>
      <c r="R91" s="68"/>
      <c r="S91" s="68"/>
      <c r="T91" s="68"/>
      <c r="U91" s="68"/>
      <c r="V91" s="68"/>
      <c r="W91" s="69"/>
      <c r="X91" s="67"/>
      <c r="Y91" s="68"/>
      <c r="Z91" s="68"/>
      <c r="AA91" s="68"/>
      <c r="AB91" s="68"/>
      <c r="AC91" s="68"/>
      <c r="AD91" s="69"/>
      <c r="AE91" s="67"/>
      <c r="AF91" s="68"/>
      <c r="AG91" s="68"/>
      <c r="AH91" s="68"/>
      <c r="AI91" s="68"/>
      <c r="AJ91" s="68"/>
      <c r="AK91" s="69"/>
      <c r="AL91" s="67"/>
      <c r="AM91" s="68"/>
      <c r="AN91" s="68"/>
      <c r="AO91" s="68"/>
      <c r="AP91" s="68"/>
      <c r="AQ91" s="68"/>
      <c r="AR91" s="69"/>
      <c r="AS91" s="67"/>
      <c r="AT91" s="68"/>
      <c r="AU91" s="68"/>
      <c r="AV91" s="68"/>
      <c r="AW91" s="68"/>
      <c r="AX91" s="68"/>
      <c r="AY91" s="69"/>
      <c r="AZ91" s="67"/>
      <c r="BA91" s="68"/>
      <c r="BB91" s="68"/>
      <c r="BC91" s="68"/>
      <c r="BD91" s="68"/>
      <c r="BE91" s="68"/>
      <c r="BF91" s="69"/>
      <c r="BG91" s="67"/>
      <c r="BH91" s="68"/>
      <c r="BI91" s="68"/>
      <c r="BJ91" s="68"/>
      <c r="BK91" s="68"/>
      <c r="BL91" s="68"/>
      <c r="BM91" s="69"/>
      <c r="BN91" s="67"/>
      <c r="BO91" s="68"/>
      <c r="BP91" s="68"/>
      <c r="BQ91" s="68"/>
      <c r="BR91" s="68"/>
      <c r="BS91" s="68"/>
      <c r="BT91" s="69"/>
      <c r="BU91" s="59"/>
      <c r="BV91" s="59"/>
      <c r="BW91" s="59"/>
      <c r="BX91" s="59"/>
      <c r="BY91" s="59"/>
      <c r="BZ91" s="59"/>
      <c r="CA91" s="59"/>
    </row>
    <row r="92" spans="1:79">
      <c r="A92" s="59"/>
      <c r="B92" s="44" t="str">
        <f t="shared" si="2"/>
        <v/>
      </c>
      <c r="C92" s="67"/>
      <c r="D92" s="68"/>
      <c r="E92" s="68"/>
      <c r="F92" s="68"/>
      <c r="G92" s="68"/>
      <c r="H92" s="68"/>
      <c r="I92" s="69"/>
      <c r="J92" s="67"/>
      <c r="K92" s="68"/>
      <c r="L92" s="68"/>
      <c r="M92" s="68"/>
      <c r="N92" s="68"/>
      <c r="O92" s="68"/>
      <c r="P92" s="69"/>
      <c r="Q92" s="67"/>
      <c r="R92" s="68"/>
      <c r="S92" s="68"/>
      <c r="T92" s="68"/>
      <c r="U92" s="68"/>
      <c r="V92" s="68"/>
      <c r="W92" s="69"/>
      <c r="X92" s="67"/>
      <c r="Y92" s="68"/>
      <c r="Z92" s="68"/>
      <c r="AA92" s="68"/>
      <c r="AB92" s="68"/>
      <c r="AC92" s="68"/>
      <c r="AD92" s="69"/>
      <c r="AE92" s="67"/>
      <c r="AF92" s="68"/>
      <c r="AG92" s="68"/>
      <c r="AH92" s="68"/>
      <c r="AI92" s="68"/>
      <c r="AJ92" s="68"/>
      <c r="AK92" s="69"/>
      <c r="AL92" s="67"/>
      <c r="AM92" s="68"/>
      <c r="AN92" s="68"/>
      <c r="AO92" s="68"/>
      <c r="AP92" s="68"/>
      <c r="AQ92" s="68"/>
      <c r="AR92" s="69"/>
      <c r="AS92" s="67"/>
      <c r="AT92" s="68"/>
      <c r="AU92" s="68"/>
      <c r="AV92" s="68"/>
      <c r="AW92" s="68"/>
      <c r="AX92" s="68"/>
      <c r="AY92" s="69"/>
      <c r="AZ92" s="67"/>
      <c r="BA92" s="68"/>
      <c r="BB92" s="68"/>
      <c r="BC92" s="68"/>
      <c r="BD92" s="68"/>
      <c r="BE92" s="68"/>
      <c r="BF92" s="69"/>
      <c r="BG92" s="67"/>
      <c r="BH92" s="68"/>
      <c r="BI92" s="68"/>
      <c r="BJ92" s="68"/>
      <c r="BK92" s="68"/>
      <c r="BL92" s="68"/>
      <c r="BM92" s="69"/>
      <c r="BN92" s="67"/>
      <c r="BO92" s="68"/>
      <c r="BP92" s="68"/>
      <c r="BQ92" s="68"/>
      <c r="BR92" s="68"/>
      <c r="BS92" s="68"/>
      <c r="BT92" s="69"/>
      <c r="BU92" s="59"/>
      <c r="BV92" s="59"/>
      <c r="BW92" s="59"/>
      <c r="BX92" s="59"/>
      <c r="BY92" s="59"/>
      <c r="BZ92" s="59"/>
      <c r="CA92" s="59"/>
    </row>
    <row r="93" spans="1:79">
      <c r="A93" s="59"/>
      <c r="B93" s="44" t="str">
        <f t="shared" si="2"/>
        <v/>
      </c>
      <c r="C93" s="67"/>
      <c r="D93" s="68"/>
      <c r="E93" s="68"/>
      <c r="F93" s="68"/>
      <c r="G93" s="68"/>
      <c r="H93" s="68"/>
      <c r="I93" s="69"/>
      <c r="J93" s="67"/>
      <c r="K93" s="68"/>
      <c r="L93" s="68"/>
      <c r="M93" s="68"/>
      <c r="N93" s="68"/>
      <c r="O93" s="68"/>
      <c r="P93" s="69"/>
      <c r="Q93" s="67"/>
      <c r="R93" s="68"/>
      <c r="S93" s="68"/>
      <c r="T93" s="68"/>
      <c r="U93" s="68"/>
      <c r="V93" s="68"/>
      <c r="W93" s="69"/>
      <c r="X93" s="67"/>
      <c r="Y93" s="68"/>
      <c r="Z93" s="68"/>
      <c r="AA93" s="68"/>
      <c r="AB93" s="68"/>
      <c r="AC93" s="68"/>
      <c r="AD93" s="69"/>
      <c r="AE93" s="67"/>
      <c r="AF93" s="68"/>
      <c r="AG93" s="68"/>
      <c r="AH93" s="68"/>
      <c r="AI93" s="68"/>
      <c r="AJ93" s="68"/>
      <c r="AK93" s="69"/>
      <c r="AL93" s="67"/>
      <c r="AM93" s="68"/>
      <c r="AN93" s="68"/>
      <c r="AO93" s="68"/>
      <c r="AP93" s="68"/>
      <c r="AQ93" s="68"/>
      <c r="AR93" s="69"/>
      <c r="AS93" s="67"/>
      <c r="AT93" s="68"/>
      <c r="AU93" s="68"/>
      <c r="AV93" s="68"/>
      <c r="AW93" s="68"/>
      <c r="AX93" s="68"/>
      <c r="AY93" s="69"/>
      <c r="AZ93" s="67"/>
      <c r="BA93" s="68"/>
      <c r="BB93" s="68"/>
      <c r="BC93" s="68"/>
      <c r="BD93" s="68"/>
      <c r="BE93" s="68"/>
      <c r="BF93" s="69"/>
      <c r="BG93" s="67"/>
      <c r="BH93" s="68"/>
      <c r="BI93" s="68"/>
      <c r="BJ93" s="68"/>
      <c r="BK93" s="68"/>
      <c r="BL93" s="68"/>
      <c r="BM93" s="69"/>
      <c r="BN93" s="67"/>
      <c r="BO93" s="68"/>
      <c r="BP93" s="68"/>
      <c r="BQ93" s="68"/>
      <c r="BR93" s="68"/>
      <c r="BS93" s="68"/>
      <c r="BT93" s="69"/>
      <c r="BU93" s="59"/>
      <c r="BV93" s="59"/>
      <c r="BW93" s="59"/>
      <c r="BX93" s="59"/>
      <c r="BY93" s="59"/>
      <c r="BZ93" s="59"/>
      <c r="CA93" s="59"/>
    </row>
    <row r="94" spans="1:79">
      <c r="A94" s="59"/>
      <c r="B94" s="44" t="str">
        <f t="shared" si="2"/>
        <v/>
      </c>
      <c r="C94" s="67"/>
      <c r="D94" s="68"/>
      <c r="E94" s="68"/>
      <c r="F94" s="68"/>
      <c r="G94" s="68"/>
      <c r="H94" s="68"/>
      <c r="I94" s="69"/>
      <c r="J94" s="67"/>
      <c r="K94" s="68"/>
      <c r="L94" s="68"/>
      <c r="M94" s="68"/>
      <c r="N94" s="68"/>
      <c r="O94" s="68"/>
      <c r="P94" s="69"/>
      <c r="Q94" s="67"/>
      <c r="R94" s="68"/>
      <c r="S94" s="68"/>
      <c r="T94" s="68"/>
      <c r="U94" s="68"/>
      <c r="V94" s="68"/>
      <c r="W94" s="69"/>
      <c r="X94" s="67"/>
      <c r="Y94" s="68"/>
      <c r="Z94" s="68"/>
      <c r="AA94" s="68"/>
      <c r="AB94" s="68"/>
      <c r="AC94" s="68"/>
      <c r="AD94" s="69"/>
      <c r="AE94" s="67"/>
      <c r="AF94" s="68"/>
      <c r="AG94" s="68"/>
      <c r="AH94" s="68"/>
      <c r="AI94" s="68"/>
      <c r="AJ94" s="68"/>
      <c r="AK94" s="69"/>
      <c r="AL94" s="67"/>
      <c r="AM94" s="68"/>
      <c r="AN94" s="68"/>
      <c r="AO94" s="68"/>
      <c r="AP94" s="68"/>
      <c r="AQ94" s="68"/>
      <c r="AR94" s="69"/>
      <c r="AS94" s="67"/>
      <c r="AT94" s="68"/>
      <c r="AU94" s="68"/>
      <c r="AV94" s="68"/>
      <c r="AW94" s="68"/>
      <c r="AX94" s="68"/>
      <c r="AY94" s="69"/>
      <c r="AZ94" s="67"/>
      <c r="BA94" s="68"/>
      <c r="BB94" s="68"/>
      <c r="BC94" s="68"/>
      <c r="BD94" s="68"/>
      <c r="BE94" s="68"/>
      <c r="BF94" s="69"/>
      <c r="BG94" s="67"/>
      <c r="BH94" s="68"/>
      <c r="BI94" s="68"/>
      <c r="BJ94" s="68"/>
      <c r="BK94" s="68"/>
      <c r="BL94" s="68"/>
      <c r="BM94" s="69"/>
      <c r="BN94" s="67"/>
      <c r="BO94" s="68"/>
      <c r="BP94" s="68"/>
      <c r="BQ94" s="68"/>
      <c r="BR94" s="68"/>
      <c r="BS94" s="68"/>
      <c r="BT94" s="69"/>
      <c r="BU94" s="59"/>
      <c r="BV94" s="59"/>
      <c r="BW94" s="59"/>
      <c r="BX94" s="59"/>
      <c r="BY94" s="59"/>
      <c r="BZ94" s="59"/>
      <c r="CA94" s="59"/>
    </row>
    <row r="95" spans="1:79">
      <c r="A95" s="59"/>
      <c r="B95" s="44" t="str">
        <f t="shared" si="2"/>
        <v/>
      </c>
      <c r="C95" s="67"/>
      <c r="D95" s="68"/>
      <c r="E95" s="68"/>
      <c r="F95" s="68"/>
      <c r="G95" s="68"/>
      <c r="H95" s="68"/>
      <c r="I95" s="69"/>
      <c r="J95" s="67"/>
      <c r="K95" s="68"/>
      <c r="L95" s="68"/>
      <c r="M95" s="68"/>
      <c r="N95" s="68"/>
      <c r="O95" s="68"/>
      <c r="P95" s="69"/>
      <c r="Q95" s="67"/>
      <c r="R95" s="68"/>
      <c r="S95" s="68"/>
      <c r="T95" s="68"/>
      <c r="U95" s="68"/>
      <c r="V95" s="68"/>
      <c r="W95" s="69"/>
      <c r="X95" s="67"/>
      <c r="Y95" s="68"/>
      <c r="Z95" s="68"/>
      <c r="AA95" s="68"/>
      <c r="AB95" s="68"/>
      <c r="AC95" s="68"/>
      <c r="AD95" s="69"/>
      <c r="AE95" s="67"/>
      <c r="AF95" s="68"/>
      <c r="AG95" s="68"/>
      <c r="AH95" s="68"/>
      <c r="AI95" s="68"/>
      <c r="AJ95" s="68"/>
      <c r="AK95" s="69"/>
      <c r="AL95" s="67"/>
      <c r="AM95" s="68"/>
      <c r="AN95" s="68"/>
      <c r="AO95" s="68"/>
      <c r="AP95" s="68"/>
      <c r="AQ95" s="68"/>
      <c r="AR95" s="69"/>
      <c r="AS95" s="67"/>
      <c r="AT95" s="68"/>
      <c r="AU95" s="68"/>
      <c r="AV95" s="68"/>
      <c r="AW95" s="68"/>
      <c r="AX95" s="68"/>
      <c r="AY95" s="69"/>
      <c r="AZ95" s="67"/>
      <c r="BA95" s="68"/>
      <c r="BB95" s="68"/>
      <c r="BC95" s="68"/>
      <c r="BD95" s="68"/>
      <c r="BE95" s="68"/>
      <c r="BF95" s="69"/>
      <c r="BG95" s="67"/>
      <c r="BH95" s="68"/>
      <c r="BI95" s="68"/>
      <c r="BJ95" s="68"/>
      <c r="BK95" s="68"/>
      <c r="BL95" s="68"/>
      <c r="BM95" s="69"/>
      <c r="BN95" s="67"/>
      <c r="BO95" s="68"/>
      <c r="BP95" s="68"/>
      <c r="BQ95" s="68"/>
      <c r="BR95" s="68"/>
      <c r="BS95" s="68"/>
      <c r="BT95" s="69"/>
      <c r="BU95" s="59"/>
      <c r="BV95" s="59"/>
      <c r="BW95" s="59"/>
      <c r="BX95" s="59"/>
      <c r="BY95" s="59"/>
      <c r="BZ95" s="59"/>
      <c r="CA95" s="59"/>
    </row>
    <row r="96" spans="1:79">
      <c r="A96" s="59"/>
      <c r="B96" s="44" t="str">
        <f t="shared" si="2"/>
        <v/>
      </c>
      <c r="C96" s="67"/>
      <c r="D96" s="68"/>
      <c r="E96" s="68"/>
      <c r="F96" s="68"/>
      <c r="G96" s="68"/>
      <c r="H96" s="68"/>
      <c r="I96" s="69"/>
      <c r="J96" s="67"/>
      <c r="K96" s="68"/>
      <c r="L96" s="68"/>
      <c r="M96" s="68"/>
      <c r="N96" s="68"/>
      <c r="O96" s="68"/>
      <c r="P96" s="69"/>
      <c r="Q96" s="67"/>
      <c r="R96" s="68"/>
      <c r="S96" s="68"/>
      <c r="T96" s="68"/>
      <c r="U96" s="68"/>
      <c r="V96" s="68"/>
      <c r="W96" s="69"/>
      <c r="X96" s="67"/>
      <c r="Y96" s="68"/>
      <c r="Z96" s="68"/>
      <c r="AA96" s="68"/>
      <c r="AB96" s="68"/>
      <c r="AC96" s="68"/>
      <c r="AD96" s="69"/>
      <c r="AE96" s="67"/>
      <c r="AF96" s="68"/>
      <c r="AG96" s="68"/>
      <c r="AH96" s="68"/>
      <c r="AI96" s="68"/>
      <c r="AJ96" s="68"/>
      <c r="AK96" s="69"/>
      <c r="AL96" s="67"/>
      <c r="AM96" s="68"/>
      <c r="AN96" s="68"/>
      <c r="AO96" s="68"/>
      <c r="AP96" s="68"/>
      <c r="AQ96" s="68"/>
      <c r="AR96" s="69"/>
      <c r="AS96" s="67"/>
      <c r="AT96" s="68"/>
      <c r="AU96" s="68"/>
      <c r="AV96" s="68"/>
      <c r="AW96" s="68"/>
      <c r="AX96" s="68"/>
      <c r="AY96" s="69"/>
      <c r="AZ96" s="67"/>
      <c r="BA96" s="68"/>
      <c r="BB96" s="68"/>
      <c r="BC96" s="68"/>
      <c r="BD96" s="68"/>
      <c r="BE96" s="68"/>
      <c r="BF96" s="69"/>
      <c r="BG96" s="67"/>
      <c r="BH96" s="68"/>
      <c r="BI96" s="68"/>
      <c r="BJ96" s="68"/>
      <c r="BK96" s="68"/>
      <c r="BL96" s="68"/>
      <c r="BM96" s="69"/>
      <c r="BN96" s="67"/>
      <c r="BO96" s="68"/>
      <c r="BP96" s="68"/>
      <c r="BQ96" s="68"/>
      <c r="BR96" s="68"/>
      <c r="BS96" s="68"/>
      <c r="BT96" s="69"/>
      <c r="BU96" s="59"/>
      <c r="BV96" s="59"/>
      <c r="BW96" s="59"/>
      <c r="BX96" s="59"/>
      <c r="BY96" s="59"/>
      <c r="BZ96" s="59"/>
      <c r="CA96" s="59"/>
    </row>
    <row r="97" spans="1:79">
      <c r="A97" s="59"/>
      <c r="B97" s="44" t="str">
        <f t="shared" si="2"/>
        <v/>
      </c>
      <c r="C97" s="67"/>
      <c r="D97" s="68"/>
      <c r="E97" s="68"/>
      <c r="F97" s="68"/>
      <c r="G97" s="68"/>
      <c r="H97" s="68"/>
      <c r="I97" s="69"/>
      <c r="J97" s="67"/>
      <c r="K97" s="68"/>
      <c r="L97" s="68"/>
      <c r="M97" s="68"/>
      <c r="N97" s="68"/>
      <c r="O97" s="68"/>
      <c r="P97" s="69"/>
      <c r="Q97" s="67"/>
      <c r="R97" s="68"/>
      <c r="S97" s="68"/>
      <c r="T97" s="68"/>
      <c r="U97" s="68"/>
      <c r="V97" s="68"/>
      <c r="W97" s="69"/>
      <c r="X97" s="67"/>
      <c r="Y97" s="68"/>
      <c r="Z97" s="68"/>
      <c r="AA97" s="68"/>
      <c r="AB97" s="68"/>
      <c r="AC97" s="68"/>
      <c r="AD97" s="69"/>
      <c r="AE97" s="67"/>
      <c r="AF97" s="68"/>
      <c r="AG97" s="68"/>
      <c r="AH97" s="68"/>
      <c r="AI97" s="68"/>
      <c r="AJ97" s="68"/>
      <c r="AK97" s="69"/>
      <c r="AL97" s="67"/>
      <c r="AM97" s="68"/>
      <c r="AN97" s="68"/>
      <c r="AO97" s="68"/>
      <c r="AP97" s="68"/>
      <c r="AQ97" s="68"/>
      <c r="AR97" s="69"/>
      <c r="AS97" s="67"/>
      <c r="AT97" s="68"/>
      <c r="AU97" s="68"/>
      <c r="AV97" s="68"/>
      <c r="AW97" s="68"/>
      <c r="AX97" s="68"/>
      <c r="AY97" s="69"/>
      <c r="AZ97" s="67"/>
      <c r="BA97" s="68"/>
      <c r="BB97" s="68"/>
      <c r="BC97" s="68"/>
      <c r="BD97" s="68"/>
      <c r="BE97" s="68"/>
      <c r="BF97" s="69"/>
      <c r="BG97" s="67"/>
      <c r="BH97" s="68"/>
      <c r="BI97" s="68"/>
      <c r="BJ97" s="68"/>
      <c r="BK97" s="68"/>
      <c r="BL97" s="68"/>
      <c r="BM97" s="69"/>
      <c r="BN97" s="67"/>
      <c r="BO97" s="68"/>
      <c r="BP97" s="68"/>
      <c r="BQ97" s="68"/>
      <c r="BR97" s="68"/>
      <c r="BS97" s="68"/>
      <c r="BT97" s="69"/>
      <c r="BU97" s="59"/>
      <c r="BV97" s="59"/>
      <c r="BW97" s="59"/>
      <c r="BX97" s="59"/>
      <c r="BY97" s="59"/>
      <c r="BZ97" s="59"/>
      <c r="CA97" s="59"/>
    </row>
    <row r="98" spans="1:79">
      <c r="A98" s="59"/>
      <c r="B98" s="44" t="str">
        <f t="shared" si="2"/>
        <v/>
      </c>
      <c r="C98" s="67"/>
      <c r="D98" s="68"/>
      <c r="E98" s="68"/>
      <c r="F98" s="68"/>
      <c r="G98" s="68"/>
      <c r="H98" s="68"/>
      <c r="I98" s="69"/>
      <c r="J98" s="67"/>
      <c r="K98" s="68"/>
      <c r="L98" s="68"/>
      <c r="M98" s="68"/>
      <c r="N98" s="68"/>
      <c r="O98" s="68"/>
      <c r="P98" s="69"/>
      <c r="Q98" s="67"/>
      <c r="R98" s="68"/>
      <c r="S98" s="68"/>
      <c r="T98" s="68"/>
      <c r="U98" s="68"/>
      <c r="V98" s="68"/>
      <c r="W98" s="69"/>
      <c r="X98" s="67"/>
      <c r="Y98" s="68"/>
      <c r="Z98" s="68"/>
      <c r="AA98" s="68"/>
      <c r="AB98" s="68"/>
      <c r="AC98" s="68"/>
      <c r="AD98" s="69"/>
      <c r="AE98" s="67"/>
      <c r="AF98" s="68"/>
      <c r="AG98" s="68"/>
      <c r="AH98" s="68"/>
      <c r="AI98" s="68"/>
      <c r="AJ98" s="68"/>
      <c r="AK98" s="69"/>
      <c r="AL98" s="67"/>
      <c r="AM98" s="68"/>
      <c r="AN98" s="68"/>
      <c r="AO98" s="68"/>
      <c r="AP98" s="68"/>
      <c r="AQ98" s="68"/>
      <c r="AR98" s="69"/>
      <c r="AS98" s="67"/>
      <c r="AT98" s="68"/>
      <c r="AU98" s="68"/>
      <c r="AV98" s="68"/>
      <c r="AW98" s="68"/>
      <c r="AX98" s="68"/>
      <c r="AY98" s="69"/>
      <c r="AZ98" s="67"/>
      <c r="BA98" s="68"/>
      <c r="BB98" s="68"/>
      <c r="BC98" s="68"/>
      <c r="BD98" s="68"/>
      <c r="BE98" s="68"/>
      <c r="BF98" s="69"/>
      <c r="BG98" s="67"/>
      <c r="BH98" s="68"/>
      <c r="BI98" s="68"/>
      <c r="BJ98" s="68"/>
      <c r="BK98" s="68"/>
      <c r="BL98" s="68"/>
      <c r="BM98" s="69"/>
      <c r="BN98" s="67"/>
      <c r="BO98" s="68"/>
      <c r="BP98" s="68"/>
      <c r="BQ98" s="68"/>
      <c r="BR98" s="68"/>
      <c r="BS98" s="68"/>
      <c r="BT98" s="69"/>
      <c r="BU98" s="59"/>
      <c r="BV98" s="59"/>
      <c r="BW98" s="59"/>
      <c r="BX98" s="59"/>
      <c r="BY98" s="59"/>
      <c r="BZ98" s="59"/>
      <c r="CA98" s="59"/>
    </row>
    <row r="99" spans="1:79">
      <c r="A99" s="59"/>
      <c r="B99" s="44" t="str">
        <f t="shared" si="2"/>
        <v/>
      </c>
      <c r="C99" s="67"/>
      <c r="D99" s="68"/>
      <c r="E99" s="68"/>
      <c r="F99" s="68"/>
      <c r="G99" s="68"/>
      <c r="H99" s="68"/>
      <c r="I99" s="69"/>
      <c r="J99" s="67"/>
      <c r="K99" s="68"/>
      <c r="L99" s="68"/>
      <c r="M99" s="68"/>
      <c r="N99" s="68"/>
      <c r="O99" s="68"/>
      <c r="P99" s="69"/>
      <c r="Q99" s="67"/>
      <c r="R99" s="68"/>
      <c r="S99" s="68"/>
      <c r="T99" s="68"/>
      <c r="U99" s="68"/>
      <c r="V99" s="68"/>
      <c r="W99" s="69"/>
      <c r="X99" s="67"/>
      <c r="Y99" s="68"/>
      <c r="Z99" s="68"/>
      <c r="AA99" s="68"/>
      <c r="AB99" s="68"/>
      <c r="AC99" s="68"/>
      <c r="AD99" s="69"/>
      <c r="AE99" s="67"/>
      <c r="AF99" s="68"/>
      <c r="AG99" s="68"/>
      <c r="AH99" s="68"/>
      <c r="AI99" s="68"/>
      <c r="AJ99" s="68"/>
      <c r="AK99" s="69"/>
      <c r="AL99" s="67"/>
      <c r="AM99" s="68"/>
      <c r="AN99" s="68"/>
      <c r="AO99" s="68"/>
      <c r="AP99" s="68"/>
      <c r="AQ99" s="68"/>
      <c r="AR99" s="69"/>
      <c r="AS99" s="67"/>
      <c r="AT99" s="68"/>
      <c r="AU99" s="68"/>
      <c r="AV99" s="68"/>
      <c r="AW99" s="68"/>
      <c r="AX99" s="68"/>
      <c r="AY99" s="69"/>
      <c r="AZ99" s="67"/>
      <c r="BA99" s="68"/>
      <c r="BB99" s="68"/>
      <c r="BC99" s="68"/>
      <c r="BD99" s="68"/>
      <c r="BE99" s="68"/>
      <c r="BF99" s="69"/>
      <c r="BG99" s="67"/>
      <c r="BH99" s="68"/>
      <c r="BI99" s="68"/>
      <c r="BJ99" s="68"/>
      <c r="BK99" s="68"/>
      <c r="BL99" s="68"/>
      <c r="BM99" s="69"/>
      <c r="BN99" s="67"/>
      <c r="BO99" s="68"/>
      <c r="BP99" s="68"/>
      <c r="BQ99" s="68"/>
      <c r="BR99" s="68"/>
      <c r="BS99" s="68"/>
      <c r="BT99" s="69"/>
      <c r="BU99" s="59"/>
      <c r="BV99" s="59"/>
      <c r="BW99" s="59"/>
      <c r="BX99" s="59"/>
      <c r="BY99" s="59"/>
      <c r="BZ99" s="59"/>
      <c r="CA99" s="59"/>
    </row>
    <row r="100" spans="1:79">
      <c r="A100" s="59"/>
      <c r="B100" s="44" t="str">
        <f t="shared" si="2"/>
        <v/>
      </c>
      <c r="C100" s="67"/>
      <c r="D100" s="68"/>
      <c r="E100" s="68"/>
      <c r="F100" s="68"/>
      <c r="G100" s="68"/>
      <c r="H100" s="68"/>
      <c r="I100" s="69"/>
      <c r="J100" s="67"/>
      <c r="K100" s="68"/>
      <c r="L100" s="68"/>
      <c r="M100" s="68"/>
      <c r="N100" s="68"/>
      <c r="O100" s="68"/>
      <c r="P100" s="69"/>
      <c r="Q100" s="67"/>
      <c r="R100" s="68"/>
      <c r="S100" s="68"/>
      <c r="T100" s="68"/>
      <c r="U100" s="68"/>
      <c r="V100" s="68"/>
      <c r="W100" s="69"/>
      <c r="X100" s="67"/>
      <c r="Y100" s="68"/>
      <c r="Z100" s="68"/>
      <c r="AA100" s="68"/>
      <c r="AB100" s="68"/>
      <c r="AC100" s="68"/>
      <c r="AD100" s="69"/>
      <c r="AE100" s="67"/>
      <c r="AF100" s="68"/>
      <c r="AG100" s="68"/>
      <c r="AH100" s="68"/>
      <c r="AI100" s="68"/>
      <c r="AJ100" s="68"/>
      <c r="AK100" s="69"/>
      <c r="AL100" s="67"/>
      <c r="AM100" s="68"/>
      <c r="AN100" s="68"/>
      <c r="AO100" s="68"/>
      <c r="AP100" s="68"/>
      <c r="AQ100" s="68"/>
      <c r="AR100" s="69"/>
      <c r="AS100" s="67"/>
      <c r="AT100" s="68"/>
      <c r="AU100" s="68"/>
      <c r="AV100" s="68"/>
      <c r="AW100" s="68"/>
      <c r="AX100" s="68"/>
      <c r="AY100" s="69"/>
      <c r="AZ100" s="67"/>
      <c r="BA100" s="68"/>
      <c r="BB100" s="68"/>
      <c r="BC100" s="68"/>
      <c r="BD100" s="68"/>
      <c r="BE100" s="68"/>
      <c r="BF100" s="69"/>
      <c r="BG100" s="67"/>
      <c r="BH100" s="68"/>
      <c r="BI100" s="68"/>
      <c r="BJ100" s="68"/>
      <c r="BK100" s="68"/>
      <c r="BL100" s="68"/>
      <c r="BM100" s="69"/>
      <c r="BN100" s="67"/>
      <c r="BO100" s="68"/>
      <c r="BP100" s="68"/>
      <c r="BQ100" s="68"/>
      <c r="BR100" s="68"/>
      <c r="BS100" s="68"/>
      <c r="BT100" s="69"/>
      <c r="BU100" s="59"/>
      <c r="BV100" s="59"/>
      <c r="BW100" s="59"/>
      <c r="BX100" s="59"/>
      <c r="BY100" s="59"/>
      <c r="BZ100" s="59"/>
      <c r="CA100" s="59"/>
    </row>
    <row r="101" spans="1:79">
      <c r="A101" s="59"/>
      <c r="B101" s="44" t="str">
        <f t="shared" si="2"/>
        <v/>
      </c>
      <c r="C101" s="67"/>
      <c r="D101" s="68"/>
      <c r="E101" s="68"/>
      <c r="F101" s="68"/>
      <c r="G101" s="68"/>
      <c r="H101" s="68"/>
      <c r="I101" s="69"/>
      <c r="J101" s="67"/>
      <c r="K101" s="68"/>
      <c r="L101" s="68"/>
      <c r="M101" s="68"/>
      <c r="N101" s="68"/>
      <c r="O101" s="68"/>
      <c r="P101" s="69"/>
      <c r="Q101" s="67"/>
      <c r="R101" s="68"/>
      <c r="S101" s="68"/>
      <c r="T101" s="68"/>
      <c r="U101" s="68"/>
      <c r="V101" s="68"/>
      <c r="W101" s="69"/>
      <c r="X101" s="67"/>
      <c r="Y101" s="68"/>
      <c r="Z101" s="68"/>
      <c r="AA101" s="68"/>
      <c r="AB101" s="68"/>
      <c r="AC101" s="68"/>
      <c r="AD101" s="69"/>
      <c r="AE101" s="67"/>
      <c r="AF101" s="68"/>
      <c r="AG101" s="68"/>
      <c r="AH101" s="68"/>
      <c r="AI101" s="68"/>
      <c r="AJ101" s="68"/>
      <c r="AK101" s="69"/>
      <c r="AL101" s="67"/>
      <c r="AM101" s="68"/>
      <c r="AN101" s="68"/>
      <c r="AO101" s="68"/>
      <c r="AP101" s="68"/>
      <c r="AQ101" s="68"/>
      <c r="AR101" s="69"/>
      <c r="AS101" s="67"/>
      <c r="AT101" s="68"/>
      <c r="AU101" s="68"/>
      <c r="AV101" s="68"/>
      <c r="AW101" s="68"/>
      <c r="AX101" s="68"/>
      <c r="AY101" s="69"/>
      <c r="AZ101" s="67"/>
      <c r="BA101" s="68"/>
      <c r="BB101" s="68"/>
      <c r="BC101" s="68"/>
      <c r="BD101" s="68"/>
      <c r="BE101" s="68"/>
      <c r="BF101" s="69"/>
      <c r="BG101" s="67"/>
      <c r="BH101" s="68"/>
      <c r="BI101" s="68"/>
      <c r="BJ101" s="68"/>
      <c r="BK101" s="68"/>
      <c r="BL101" s="68"/>
      <c r="BM101" s="69"/>
      <c r="BN101" s="67"/>
      <c r="BO101" s="68"/>
      <c r="BP101" s="68"/>
      <c r="BQ101" s="68"/>
      <c r="BR101" s="68"/>
      <c r="BS101" s="68"/>
      <c r="BT101" s="69"/>
      <c r="BU101" s="59"/>
      <c r="BV101" s="59"/>
      <c r="BW101" s="59"/>
      <c r="BX101" s="59"/>
      <c r="BY101" s="59"/>
      <c r="BZ101" s="59"/>
      <c r="CA101" s="59"/>
    </row>
    <row r="102" spans="1:79">
      <c r="A102" s="59"/>
      <c r="B102" s="44" t="str">
        <f t="shared" si="2"/>
        <v/>
      </c>
      <c r="C102" s="67"/>
      <c r="D102" s="68"/>
      <c r="E102" s="68"/>
      <c r="F102" s="68"/>
      <c r="G102" s="68"/>
      <c r="H102" s="68"/>
      <c r="I102" s="69"/>
      <c r="J102" s="67"/>
      <c r="K102" s="68"/>
      <c r="L102" s="68"/>
      <c r="M102" s="68"/>
      <c r="N102" s="68"/>
      <c r="O102" s="68"/>
      <c r="P102" s="69"/>
      <c r="Q102" s="67"/>
      <c r="R102" s="68"/>
      <c r="S102" s="68"/>
      <c r="T102" s="68"/>
      <c r="U102" s="68"/>
      <c r="V102" s="68"/>
      <c r="W102" s="69"/>
      <c r="X102" s="67"/>
      <c r="Y102" s="68"/>
      <c r="Z102" s="68"/>
      <c r="AA102" s="68"/>
      <c r="AB102" s="68"/>
      <c r="AC102" s="68"/>
      <c r="AD102" s="69"/>
      <c r="AE102" s="67"/>
      <c r="AF102" s="68"/>
      <c r="AG102" s="68"/>
      <c r="AH102" s="68"/>
      <c r="AI102" s="68"/>
      <c r="AJ102" s="68"/>
      <c r="AK102" s="69"/>
      <c r="AL102" s="67"/>
      <c r="AM102" s="68"/>
      <c r="AN102" s="68"/>
      <c r="AO102" s="68"/>
      <c r="AP102" s="68"/>
      <c r="AQ102" s="68"/>
      <c r="AR102" s="69"/>
      <c r="AS102" s="67"/>
      <c r="AT102" s="68"/>
      <c r="AU102" s="68"/>
      <c r="AV102" s="68"/>
      <c r="AW102" s="68"/>
      <c r="AX102" s="68"/>
      <c r="AY102" s="69"/>
      <c r="AZ102" s="67"/>
      <c r="BA102" s="68"/>
      <c r="BB102" s="68"/>
      <c r="BC102" s="68"/>
      <c r="BD102" s="68"/>
      <c r="BE102" s="68"/>
      <c r="BF102" s="69"/>
      <c r="BG102" s="67"/>
      <c r="BH102" s="68"/>
      <c r="BI102" s="68"/>
      <c r="BJ102" s="68"/>
      <c r="BK102" s="68"/>
      <c r="BL102" s="68"/>
      <c r="BM102" s="69"/>
      <c r="BN102" s="67"/>
      <c r="BO102" s="68"/>
      <c r="BP102" s="68"/>
      <c r="BQ102" s="68"/>
      <c r="BR102" s="68"/>
      <c r="BS102" s="68"/>
      <c r="BT102" s="69"/>
      <c r="BU102" s="59"/>
      <c r="BV102" s="59"/>
      <c r="BW102" s="59"/>
      <c r="BX102" s="59"/>
      <c r="BY102" s="59"/>
      <c r="BZ102" s="59"/>
      <c r="CA102" s="59"/>
    </row>
    <row r="103" spans="1:79">
      <c r="A103" s="59"/>
      <c r="B103" s="44" t="str">
        <f t="shared" si="2"/>
        <v/>
      </c>
      <c r="C103" s="67"/>
      <c r="D103" s="68"/>
      <c r="E103" s="68"/>
      <c r="F103" s="68"/>
      <c r="G103" s="68"/>
      <c r="H103" s="68"/>
      <c r="I103" s="69"/>
      <c r="J103" s="67"/>
      <c r="K103" s="68"/>
      <c r="L103" s="68"/>
      <c r="M103" s="68"/>
      <c r="N103" s="68"/>
      <c r="O103" s="68"/>
      <c r="P103" s="69"/>
      <c r="Q103" s="67"/>
      <c r="R103" s="68"/>
      <c r="S103" s="68"/>
      <c r="T103" s="68"/>
      <c r="U103" s="68"/>
      <c r="V103" s="68"/>
      <c r="W103" s="69"/>
      <c r="X103" s="67"/>
      <c r="Y103" s="68"/>
      <c r="Z103" s="68"/>
      <c r="AA103" s="68"/>
      <c r="AB103" s="68"/>
      <c r="AC103" s="68"/>
      <c r="AD103" s="69"/>
      <c r="AE103" s="67"/>
      <c r="AF103" s="68"/>
      <c r="AG103" s="68"/>
      <c r="AH103" s="68"/>
      <c r="AI103" s="68"/>
      <c r="AJ103" s="68"/>
      <c r="AK103" s="69"/>
      <c r="AL103" s="67"/>
      <c r="AM103" s="68"/>
      <c r="AN103" s="68"/>
      <c r="AO103" s="68"/>
      <c r="AP103" s="68"/>
      <c r="AQ103" s="68"/>
      <c r="AR103" s="69"/>
      <c r="AS103" s="67"/>
      <c r="AT103" s="68"/>
      <c r="AU103" s="68"/>
      <c r="AV103" s="68"/>
      <c r="AW103" s="68"/>
      <c r="AX103" s="68"/>
      <c r="AY103" s="69"/>
      <c r="AZ103" s="67"/>
      <c r="BA103" s="68"/>
      <c r="BB103" s="68"/>
      <c r="BC103" s="68"/>
      <c r="BD103" s="68"/>
      <c r="BE103" s="68"/>
      <c r="BF103" s="69"/>
      <c r="BG103" s="67"/>
      <c r="BH103" s="68"/>
      <c r="BI103" s="68"/>
      <c r="BJ103" s="68"/>
      <c r="BK103" s="68"/>
      <c r="BL103" s="68"/>
      <c r="BM103" s="69"/>
      <c r="BN103" s="67"/>
      <c r="BO103" s="68"/>
      <c r="BP103" s="68"/>
      <c r="BQ103" s="68"/>
      <c r="BR103" s="68"/>
      <c r="BS103" s="68"/>
      <c r="BT103" s="69"/>
      <c r="BU103" s="59"/>
      <c r="BV103" s="59"/>
      <c r="BW103" s="59"/>
      <c r="BX103" s="59"/>
      <c r="BY103" s="59"/>
      <c r="BZ103" s="59"/>
      <c r="CA103" s="59"/>
    </row>
    <row r="104" spans="1:79">
      <c r="A104" s="59"/>
      <c r="B104" s="44" t="str">
        <f t="shared" si="2"/>
        <v/>
      </c>
      <c r="C104" s="67"/>
      <c r="D104" s="68"/>
      <c r="E104" s="68"/>
      <c r="F104" s="68"/>
      <c r="G104" s="68"/>
      <c r="H104" s="68"/>
      <c r="I104" s="69"/>
      <c r="J104" s="67"/>
      <c r="K104" s="68"/>
      <c r="L104" s="68"/>
      <c r="M104" s="68"/>
      <c r="N104" s="68"/>
      <c r="O104" s="68"/>
      <c r="P104" s="69"/>
      <c r="Q104" s="67"/>
      <c r="R104" s="68"/>
      <c r="S104" s="68"/>
      <c r="T104" s="68"/>
      <c r="U104" s="68"/>
      <c r="V104" s="68"/>
      <c r="W104" s="69"/>
      <c r="X104" s="67"/>
      <c r="Y104" s="68"/>
      <c r="Z104" s="68"/>
      <c r="AA104" s="68"/>
      <c r="AB104" s="68"/>
      <c r="AC104" s="68"/>
      <c r="AD104" s="69"/>
      <c r="AE104" s="67"/>
      <c r="AF104" s="68"/>
      <c r="AG104" s="68"/>
      <c r="AH104" s="68"/>
      <c r="AI104" s="68"/>
      <c r="AJ104" s="68"/>
      <c r="AK104" s="69"/>
      <c r="AL104" s="67"/>
      <c r="AM104" s="68"/>
      <c r="AN104" s="68"/>
      <c r="AO104" s="68"/>
      <c r="AP104" s="68"/>
      <c r="AQ104" s="68"/>
      <c r="AR104" s="69"/>
      <c r="AS104" s="67"/>
      <c r="AT104" s="68"/>
      <c r="AU104" s="68"/>
      <c r="AV104" s="68"/>
      <c r="AW104" s="68"/>
      <c r="AX104" s="68"/>
      <c r="AY104" s="69"/>
      <c r="AZ104" s="67"/>
      <c r="BA104" s="68"/>
      <c r="BB104" s="68"/>
      <c r="BC104" s="68"/>
      <c r="BD104" s="68"/>
      <c r="BE104" s="68"/>
      <c r="BF104" s="69"/>
      <c r="BG104" s="67"/>
      <c r="BH104" s="68"/>
      <c r="BI104" s="68"/>
      <c r="BJ104" s="68"/>
      <c r="BK104" s="68"/>
      <c r="BL104" s="68"/>
      <c r="BM104" s="69"/>
      <c r="BN104" s="67"/>
      <c r="BO104" s="68"/>
      <c r="BP104" s="68"/>
      <c r="BQ104" s="68"/>
      <c r="BR104" s="68"/>
      <c r="BS104" s="68"/>
      <c r="BT104" s="69"/>
      <c r="BU104" s="59"/>
      <c r="BV104" s="59"/>
      <c r="BW104" s="59"/>
      <c r="BX104" s="59"/>
      <c r="BY104" s="59"/>
      <c r="BZ104" s="59"/>
      <c r="CA104" s="59"/>
    </row>
    <row r="105" spans="1:79">
      <c r="A105" s="59"/>
      <c r="B105" s="44" t="str">
        <f t="shared" si="2"/>
        <v/>
      </c>
      <c r="C105" s="67"/>
      <c r="D105" s="68"/>
      <c r="E105" s="68"/>
      <c r="F105" s="68"/>
      <c r="G105" s="68"/>
      <c r="H105" s="68"/>
      <c r="I105" s="69"/>
      <c r="J105" s="67"/>
      <c r="K105" s="68"/>
      <c r="L105" s="68"/>
      <c r="M105" s="68"/>
      <c r="N105" s="68"/>
      <c r="O105" s="68"/>
      <c r="P105" s="69"/>
      <c r="Q105" s="67"/>
      <c r="R105" s="68"/>
      <c r="S105" s="68"/>
      <c r="T105" s="68"/>
      <c r="U105" s="68"/>
      <c r="V105" s="68"/>
      <c r="W105" s="69"/>
      <c r="X105" s="67"/>
      <c r="Y105" s="68"/>
      <c r="Z105" s="68"/>
      <c r="AA105" s="68"/>
      <c r="AB105" s="68"/>
      <c r="AC105" s="68"/>
      <c r="AD105" s="69"/>
      <c r="AE105" s="67"/>
      <c r="AF105" s="68"/>
      <c r="AG105" s="68"/>
      <c r="AH105" s="68"/>
      <c r="AI105" s="68"/>
      <c r="AJ105" s="68"/>
      <c r="AK105" s="69"/>
      <c r="AL105" s="67"/>
      <c r="AM105" s="68"/>
      <c r="AN105" s="68"/>
      <c r="AO105" s="68"/>
      <c r="AP105" s="68"/>
      <c r="AQ105" s="68"/>
      <c r="AR105" s="69"/>
      <c r="AS105" s="67"/>
      <c r="AT105" s="68"/>
      <c r="AU105" s="68"/>
      <c r="AV105" s="68"/>
      <c r="AW105" s="68"/>
      <c r="AX105" s="68"/>
      <c r="AY105" s="69"/>
      <c r="AZ105" s="67"/>
      <c r="BA105" s="68"/>
      <c r="BB105" s="68"/>
      <c r="BC105" s="68"/>
      <c r="BD105" s="68"/>
      <c r="BE105" s="68"/>
      <c r="BF105" s="69"/>
      <c r="BG105" s="67"/>
      <c r="BH105" s="68"/>
      <c r="BI105" s="68"/>
      <c r="BJ105" s="68"/>
      <c r="BK105" s="68"/>
      <c r="BL105" s="68"/>
      <c r="BM105" s="69"/>
      <c r="BN105" s="67"/>
      <c r="BO105" s="68"/>
      <c r="BP105" s="68"/>
      <c r="BQ105" s="68"/>
      <c r="BR105" s="68"/>
      <c r="BS105" s="68"/>
      <c r="BT105" s="69"/>
      <c r="BU105" s="59"/>
      <c r="BV105" s="59"/>
      <c r="BW105" s="59"/>
      <c r="BX105" s="59"/>
      <c r="BY105" s="59"/>
      <c r="BZ105" s="59"/>
      <c r="CA105" s="59"/>
    </row>
    <row r="106" spans="1:79">
      <c r="A106" s="59"/>
      <c r="B106" s="44" t="str">
        <f t="shared" si="2"/>
        <v/>
      </c>
      <c r="C106" s="67"/>
      <c r="D106" s="68"/>
      <c r="E106" s="68"/>
      <c r="F106" s="68"/>
      <c r="G106" s="68"/>
      <c r="H106" s="68"/>
      <c r="I106" s="69"/>
      <c r="J106" s="67"/>
      <c r="K106" s="68"/>
      <c r="L106" s="68"/>
      <c r="M106" s="68"/>
      <c r="N106" s="68"/>
      <c r="O106" s="68"/>
      <c r="P106" s="69"/>
      <c r="Q106" s="67"/>
      <c r="R106" s="68"/>
      <c r="S106" s="68"/>
      <c r="T106" s="68"/>
      <c r="U106" s="68"/>
      <c r="V106" s="68"/>
      <c r="W106" s="69"/>
      <c r="X106" s="67"/>
      <c r="Y106" s="68"/>
      <c r="Z106" s="68"/>
      <c r="AA106" s="68"/>
      <c r="AB106" s="68"/>
      <c r="AC106" s="68"/>
      <c r="AD106" s="69"/>
      <c r="AE106" s="67"/>
      <c r="AF106" s="68"/>
      <c r="AG106" s="68"/>
      <c r="AH106" s="68"/>
      <c r="AI106" s="68"/>
      <c r="AJ106" s="68"/>
      <c r="AK106" s="69"/>
      <c r="AL106" s="67"/>
      <c r="AM106" s="68"/>
      <c r="AN106" s="68"/>
      <c r="AO106" s="68"/>
      <c r="AP106" s="68"/>
      <c r="AQ106" s="68"/>
      <c r="AR106" s="69"/>
      <c r="AS106" s="67"/>
      <c r="AT106" s="68"/>
      <c r="AU106" s="68"/>
      <c r="AV106" s="68"/>
      <c r="AW106" s="68"/>
      <c r="AX106" s="68"/>
      <c r="AY106" s="69"/>
      <c r="AZ106" s="67"/>
      <c r="BA106" s="68"/>
      <c r="BB106" s="68"/>
      <c r="BC106" s="68"/>
      <c r="BD106" s="68"/>
      <c r="BE106" s="68"/>
      <c r="BF106" s="69"/>
      <c r="BG106" s="67"/>
      <c r="BH106" s="68"/>
      <c r="BI106" s="68"/>
      <c r="BJ106" s="68"/>
      <c r="BK106" s="68"/>
      <c r="BL106" s="68"/>
      <c r="BM106" s="69"/>
      <c r="BN106" s="67"/>
      <c r="BO106" s="68"/>
      <c r="BP106" s="68"/>
      <c r="BQ106" s="68"/>
      <c r="BR106" s="68"/>
      <c r="BS106" s="68"/>
      <c r="BT106" s="69"/>
      <c r="BU106" s="59"/>
      <c r="BV106" s="59"/>
      <c r="BW106" s="59"/>
      <c r="BX106" s="59"/>
      <c r="BY106" s="59"/>
      <c r="BZ106" s="59"/>
      <c r="CA106" s="59"/>
    </row>
    <row r="107" spans="1:79">
      <c r="A107" s="59"/>
      <c r="B107" s="44" t="str">
        <f t="shared" ref="B107:B138" si="3">IF(Start_year+ROW(B107)-ROW($B$11)&gt;End_year,"",Start_year+ROW(B107)-ROW($B$11))</f>
        <v/>
      </c>
      <c r="C107" s="67"/>
      <c r="D107" s="68"/>
      <c r="E107" s="68"/>
      <c r="F107" s="68"/>
      <c r="G107" s="68"/>
      <c r="H107" s="68"/>
      <c r="I107" s="69"/>
      <c r="J107" s="67"/>
      <c r="K107" s="68"/>
      <c r="L107" s="68"/>
      <c r="M107" s="68"/>
      <c r="N107" s="68"/>
      <c r="O107" s="68"/>
      <c r="P107" s="69"/>
      <c r="Q107" s="67"/>
      <c r="R107" s="68"/>
      <c r="S107" s="68"/>
      <c r="T107" s="68"/>
      <c r="U107" s="68"/>
      <c r="V107" s="68"/>
      <c r="W107" s="69"/>
      <c r="X107" s="67"/>
      <c r="Y107" s="68"/>
      <c r="Z107" s="68"/>
      <c r="AA107" s="68"/>
      <c r="AB107" s="68"/>
      <c r="AC107" s="68"/>
      <c r="AD107" s="69"/>
      <c r="AE107" s="67"/>
      <c r="AF107" s="68"/>
      <c r="AG107" s="68"/>
      <c r="AH107" s="68"/>
      <c r="AI107" s="68"/>
      <c r="AJ107" s="68"/>
      <c r="AK107" s="69"/>
      <c r="AL107" s="67"/>
      <c r="AM107" s="68"/>
      <c r="AN107" s="68"/>
      <c r="AO107" s="68"/>
      <c r="AP107" s="68"/>
      <c r="AQ107" s="68"/>
      <c r="AR107" s="69"/>
      <c r="AS107" s="67"/>
      <c r="AT107" s="68"/>
      <c r="AU107" s="68"/>
      <c r="AV107" s="68"/>
      <c r="AW107" s="68"/>
      <c r="AX107" s="68"/>
      <c r="AY107" s="69"/>
      <c r="AZ107" s="67"/>
      <c r="BA107" s="68"/>
      <c r="BB107" s="68"/>
      <c r="BC107" s="68"/>
      <c r="BD107" s="68"/>
      <c r="BE107" s="68"/>
      <c r="BF107" s="69"/>
      <c r="BG107" s="67"/>
      <c r="BH107" s="68"/>
      <c r="BI107" s="68"/>
      <c r="BJ107" s="68"/>
      <c r="BK107" s="68"/>
      <c r="BL107" s="68"/>
      <c r="BM107" s="69"/>
      <c r="BN107" s="67"/>
      <c r="BO107" s="68"/>
      <c r="BP107" s="68"/>
      <c r="BQ107" s="68"/>
      <c r="BR107" s="68"/>
      <c r="BS107" s="68"/>
      <c r="BT107" s="69"/>
      <c r="BU107" s="59"/>
      <c r="BV107" s="59"/>
      <c r="BW107" s="59"/>
      <c r="BX107" s="59"/>
      <c r="BY107" s="59"/>
      <c r="BZ107" s="59"/>
      <c r="CA107" s="59"/>
    </row>
    <row r="108" spans="1:79">
      <c r="A108" s="59"/>
      <c r="B108" s="44" t="str">
        <f t="shared" si="3"/>
        <v/>
      </c>
      <c r="C108" s="67"/>
      <c r="D108" s="68"/>
      <c r="E108" s="68"/>
      <c r="F108" s="68"/>
      <c r="G108" s="68"/>
      <c r="H108" s="68"/>
      <c r="I108" s="69"/>
      <c r="J108" s="67"/>
      <c r="K108" s="68"/>
      <c r="L108" s="68"/>
      <c r="M108" s="68"/>
      <c r="N108" s="68"/>
      <c r="O108" s="68"/>
      <c r="P108" s="69"/>
      <c r="Q108" s="67"/>
      <c r="R108" s="68"/>
      <c r="S108" s="68"/>
      <c r="T108" s="68"/>
      <c r="U108" s="68"/>
      <c r="V108" s="68"/>
      <c r="W108" s="69"/>
      <c r="X108" s="67"/>
      <c r="Y108" s="68"/>
      <c r="Z108" s="68"/>
      <c r="AA108" s="68"/>
      <c r="AB108" s="68"/>
      <c r="AC108" s="68"/>
      <c r="AD108" s="69"/>
      <c r="AE108" s="67"/>
      <c r="AF108" s="68"/>
      <c r="AG108" s="68"/>
      <c r="AH108" s="68"/>
      <c r="AI108" s="68"/>
      <c r="AJ108" s="68"/>
      <c r="AK108" s="69"/>
      <c r="AL108" s="67"/>
      <c r="AM108" s="68"/>
      <c r="AN108" s="68"/>
      <c r="AO108" s="68"/>
      <c r="AP108" s="68"/>
      <c r="AQ108" s="68"/>
      <c r="AR108" s="69"/>
      <c r="AS108" s="67"/>
      <c r="AT108" s="68"/>
      <c r="AU108" s="68"/>
      <c r="AV108" s="68"/>
      <c r="AW108" s="68"/>
      <c r="AX108" s="68"/>
      <c r="AY108" s="69"/>
      <c r="AZ108" s="67"/>
      <c r="BA108" s="68"/>
      <c r="BB108" s="68"/>
      <c r="BC108" s="68"/>
      <c r="BD108" s="68"/>
      <c r="BE108" s="68"/>
      <c r="BF108" s="69"/>
      <c r="BG108" s="67"/>
      <c r="BH108" s="68"/>
      <c r="BI108" s="68"/>
      <c r="BJ108" s="68"/>
      <c r="BK108" s="68"/>
      <c r="BL108" s="68"/>
      <c r="BM108" s="69"/>
      <c r="BN108" s="67"/>
      <c r="BO108" s="68"/>
      <c r="BP108" s="68"/>
      <c r="BQ108" s="68"/>
      <c r="BR108" s="68"/>
      <c r="BS108" s="68"/>
      <c r="BT108" s="69"/>
      <c r="BU108" s="59"/>
      <c r="BV108" s="59"/>
      <c r="BW108" s="59"/>
      <c r="BX108" s="59"/>
      <c r="BY108" s="59"/>
      <c r="BZ108" s="59"/>
      <c r="CA108" s="59"/>
    </row>
    <row r="109" spans="1:79">
      <c r="A109" s="59"/>
      <c r="B109" s="44" t="str">
        <f t="shared" si="3"/>
        <v/>
      </c>
      <c r="C109" s="67"/>
      <c r="D109" s="68"/>
      <c r="E109" s="68"/>
      <c r="F109" s="68"/>
      <c r="G109" s="68"/>
      <c r="H109" s="68"/>
      <c r="I109" s="69"/>
      <c r="J109" s="67"/>
      <c r="K109" s="68"/>
      <c r="L109" s="68"/>
      <c r="M109" s="68"/>
      <c r="N109" s="68"/>
      <c r="O109" s="68"/>
      <c r="P109" s="69"/>
      <c r="Q109" s="67"/>
      <c r="R109" s="68"/>
      <c r="S109" s="68"/>
      <c r="T109" s="68"/>
      <c r="U109" s="68"/>
      <c r="V109" s="68"/>
      <c r="W109" s="69"/>
      <c r="X109" s="67"/>
      <c r="Y109" s="68"/>
      <c r="Z109" s="68"/>
      <c r="AA109" s="68"/>
      <c r="AB109" s="68"/>
      <c r="AC109" s="68"/>
      <c r="AD109" s="69"/>
      <c r="AE109" s="67"/>
      <c r="AF109" s="68"/>
      <c r="AG109" s="68"/>
      <c r="AH109" s="68"/>
      <c r="AI109" s="68"/>
      <c r="AJ109" s="68"/>
      <c r="AK109" s="69"/>
      <c r="AL109" s="67"/>
      <c r="AM109" s="68"/>
      <c r="AN109" s="68"/>
      <c r="AO109" s="68"/>
      <c r="AP109" s="68"/>
      <c r="AQ109" s="68"/>
      <c r="AR109" s="69"/>
      <c r="AS109" s="67"/>
      <c r="AT109" s="68"/>
      <c r="AU109" s="68"/>
      <c r="AV109" s="68"/>
      <c r="AW109" s="68"/>
      <c r="AX109" s="68"/>
      <c r="AY109" s="69"/>
      <c r="AZ109" s="67"/>
      <c r="BA109" s="68"/>
      <c r="BB109" s="68"/>
      <c r="BC109" s="68"/>
      <c r="BD109" s="68"/>
      <c r="BE109" s="68"/>
      <c r="BF109" s="69"/>
      <c r="BG109" s="67"/>
      <c r="BH109" s="68"/>
      <c r="BI109" s="68"/>
      <c r="BJ109" s="68"/>
      <c r="BK109" s="68"/>
      <c r="BL109" s="68"/>
      <c r="BM109" s="69"/>
      <c r="BN109" s="67"/>
      <c r="BO109" s="68"/>
      <c r="BP109" s="68"/>
      <c r="BQ109" s="68"/>
      <c r="BR109" s="68"/>
      <c r="BS109" s="68"/>
      <c r="BT109" s="69"/>
      <c r="BU109" s="59"/>
      <c r="BV109" s="59"/>
      <c r="BW109" s="59"/>
      <c r="BX109" s="59"/>
      <c r="BY109" s="59"/>
      <c r="BZ109" s="59"/>
      <c r="CA109" s="59"/>
    </row>
    <row r="110" spans="1:79">
      <c r="A110" s="59"/>
      <c r="B110" s="44" t="str">
        <f t="shared" si="3"/>
        <v/>
      </c>
      <c r="C110" s="67"/>
      <c r="D110" s="68"/>
      <c r="E110" s="68"/>
      <c r="F110" s="68"/>
      <c r="G110" s="68"/>
      <c r="H110" s="68"/>
      <c r="I110" s="69"/>
      <c r="J110" s="67"/>
      <c r="K110" s="68"/>
      <c r="L110" s="68"/>
      <c r="M110" s="68"/>
      <c r="N110" s="68"/>
      <c r="O110" s="68"/>
      <c r="P110" s="69"/>
      <c r="Q110" s="67"/>
      <c r="R110" s="68"/>
      <c r="S110" s="68"/>
      <c r="T110" s="68"/>
      <c r="U110" s="68"/>
      <c r="V110" s="68"/>
      <c r="W110" s="69"/>
      <c r="X110" s="67"/>
      <c r="Y110" s="68"/>
      <c r="Z110" s="68"/>
      <c r="AA110" s="68"/>
      <c r="AB110" s="68"/>
      <c r="AC110" s="68"/>
      <c r="AD110" s="69"/>
      <c r="AE110" s="67"/>
      <c r="AF110" s="68"/>
      <c r="AG110" s="68"/>
      <c r="AH110" s="68"/>
      <c r="AI110" s="68"/>
      <c r="AJ110" s="68"/>
      <c r="AK110" s="69"/>
      <c r="AL110" s="67"/>
      <c r="AM110" s="68"/>
      <c r="AN110" s="68"/>
      <c r="AO110" s="68"/>
      <c r="AP110" s="68"/>
      <c r="AQ110" s="68"/>
      <c r="AR110" s="69"/>
      <c r="AS110" s="67"/>
      <c r="AT110" s="68"/>
      <c r="AU110" s="68"/>
      <c r="AV110" s="68"/>
      <c r="AW110" s="68"/>
      <c r="AX110" s="68"/>
      <c r="AY110" s="69"/>
      <c r="AZ110" s="67"/>
      <c r="BA110" s="68"/>
      <c r="BB110" s="68"/>
      <c r="BC110" s="68"/>
      <c r="BD110" s="68"/>
      <c r="BE110" s="68"/>
      <c r="BF110" s="69"/>
      <c r="BG110" s="67"/>
      <c r="BH110" s="68"/>
      <c r="BI110" s="68"/>
      <c r="BJ110" s="68"/>
      <c r="BK110" s="68"/>
      <c r="BL110" s="68"/>
      <c r="BM110" s="69"/>
      <c r="BN110" s="67"/>
      <c r="BO110" s="68"/>
      <c r="BP110" s="68"/>
      <c r="BQ110" s="68"/>
      <c r="BR110" s="68"/>
      <c r="BS110" s="68"/>
      <c r="BT110" s="69"/>
      <c r="BU110" s="59"/>
      <c r="BV110" s="59"/>
      <c r="BW110" s="59"/>
      <c r="BX110" s="59"/>
      <c r="BY110" s="59"/>
      <c r="BZ110" s="59"/>
      <c r="CA110" s="59"/>
    </row>
    <row r="111" spans="1:79">
      <c r="A111" s="59"/>
      <c r="B111" s="44" t="str">
        <f t="shared" si="3"/>
        <v/>
      </c>
      <c r="C111" s="67"/>
      <c r="D111" s="68"/>
      <c r="E111" s="68"/>
      <c r="F111" s="68"/>
      <c r="G111" s="68"/>
      <c r="H111" s="68"/>
      <c r="I111" s="69"/>
      <c r="J111" s="67"/>
      <c r="K111" s="68"/>
      <c r="L111" s="68"/>
      <c r="M111" s="68"/>
      <c r="N111" s="68"/>
      <c r="O111" s="68"/>
      <c r="P111" s="69"/>
      <c r="Q111" s="67"/>
      <c r="R111" s="68"/>
      <c r="S111" s="68"/>
      <c r="T111" s="68"/>
      <c r="U111" s="68"/>
      <c r="V111" s="68"/>
      <c r="W111" s="69"/>
      <c r="X111" s="67"/>
      <c r="Y111" s="68"/>
      <c r="Z111" s="68"/>
      <c r="AA111" s="68"/>
      <c r="AB111" s="68"/>
      <c r="AC111" s="68"/>
      <c r="AD111" s="69"/>
      <c r="AE111" s="67"/>
      <c r="AF111" s="68"/>
      <c r="AG111" s="68"/>
      <c r="AH111" s="68"/>
      <c r="AI111" s="68"/>
      <c r="AJ111" s="68"/>
      <c r="AK111" s="69"/>
      <c r="AL111" s="67"/>
      <c r="AM111" s="68"/>
      <c r="AN111" s="68"/>
      <c r="AO111" s="68"/>
      <c r="AP111" s="68"/>
      <c r="AQ111" s="68"/>
      <c r="AR111" s="69"/>
      <c r="AS111" s="67"/>
      <c r="AT111" s="68"/>
      <c r="AU111" s="68"/>
      <c r="AV111" s="68"/>
      <c r="AW111" s="68"/>
      <c r="AX111" s="68"/>
      <c r="AY111" s="69"/>
      <c r="AZ111" s="67"/>
      <c r="BA111" s="68"/>
      <c r="BB111" s="68"/>
      <c r="BC111" s="68"/>
      <c r="BD111" s="68"/>
      <c r="BE111" s="68"/>
      <c r="BF111" s="69"/>
      <c r="BG111" s="67"/>
      <c r="BH111" s="68"/>
      <c r="BI111" s="68"/>
      <c r="BJ111" s="68"/>
      <c r="BK111" s="68"/>
      <c r="BL111" s="68"/>
      <c r="BM111" s="69"/>
      <c r="BN111" s="67"/>
      <c r="BO111" s="68"/>
      <c r="BP111" s="68"/>
      <c r="BQ111" s="68"/>
      <c r="BR111" s="68"/>
      <c r="BS111" s="68"/>
      <c r="BT111" s="69"/>
      <c r="BU111" s="59"/>
      <c r="BV111" s="59"/>
      <c r="BW111" s="59"/>
      <c r="BX111" s="59"/>
      <c r="BY111" s="59"/>
      <c r="BZ111" s="59"/>
      <c r="CA111" s="59"/>
    </row>
    <row r="112" spans="1:79">
      <c r="A112" s="59"/>
      <c r="B112" s="44" t="str">
        <f t="shared" si="3"/>
        <v/>
      </c>
      <c r="C112" s="67"/>
      <c r="D112" s="68"/>
      <c r="E112" s="68"/>
      <c r="F112" s="68"/>
      <c r="G112" s="68"/>
      <c r="H112" s="68"/>
      <c r="I112" s="69"/>
      <c r="J112" s="67"/>
      <c r="K112" s="68"/>
      <c r="L112" s="68"/>
      <c r="M112" s="68"/>
      <c r="N112" s="68"/>
      <c r="O112" s="68"/>
      <c r="P112" s="69"/>
      <c r="Q112" s="67"/>
      <c r="R112" s="68"/>
      <c r="S112" s="68"/>
      <c r="T112" s="68"/>
      <c r="U112" s="68"/>
      <c r="V112" s="68"/>
      <c r="W112" s="69"/>
      <c r="X112" s="67"/>
      <c r="Y112" s="68"/>
      <c r="Z112" s="68"/>
      <c r="AA112" s="68"/>
      <c r="AB112" s="68"/>
      <c r="AC112" s="68"/>
      <c r="AD112" s="69"/>
      <c r="AE112" s="67"/>
      <c r="AF112" s="68"/>
      <c r="AG112" s="68"/>
      <c r="AH112" s="68"/>
      <c r="AI112" s="68"/>
      <c r="AJ112" s="68"/>
      <c r="AK112" s="69"/>
      <c r="AL112" s="67"/>
      <c r="AM112" s="68"/>
      <c r="AN112" s="68"/>
      <c r="AO112" s="68"/>
      <c r="AP112" s="68"/>
      <c r="AQ112" s="68"/>
      <c r="AR112" s="69"/>
      <c r="AS112" s="67"/>
      <c r="AT112" s="68"/>
      <c r="AU112" s="68"/>
      <c r="AV112" s="68"/>
      <c r="AW112" s="68"/>
      <c r="AX112" s="68"/>
      <c r="AY112" s="69"/>
      <c r="AZ112" s="67"/>
      <c r="BA112" s="68"/>
      <c r="BB112" s="68"/>
      <c r="BC112" s="68"/>
      <c r="BD112" s="68"/>
      <c r="BE112" s="68"/>
      <c r="BF112" s="69"/>
      <c r="BG112" s="67"/>
      <c r="BH112" s="68"/>
      <c r="BI112" s="68"/>
      <c r="BJ112" s="68"/>
      <c r="BK112" s="68"/>
      <c r="BL112" s="68"/>
      <c r="BM112" s="69"/>
      <c r="BN112" s="67"/>
      <c r="BO112" s="68"/>
      <c r="BP112" s="68"/>
      <c r="BQ112" s="68"/>
      <c r="BR112" s="68"/>
      <c r="BS112" s="68"/>
      <c r="BT112" s="69"/>
      <c r="BU112" s="59"/>
      <c r="BV112" s="59"/>
      <c r="BW112" s="59"/>
      <c r="BX112" s="59"/>
      <c r="BY112" s="59"/>
      <c r="BZ112" s="59"/>
      <c r="CA112" s="59"/>
    </row>
    <row r="113" spans="1:79">
      <c r="A113" s="59"/>
      <c r="B113" s="44" t="str">
        <f t="shared" si="3"/>
        <v/>
      </c>
      <c r="C113" s="67"/>
      <c r="D113" s="68"/>
      <c r="E113" s="68"/>
      <c r="F113" s="68"/>
      <c r="G113" s="68"/>
      <c r="H113" s="68"/>
      <c r="I113" s="69"/>
      <c r="J113" s="67"/>
      <c r="K113" s="68"/>
      <c r="L113" s="68"/>
      <c r="M113" s="68"/>
      <c r="N113" s="68"/>
      <c r="O113" s="68"/>
      <c r="P113" s="69"/>
      <c r="Q113" s="67"/>
      <c r="R113" s="68"/>
      <c r="S113" s="68"/>
      <c r="T113" s="68"/>
      <c r="U113" s="68"/>
      <c r="V113" s="68"/>
      <c r="W113" s="69"/>
      <c r="X113" s="67"/>
      <c r="Y113" s="68"/>
      <c r="Z113" s="68"/>
      <c r="AA113" s="68"/>
      <c r="AB113" s="68"/>
      <c r="AC113" s="68"/>
      <c r="AD113" s="69"/>
      <c r="AE113" s="67"/>
      <c r="AF113" s="68"/>
      <c r="AG113" s="68"/>
      <c r="AH113" s="68"/>
      <c r="AI113" s="68"/>
      <c r="AJ113" s="68"/>
      <c r="AK113" s="69"/>
      <c r="AL113" s="67"/>
      <c r="AM113" s="68"/>
      <c r="AN113" s="68"/>
      <c r="AO113" s="68"/>
      <c r="AP113" s="68"/>
      <c r="AQ113" s="68"/>
      <c r="AR113" s="69"/>
      <c r="AS113" s="67"/>
      <c r="AT113" s="68"/>
      <c r="AU113" s="68"/>
      <c r="AV113" s="68"/>
      <c r="AW113" s="68"/>
      <c r="AX113" s="68"/>
      <c r="AY113" s="69"/>
      <c r="AZ113" s="67"/>
      <c r="BA113" s="68"/>
      <c r="BB113" s="68"/>
      <c r="BC113" s="68"/>
      <c r="BD113" s="68"/>
      <c r="BE113" s="68"/>
      <c r="BF113" s="69"/>
      <c r="BG113" s="67"/>
      <c r="BH113" s="68"/>
      <c r="BI113" s="68"/>
      <c r="BJ113" s="68"/>
      <c r="BK113" s="68"/>
      <c r="BL113" s="68"/>
      <c r="BM113" s="69"/>
      <c r="BN113" s="67"/>
      <c r="BO113" s="68"/>
      <c r="BP113" s="68"/>
      <c r="BQ113" s="68"/>
      <c r="BR113" s="68"/>
      <c r="BS113" s="68"/>
      <c r="BT113" s="69"/>
      <c r="BU113" s="59"/>
      <c r="BV113" s="59"/>
      <c r="BW113" s="59"/>
      <c r="BX113" s="59"/>
      <c r="BY113" s="59"/>
      <c r="BZ113" s="59"/>
      <c r="CA113" s="59"/>
    </row>
    <row r="114" spans="1:79">
      <c r="A114" s="59"/>
      <c r="B114" s="44" t="str">
        <f t="shared" si="3"/>
        <v/>
      </c>
      <c r="C114" s="67"/>
      <c r="D114" s="68"/>
      <c r="E114" s="68"/>
      <c r="F114" s="68"/>
      <c r="G114" s="68"/>
      <c r="H114" s="68"/>
      <c r="I114" s="69"/>
      <c r="J114" s="67"/>
      <c r="K114" s="68"/>
      <c r="L114" s="68"/>
      <c r="M114" s="68"/>
      <c r="N114" s="68"/>
      <c r="O114" s="68"/>
      <c r="P114" s="69"/>
      <c r="Q114" s="67"/>
      <c r="R114" s="68"/>
      <c r="S114" s="68"/>
      <c r="T114" s="68"/>
      <c r="U114" s="68"/>
      <c r="V114" s="68"/>
      <c r="W114" s="69"/>
      <c r="X114" s="67"/>
      <c r="Y114" s="68"/>
      <c r="Z114" s="68"/>
      <c r="AA114" s="68"/>
      <c r="AB114" s="68"/>
      <c r="AC114" s="68"/>
      <c r="AD114" s="69"/>
      <c r="AE114" s="67"/>
      <c r="AF114" s="68"/>
      <c r="AG114" s="68"/>
      <c r="AH114" s="68"/>
      <c r="AI114" s="68"/>
      <c r="AJ114" s="68"/>
      <c r="AK114" s="69"/>
      <c r="AL114" s="67"/>
      <c r="AM114" s="68"/>
      <c r="AN114" s="68"/>
      <c r="AO114" s="68"/>
      <c r="AP114" s="68"/>
      <c r="AQ114" s="68"/>
      <c r="AR114" s="69"/>
      <c r="AS114" s="67"/>
      <c r="AT114" s="68"/>
      <c r="AU114" s="68"/>
      <c r="AV114" s="68"/>
      <c r="AW114" s="68"/>
      <c r="AX114" s="68"/>
      <c r="AY114" s="69"/>
      <c r="AZ114" s="67"/>
      <c r="BA114" s="68"/>
      <c r="BB114" s="68"/>
      <c r="BC114" s="68"/>
      <c r="BD114" s="68"/>
      <c r="BE114" s="68"/>
      <c r="BF114" s="69"/>
      <c r="BG114" s="67"/>
      <c r="BH114" s="68"/>
      <c r="BI114" s="68"/>
      <c r="BJ114" s="68"/>
      <c r="BK114" s="68"/>
      <c r="BL114" s="68"/>
      <c r="BM114" s="69"/>
      <c r="BN114" s="67"/>
      <c r="BO114" s="68"/>
      <c r="BP114" s="68"/>
      <c r="BQ114" s="68"/>
      <c r="BR114" s="68"/>
      <c r="BS114" s="68"/>
      <c r="BT114" s="69"/>
      <c r="BU114" s="59"/>
      <c r="BV114" s="59"/>
      <c r="BW114" s="59"/>
      <c r="BX114" s="59"/>
      <c r="BY114" s="59"/>
      <c r="BZ114" s="59"/>
      <c r="CA114" s="59"/>
    </row>
    <row r="115" spans="1:79">
      <c r="A115" s="59"/>
      <c r="B115" s="44" t="str">
        <f t="shared" si="3"/>
        <v/>
      </c>
      <c r="C115" s="67"/>
      <c r="D115" s="68"/>
      <c r="E115" s="68"/>
      <c r="F115" s="68"/>
      <c r="G115" s="68"/>
      <c r="H115" s="68"/>
      <c r="I115" s="69"/>
      <c r="J115" s="67"/>
      <c r="K115" s="68"/>
      <c r="L115" s="68"/>
      <c r="M115" s="68"/>
      <c r="N115" s="68"/>
      <c r="O115" s="68"/>
      <c r="P115" s="69"/>
      <c r="Q115" s="67"/>
      <c r="R115" s="68"/>
      <c r="S115" s="68"/>
      <c r="T115" s="68"/>
      <c r="U115" s="68"/>
      <c r="V115" s="68"/>
      <c r="W115" s="69"/>
      <c r="X115" s="67"/>
      <c r="Y115" s="68"/>
      <c r="Z115" s="68"/>
      <c r="AA115" s="68"/>
      <c r="AB115" s="68"/>
      <c r="AC115" s="68"/>
      <c r="AD115" s="69"/>
      <c r="AE115" s="67"/>
      <c r="AF115" s="68"/>
      <c r="AG115" s="68"/>
      <c r="AH115" s="68"/>
      <c r="AI115" s="68"/>
      <c r="AJ115" s="68"/>
      <c r="AK115" s="69"/>
      <c r="AL115" s="67"/>
      <c r="AM115" s="68"/>
      <c r="AN115" s="68"/>
      <c r="AO115" s="68"/>
      <c r="AP115" s="68"/>
      <c r="AQ115" s="68"/>
      <c r="AR115" s="69"/>
      <c r="AS115" s="67"/>
      <c r="AT115" s="68"/>
      <c r="AU115" s="68"/>
      <c r="AV115" s="68"/>
      <c r="AW115" s="68"/>
      <c r="AX115" s="68"/>
      <c r="AY115" s="69"/>
      <c r="AZ115" s="67"/>
      <c r="BA115" s="68"/>
      <c r="BB115" s="68"/>
      <c r="BC115" s="68"/>
      <c r="BD115" s="68"/>
      <c r="BE115" s="68"/>
      <c r="BF115" s="69"/>
      <c r="BG115" s="67"/>
      <c r="BH115" s="68"/>
      <c r="BI115" s="68"/>
      <c r="BJ115" s="68"/>
      <c r="BK115" s="68"/>
      <c r="BL115" s="68"/>
      <c r="BM115" s="69"/>
      <c r="BN115" s="67"/>
      <c r="BO115" s="68"/>
      <c r="BP115" s="68"/>
      <c r="BQ115" s="68"/>
      <c r="BR115" s="68"/>
      <c r="BS115" s="68"/>
      <c r="BT115" s="69"/>
      <c r="BU115" s="59"/>
      <c r="BV115" s="59"/>
      <c r="BW115" s="59"/>
      <c r="BX115" s="59"/>
      <c r="BY115" s="59"/>
      <c r="BZ115" s="59"/>
      <c r="CA115" s="59"/>
    </row>
    <row r="116" spans="1:79">
      <c r="A116" s="59"/>
      <c r="B116" s="44" t="str">
        <f t="shared" si="3"/>
        <v/>
      </c>
      <c r="C116" s="67"/>
      <c r="D116" s="68"/>
      <c r="E116" s="68"/>
      <c r="F116" s="68"/>
      <c r="G116" s="68"/>
      <c r="H116" s="68"/>
      <c r="I116" s="69"/>
      <c r="J116" s="67"/>
      <c r="K116" s="68"/>
      <c r="L116" s="68"/>
      <c r="M116" s="68"/>
      <c r="N116" s="68"/>
      <c r="O116" s="68"/>
      <c r="P116" s="69"/>
      <c r="Q116" s="67"/>
      <c r="R116" s="68"/>
      <c r="S116" s="68"/>
      <c r="T116" s="68"/>
      <c r="U116" s="68"/>
      <c r="V116" s="68"/>
      <c r="W116" s="69"/>
      <c r="X116" s="67"/>
      <c r="Y116" s="68"/>
      <c r="Z116" s="68"/>
      <c r="AA116" s="68"/>
      <c r="AB116" s="68"/>
      <c r="AC116" s="68"/>
      <c r="AD116" s="69"/>
      <c r="AE116" s="67"/>
      <c r="AF116" s="68"/>
      <c r="AG116" s="68"/>
      <c r="AH116" s="68"/>
      <c r="AI116" s="68"/>
      <c r="AJ116" s="68"/>
      <c r="AK116" s="69"/>
      <c r="AL116" s="67"/>
      <c r="AM116" s="68"/>
      <c r="AN116" s="68"/>
      <c r="AO116" s="68"/>
      <c r="AP116" s="68"/>
      <c r="AQ116" s="68"/>
      <c r="AR116" s="69"/>
      <c r="AS116" s="67"/>
      <c r="AT116" s="68"/>
      <c r="AU116" s="68"/>
      <c r="AV116" s="68"/>
      <c r="AW116" s="68"/>
      <c r="AX116" s="68"/>
      <c r="AY116" s="69"/>
      <c r="AZ116" s="67"/>
      <c r="BA116" s="68"/>
      <c r="BB116" s="68"/>
      <c r="BC116" s="68"/>
      <c r="BD116" s="68"/>
      <c r="BE116" s="68"/>
      <c r="BF116" s="69"/>
      <c r="BG116" s="67"/>
      <c r="BH116" s="68"/>
      <c r="BI116" s="68"/>
      <c r="BJ116" s="68"/>
      <c r="BK116" s="68"/>
      <c r="BL116" s="68"/>
      <c r="BM116" s="69"/>
      <c r="BN116" s="67"/>
      <c r="BO116" s="68"/>
      <c r="BP116" s="68"/>
      <c r="BQ116" s="68"/>
      <c r="BR116" s="68"/>
      <c r="BS116" s="68"/>
      <c r="BT116" s="69"/>
      <c r="BU116" s="59"/>
      <c r="BV116" s="59"/>
      <c r="BW116" s="59"/>
      <c r="BX116" s="59"/>
      <c r="BY116" s="59"/>
      <c r="BZ116" s="59"/>
      <c r="CA116" s="59"/>
    </row>
    <row r="117" spans="1:79">
      <c r="A117" s="59"/>
      <c r="B117" s="44" t="str">
        <f t="shared" si="3"/>
        <v/>
      </c>
      <c r="C117" s="67"/>
      <c r="D117" s="68"/>
      <c r="E117" s="68"/>
      <c r="F117" s="68"/>
      <c r="G117" s="68"/>
      <c r="H117" s="68"/>
      <c r="I117" s="69"/>
      <c r="J117" s="67"/>
      <c r="K117" s="68"/>
      <c r="L117" s="68"/>
      <c r="M117" s="68"/>
      <c r="N117" s="68"/>
      <c r="O117" s="68"/>
      <c r="P117" s="69"/>
      <c r="Q117" s="67"/>
      <c r="R117" s="68"/>
      <c r="S117" s="68"/>
      <c r="T117" s="68"/>
      <c r="U117" s="68"/>
      <c r="V117" s="68"/>
      <c r="W117" s="69"/>
      <c r="X117" s="67"/>
      <c r="Y117" s="68"/>
      <c r="Z117" s="68"/>
      <c r="AA117" s="68"/>
      <c r="AB117" s="68"/>
      <c r="AC117" s="68"/>
      <c r="AD117" s="69"/>
      <c r="AE117" s="67"/>
      <c r="AF117" s="68"/>
      <c r="AG117" s="68"/>
      <c r="AH117" s="68"/>
      <c r="AI117" s="68"/>
      <c r="AJ117" s="68"/>
      <c r="AK117" s="69"/>
      <c r="AL117" s="67"/>
      <c r="AM117" s="68"/>
      <c r="AN117" s="68"/>
      <c r="AO117" s="68"/>
      <c r="AP117" s="68"/>
      <c r="AQ117" s="68"/>
      <c r="AR117" s="69"/>
      <c r="AS117" s="67"/>
      <c r="AT117" s="68"/>
      <c r="AU117" s="68"/>
      <c r="AV117" s="68"/>
      <c r="AW117" s="68"/>
      <c r="AX117" s="68"/>
      <c r="AY117" s="69"/>
      <c r="AZ117" s="67"/>
      <c r="BA117" s="68"/>
      <c r="BB117" s="68"/>
      <c r="BC117" s="68"/>
      <c r="BD117" s="68"/>
      <c r="BE117" s="68"/>
      <c r="BF117" s="69"/>
      <c r="BG117" s="67"/>
      <c r="BH117" s="68"/>
      <c r="BI117" s="68"/>
      <c r="BJ117" s="68"/>
      <c r="BK117" s="68"/>
      <c r="BL117" s="68"/>
      <c r="BM117" s="69"/>
      <c r="BN117" s="67"/>
      <c r="BO117" s="68"/>
      <c r="BP117" s="68"/>
      <c r="BQ117" s="68"/>
      <c r="BR117" s="68"/>
      <c r="BS117" s="68"/>
      <c r="BT117" s="69"/>
      <c r="BU117" s="59"/>
      <c r="BV117" s="59"/>
      <c r="BW117" s="59"/>
      <c r="BX117" s="59"/>
      <c r="BY117" s="59"/>
      <c r="BZ117" s="59"/>
      <c r="CA117" s="59"/>
    </row>
    <row r="118" spans="1:79">
      <c r="A118" s="59"/>
      <c r="B118" s="44" t="str">
        <f t="shared" si="3"/>
        <v/>
      </c>
      <c r="C118" s="67"/>
      <c r="D118" s="68"/>
      <c r="E118" s="68"/>
      <c r="F118" s="68"/>
      <c r="G118" s="68"/>
      <c r="H118" s="68"/>
      <c r="I118" s="69"/>
      <c r="J118" s="67"/>
      <c r="K118" s="68"/>
      <c r="L118" s="68"/>
      <c r="M118" s="68"/>
      <c r="N118" s="68"/>
      <c r="O118" s="68"/>
      <c r="P118" s="69"/>
      <c r="Q118" s="67"/>
      <c r="R118" s="68"/>
      <c r="S118" s="68"/>
      <c r="T118" s="68"/>
      <c r="U118" s="68"/>
      <c r="V118" s="68"/>
      <c r="W118" s="69"/>
      <c r="X118" s="67"/>
      <c r="Y118" s="68"/>
      <c r="Z118" s="68"/>
      <c r="AA118" s="68"/>
      <c r="AB118" s="68"/>
      <c r="AC118" s="68"/>
      <c r="AD118" s="69"/>
      <c r="AE118" s="67"/>
      <c r="AF118" s="68"/>
      <c r="AG118" s="68"/>
      <c r="AH118" s="68"/>
      <c r="AI118" s="68"/>
      <c r="AJ118" s="68"/>
      <c r="AK118" s="69"/>
      <c r="AL118" s="67"/>
      <c r="AM118" s="68"/>
      <c r="AN118" s="68"/>
      <c r="AO118" s="68"/>
      <c r="AP118" s="68"/>
      <c r="AQ118" s="68"/>
      <c r="AR118" s="69"/>
      <c r="AS118" s="67"/>
      <c r="AT118" s="68"/>
      <c r="AU118" s="68"/>
      <c r="AV118" s="68"/>
      <c r="AW118" s="68"/>
      <c r="AX118" s="68"/>
      <c r="AY118" s="69"/>
      <c r="AZ118" s="67"/>
      <c r="BA118" s="68"/>
      <c r="BB118" s="68"/>
      <c r="BC118" s="68"/>
      <c r="BD118" s="68"/>
      <c r="BE118" s="68"/>
      <c r="BF118" s="69"/>
      <c r="BG118" s="67"/>
      <c r="BH118" s="68"/>
      <c r="BI118" s="68"/>
      <c r="BJ118" s="68"/>
      <c r="BK118" s="68"/>
      <c r="BL118" s="68"/>
      <c r="BM118" s="69"/>
      <c r="BN118" s="67"/>
      <c r="BO118" s="68"/>
      <c r="BP118" s="68"/>
      <c r="BQ118" s="68"/>
      <c r="BR118" s="68"/>
      <c r="BS118" s="68"/>
      <c r="BT118" s="69"/>
      <c r="BU118" s="59"/>
      <c r="BV118" s="59"/>
      <c r="BW118" s="59"/>
      <c r="BX118" s="59"/>
      <c r="BY118" s="59"/>
      <c r="BZ118" s="59"/>
      <c r="CA118" s="59"/>
    </row>
    <row r="119" spans="1:79">
      <c r="A119" s="59"/>
      <c r="B119" s="44" t="str">
        <f t="shared" si="3"/>
        <v/>
      </c>
      <c r="C119" s="67"/>
      <c r="D119" s="68"/>
      <c r="E119" s="68"/>
      <c r="F119" s="68"/>
      <c r="G119" s="68"/>
      <c r="H119" s="68"/>
      <c r="I119" s="69"/>
      <c r="J119" s="67"/>
      <c r="K119" s="68"/>
      <c r="L119" s="68"/>
      <c r="M119" s="68"/>
      <c r="N119" s="68"/>
      <c r="O119" s="68"/>
      <c r="P119" s="69"/>
      <c r="Q119" s="67"/>
      <c r="R119" s="68"/>
      <c r="S119" s="68"/>
      <c r="T119" s="68"/>
      <c r="U119" s="68"/>
      <c r="V119" s="68"/>
      <c r="W119" s="69"/>
      <c r="X119" s="67"/>
      <c r="Y119" s="68"/>
      <c r="Z119" s="68"/>
      <c r="AA119" s="68"/>
      <c r="AB119" s="68"/>
      <c r="AC119" s="68"/>
      <c r="AD119" s="69"/>
      <c r="AE119" s="67"/>
      <c r="AF119" s="68"/>
      <c r="AG119" s="68"/>
      <c r="AH119" s="68"/>
      <c r="AI119" s="68"/>
      <c r="AJ119" s="68"/>
      <c r="AK119" s="69"/>
      <c r="AL119" s="67"/>
      <c r="AM119" s="68"/>
      <c r="AN119" s="68"/>
      <c r="AO119" s="68"/>
      <c r="AP119" s="68"/>
      <c r="AQ119" s="68"/>
      <c r="AR119" s="69"/>
      <c r="AS119" s="67"/>
      <c r="AT119" s="68"/>
      <c r="AU119" s="68"/>
      <c r="AV119" s="68"/>
      <c r="AW119" s="68"/>
      <c r="AX119" s="68"/>
      <c r="AY119" s="69"/>
      <c r="AZ119" s="67"/>
      <c r="BA119" s="68"/>
      <c r="BB119" s="68"/>
      <c r="BC119" s="68"/>
      <c r="BD119" s="68"/>
      <c r="BE119" s="68"/>
      <c r="BF119" s="69"/>
      <c r="BG119" s="67"/>
      <c r="BH119" s="68"/>
      <c r="BI119" s="68"/>
      <c r="BJ119" s="68"/>
      <c r="BK119" s="68"/>
      <c r="BL119" s="68"/>
      <c r="BM119" s="69"/>
      <c r="BN119" s="67"/>
      <c r="BO119" s="68"/>
      <c r="BP119" s="68"/>
      <c r="BQ119" s="68"/>
      <c r="BR119" s="68"/>
      <c r="BS119" s="68"/>
      <c r="BT119" s="69"/>
      <c r="BU119" s="59"/>
      <c r="BV119" s="59"/>
      <c r="BW119" s="59"/>
      <c r="BX119" s="59"/>
      <c r="BY119" s="59"/>
      <c r="BZ119" s="59"/>
      <c r="CA119" s="59"/>
    </row>
    <row r="120" spans="1:79">
      <c r="A120" s="59"/>
      <c r="B120" s="44" t="str">
        <f t="shared" si="3"/>
        <v/>
      </c>
      <c r="C120" s="67"/>
      <c r="D120" s="68"/>
      <c r="E120" s="68"/>
      <c r="F120" s="68"/>
      <c r="G120" s="68"/>
      <c r="H120" s="68"/>
      <c r="I120" s="69"/>
      <c r="J120" s="67"/>
      <c r="K120" s="68"/>
      <c r="L120" s="68"/>
      <c r="M120" s="68"/>
      <c r="N120" s="68"/>
      <c r="O120" s="68"/>
      <c r="P120" s="69"/>
      <c r="Q120" s="67"/>
      <c r="R120" s="68"/>
      <c r="S120" s="68"/>
      <c r="T120" s="68"/>
      <c r="U120" s="68"/>
      <c r="V120" s="68"/>
      <c r="W120" s="69"/>
      <c r="X120" s="67"/>
      <c r="Y120" s="68"/>
      <c r="Z120" s="68"/>
      <c r="AA120" s="68"/>
      <c r="AB120" s="68"/>
      <c r="AC120" s="68"/>
      <c r="AD120" s="69"/>
      <c r="AE120" s="67"/>
      <c r="AF120" s="68"/>
      <c r="AG120" s="68"/>
      <c r="AH120" s="68"/>
      <c r="AI120" s="68"/>
      <c r="AJ120" s="68"/>
      <c r="AK120" s="69"/>
      <c r="AL120" s="67"/>
      <c r="AM120" s="68"/>
      <c r="AN120" s="68"/>
      <c r="AO120" s="68"/>
      <c r="AP120" s="68"/>
      <c r="AQ120" s="68"/>
      <c r="AR120" s="69"/>
      <c r="AS120" s="67"/>
      <c r="AT120" s="68"/>
      <c r="AU120" s="68"/>
      <c r="AV120" s="68"/>
      <c r="AW120" s="68"/>
      <c r="AX120" s="68"/>
      <c r="AY120" s="69"/>
      <c r="AZ120" s="67"/>
      <c r="BA120" s="68"/>
      <c r="BB120" s="68"/>
      <c r="BC120" s="68"/>
      <c r="BD120" s="68"/>
      <c r="BE120" s="68"/>
      <c r="BF120" s="69"/>
      <c r="BG120" s="67"/>
      <c r="BH120" s="68"/>
      <c r="BI120" s="68"/>
      <c r="BJ120" s="68"/>
      <c r="BK120" s="68"/>
      <c r="BL120" s="68"/>
      <c r="BM120" s="69"/>
      <c r="BN120" s="67"/>
      <c r="BO120" s="68"/>
      <c r="BP120" s="68"/>
      <c r="BQ120" s="68"/>
      <c r="BR120" s="68"/>
      <c r="BS120" s="68"/>
      <c r="BT120" s="69"/>
      <c r="BU120" s="59"/>
      <c r="BV120" s="59"/>
      <c r="BW120" s="59"/>
      <c r="BX120" s="59"/>
      <c r="BY120" s="59"/>
      <c r="BZ120" s="59"/>
      <c r="CA120" s="59"/>
    </row>
    <row r="121" spans="1:79">
      <c r="A121" s="59"/>
      <c r="B121" s="44" t="str">
        <f t="shared" si="3"/>
        <v/>
      </c>
      <c r="C121" s="67"/>
      <c r="D121" s="68"/>
      <c r="E121" s="68"/>
      <c r="F121" s="68"/>
      <c r="G121" s="68"/>
      <c r="H121" s="68"/>
      <c r="I121" s="69"/>
      <c r="J121" s="67"/>
      <c r="K121" s="68"/>
      <c r="L121" s="68"/>
      <c r="M121" s="68"/>
      <c r="N121" s="68"/>
      <c r="O121" s="68"/>
      <c r="P121" s="69"/>
      <c r="Q121" s="67"/>
      <c r="R121" s="68"/>
      <c r="S121" s="68"/>
      <c r="T121" s="68"/>
      <c r="U121" s="68"/>
      <c r="V121" s="68"/>
      <c r="W121" s="69"/>
      <c r="X121" s="67"/>
      <c r="Y121" s="68"/>
      <c r="Z121" s="68"/>
      <c r="AA121" s="68"/>
      <c r="AB121" s="68"/>
      <c r="AC121" s="68"/>
      <c r="AD121" s="69"/>
      <c r="AE121" s="67"/>
      <c r="AF121" s="68"/>
      <c r="AG121" s="68"/>
      <c r="AH121" s="68"/>
      <c r="AI121" s="68"/>
      <c r="AJ121" s="68"/>
      <c r="AK121" s="69"/>
      <c r="AL121" s="67"/>
      <c r="AM121" s="68"/>
      <c r="AN121" s="68"/>
      <c r="AO121" s="68"/>
      <c r="AP121" s="68"/>
      <c r="AQ121" s="68"/>
      <c r="AR121" s="69"/>
      <c r="AS121" s="67"/>
      <c r="AT121" s="68"/>
      <c r="AU121" s="68"/>
      <c r="AV121" s="68"/>
      <c r="AW121" s="68"/>
      <c r="AX121" s="68"/>
      <c r="AY121" s="69"/>
      <c r="AZ121" s="67"/>
      <c r="BA121" s="68"/>
      <c r="BB121" s="68"/>
      <c r="BC121" s="68"/>
      <c r="BD121" s="68"/>
      <c r="BE121" s="68"/>
      <c r="BF121" s="69"/>
      <c r="BG121" s="67"/>
      <c r="BH121" s="68"/>
      <c r="BI121" s="68"/>
      <c r="BJ121" s="68"/>
      <c r="BK121" s="68"/>
      <c r="BL121" s="68"/>
      <c r="BM121" s="69"/>
      <c r="BN121" s="67"/>
      <c r="BO121" s="68"/>
      <c r="BP121" s="68"/>
      <c r="BQ121" s="68"/>
      <c r="BR121" s="68"/>
      <c r="BS121" s="68"/>
      <c r="BT121" s="69"/>
      <c r="BU121" s="59"/>
      <c r="BV121" s="59"/>
      <c r="BW121" s="59"/>
      <c r="BX121" s="59"/>
      <c r="BY121" s="59"/>
      <c r="BZ121" s="59"/>
      <c r="CA121" s="59"/>
    </row>
    <row r="122" spans="1:79">
      <c r="A122" s="59"/>
      <c r="B122" s="44" t="str">
        <f t="shared" si="3"/>
        <v/>
      </c>
      <c r="C122" s="67"/>
      <c r="D122" s="68"/>
      <c r="E122" s="68"/>
      <c r="F122" s="68"/>
      <c r="G122" s="68"/>
      <c r="H122" s="68"/>
      <c r="I122" s="69"/>
      <c r="J122" s="67"/>
      <c r="K122" s="68"/>
      <c r="L122" s="68"/>
      <c r="M122" s="68"/>
      <c r="N122" s="68"/>
      <c r="O122" s="68"/>
      <c r="P122" s="69"/>
      <c r="Q122" s="67"/>
      <c r="R122" s="68"/>
      <c r="S122" s="68"/>
      <c r="T122" s="68"/>
      <c r="U122" s="68"/>
      <c r="V122" s="68"/>
      <c r="W122" s="69"/>
      <c r="X122" s="67"/>
      <c r="Y122" s="68"/>
      <c r="Z122" s="68"/>
      <c r="AA122" s="68"/>
      <c r="AB122" s="68"/>
      <c r="AC122" s="68"/>
      <c r="AD122" s="69"/>
      <c r="AE122" s="67"/>
      <c r="AF122" s="68"/>
      <c r="AG122" s="68"/>
      <c r="AH122" s="68"/>
      <c r="AI122" s="68"/>
      <c r="AJ122" s="68"/>
      <c r="AK122" s="69"/>
      <c r="AL122" s="67"/>
      <c r="AM122" s="68"/>
      <c r="AN122" s="68"/>
      <c r="AO122" s="68"/>
      <c r="AP122" s="68"/>
      <c r="AQ122" s="68"/>
      <c r="AR122" s="69"/>
      <c r="AS122" s="67"/>
      <c r="AT122" s="68"/>
      <c r="AU122" s="68"/>
      <c r="AV122" s="68"/>
      <c r="AW122" s="68"/>
      <c r="AX122" s="68"/>
      <c r="AY122" s="69"/>
      <c r="AZ122" s="67"/>
      <c r="BA122" s="68"/>
      <c r="BB122" s="68"/>
      <c r="BC122" s="68"/>
      <c r="BD122" s="68"/>
      <c r="BE122" s="68"/>
      <c r="BF122" s="69"/>
      <c r="BG122" s="67"/>
      <c r="BH122" s="68"/>
      <c r="BI122" s="68"/>
      <c r="BJ122" s="68"/>
      <c r="BK122" s="68"/>
      <c r="BL122" s="68"/>
      <c r="BM122" s="69"/>
      <c r="BN122" s="67"/>
      <c r="BO122" s="68"/>
      <c r="BP122" s="68"/>
      <c r="BQ122" s="68"/>
      <c r="BR122" s="68"/>
      <c r="BS122" s="68"/>
      <c r="BT122" s="69"/>
      <c r="BU122" s="59"/>
      <c r="BV122" s="59"/>
      <c r="BW122" s="59"/>
      <c r="BX122" s="59"/>
      <c r="BY122" s="59"/>
      <c r="BZ122" s="59"/>
      <c r="CA122" s="59"/>
    </row>
    <row r="123" spans="1:79">
      <c r="A123" s="59"/>
      <c r="B123" s="44" t="str">
        <f t="shared" si="3"/>
        <v/>
      </c>
      <c r="C123" s="67"/>
      <c r="D123" s="68"/>
      <c r="E123" s="68"/>
      <c r="F123" s="68"/>
      <c r="G123" s="68"/>
      <c r="H123" s="68"/>
      <c r="I123" s="69"/>
      <c r="J123" s="67"/>
      <c r="K123" s="68"/>
      <c r="L123" s="68"/>
      <c r="M123" s="68"/>
      <c r="N123" s="68"/>
      <c r="O123" s="68"/>
      <c r="P123" s="69"/>
      <c r="Q123" s="67"/>
      <c r="R123" s="68"/>
      <c r="S123" s="68"/>
      <c r="T123" s="68"/>
      <c r="U123" s="68"/>
      <c r="V123" s="68"/>
      <c r="W123" s="69"/>
      <c r="X123" s="67"/>
      <c r="Y123" s="68"/>
      <c r="Z123" s="68"/>
      <c r="AA123" s="68"/>
      <c r="AB123" s="68"/>
      <c r="AC123" s="68"/>
      <c r="AD123" s="69"/>
      <c r="AE123" s="67"/>
      <c r="AF123" s="68"/>
      <c r="AG123" s="68"/>
      <c r="AH123" s="68"/>
      <c r="AI123" s="68"/>
      <c r="AJ123" s="68"/>
      <c r="AK123" s="69"/>
      <c r="AL123" s="67"/>
      <c r="AM123" s="68"/>
      <c r="AN123" s="68"/>
      <c r="AO123" s="68"/>
      <c r="AP123" s="68"/>
      <c r="AQ123" s="68"/>
      <c r="AR123" s="69"/>
      <c r="AS123" s="67"/>
      <c r="AT123" s="68"/>
      <c r="AU123" s="68"/>
      <c r="AV123" s="68"/>
      <c r="AW123" s="68"/>
      <c r="AX123" s="68"/>
      <c r="AY123" s="69"/>
      <c r="AZ123" s="67"/>
      <c r="BA123" s="68"/>
      <c r="BB123" s="68"/>
      <c r="BC123" s="68"/>
      <c r="BD123" s="68"/>
      <c r="BE123" s="68"/>
      <c r="BF123" s="69"/>
      <c r="BG123" s="67"/>
      <c r="BH123" s="68"/>
      <c r="BI123" s="68"/>
      <c r="BJ123" s="68"/>
      <c r="BK123" s="68"/>
      <c r="BL123" s="68"/>
      <c r="BM123" s="69"/>
      <c r="BN123" s="67"/>
      <c r="BO123" s="68"/>
      <c r="BP123" s="68"/>
      <c r="BQ123" s="68"/>
      <c r="BR123" s="68"/>
      <c r="BS123" s="68"/>
      <c r="BT123" s="69"/>
      <c r="BU123" s="59"/>
      <c r="BV123" s="59"/>
      <c r="BW123" s="59"/>
      <c r="BX123" s="59"/>
      <c r="BY123" s="59"/>
      <c r="BZ123" s="59"/>
      <c r="CA123" s="59"/>
    </row>
    <row r="124" spans="1:79">
      <c r="A124" s="59"/>
      <c r="B124" s="44" t="str">
        <f t="shared" si="3"/>
        <v/>
      </c>
      <c r="C124" s="67"/>
      <c r="D124" s="68"/>
      <c r="E124" s="68"/>
      <c r="F124" s="68"/>
      <c r="G124" s="68"/>
      <c r="H124" s="68"/>
      <c r="I124" s="69"/>
      <c r="J124" s="67"/>
      <c r="K124" s="68"/>
      <c r="L124" s="68"/>
      <c r="M124" s="68"/>
      <c r="N124" s="68"/>
      <c r="O124" s="68"/>
      <c r="P124" s="69"/>
      <c r="Q124" s="67"/>
      <c r="R124" s="68"/>
      <c r="S124" s="68"/>
      <c r="T124" s="68"/>
      <c r="U124" s="68"/>
      <c r="V124" s="68"/>
      <c r="W124" s="69"/>
      <c r="X124" s="67"/>
      <c r="Y124" s="68"/>
      <c r="Z124" s="68"/>
      <c r="AA124" s="68"/>
      <c r="AB124" s="68"/>
      <c r="AC124" s="68"/>
      <c r="AD124" s="69"/>
      <c r="AE124" s="67"/>
      <c r="AF124" s="68"/>
      <c r="AG124" s="68"/>
      <c r="AH124" s="68"/>
      <c r="AI124" s="68"/>
      <c r="AJ124" s="68"/>
      <c r="AK124" s="69"/>
      <c r="AL124" s="67"/>
      <c r="AM124" s="68"/>
      <c r="AN124" s="68"/>
      <c r="AO124" s="68"/>
      <c r="AP124" s="68"/>
      <c r="AQ124" s="68"/>
      <c r="AR124" s="69"/>
      <c r="AS124" s="67"/>
      <c r="AT124" s="68"/>
      <c r="AU124" s="68"/>
      <c r="AV124" s="68"/>
      <c r="AW124" s="68"/>
      <c r="AX124" s="68"/>
      <c r="AY124" s="69"/>
      <c r="AZ124" s="67"/>
      <c r="BA124" s="68"/>
      <c r="BB124" s="68"/>
      <c r="BC124" s="68"/>
      <c r="BD124" s="68"/>
      <c r="BE124" s="68"/>
      <c r="BF124" s="69"/>
      <c r="BG124" s="67"/>
      <c r="BH124" s="68"/>
      <c r="BI124" s="68"/>
      <c r="BJ124" s="68"/>
      <c r="BK124" s="68"/>
      <c r="BL124" s="68"/>
      <c r="BM124" s="69"/>
      <c r="BN124" s="67"/>
      <c r="BO124" s="68"/>
      <c r="BP124" s="68"/>
      <c r="BQ124" s="68"/>
      <c r="BR124" s="68"/>
      <c r="BS124" s="68"/>
      <c r="BT124" s="69"/>
      <c r="BU124" s="59"/>
      <c r="BV124" s="59"/>
      <c r="BW124" s="59"/>
      <c r="BX124" s="59"/>
      <c r="BY124" s="59"/>
      <c r="BZ124" s="59"/>
      <c r="CA124" s="59"/>
    </row>
    <row r="125" spans="1:79">
      <c r="A125" s="59"/>
      <c r="B125" s="44" t="str">
        <f t="shared" si="3"/>
        <v/>
      </c>
      <c r="C125" s="67"/>
      <c r="D125" s="68"/>
      <c r="E125" s="68"/>
      <c r="F125" s="68"/>
      <c r="G125" s="68"/>
      <c r="H125" s="68"/>
      <c r="I125" s="69"/>
      <c r="J125" s="67"/>
      <c r="K125" s="68"/>
      <c r="L125" s="68"/>
      <c r="M125" s="68"/>
      <c r="N125" s="68"/>
      <c r="O125" s="68"/>
      <c r="P125" s="69"/>
      <c r="Q125" s="67"/>
      <c r="R125" s="68"/>
      <c r="S125" s="68"/>
      <c r="T125" s="68"/>
      <c r="U125" s="68"/>
      <c r="V125" s="68"/>
      <c r="W125" s="69"/>
      <c r="X125" s="67"/>
      <c r="Y125" s="68"/>
      <c r="Z125" s="68"/>
      <c r="AA125" s="68"/>
      <c r="AB125" s="68"/>
      <c r="AC125" s="68"/>
      <c r="AD125" s="69"/>
      <c r="AE125" s="67"/>
      <c r="AF125" s="68"/>
      <c r="AG125" s="68"/>
      <c r="AH125" s="68"/>
      <c r="AI125" s="68"/>
      <c r="AJ125" s="68"/>
      <c r="AK125" s="69"/>
      <c r="AL125" s="67"/>
      <c r="AM125" s="68"/>
      <c r="AN125" s="68"/>
      <c r="AO125" s="68"/>
      <c r="AP125" s="68"/>
      <c r="AQ125" s="68"/>
      <c r="AR125" s="69"/>
      <c r="AS125" s="67"/>
      <c r="AT125" s="68"/>
      <c r="AU125" s="68"/>
      <c r="AV125" s="68"/>
      <c r="AW125" s="68"/>
      <c r="AX125" s="68"/>
      <c r="AY125" s="69"/>
      <c r="AZ125" s="67"/>
      <c r="BA125" s="68"/>
      <c r="BB125" s="68"/>
      <c r="BC125" s="68"/>
      <c r="BD125" s="68"/>
      <c r="BE125" s="68"/>
      <c r="BF125" s="69"/>
      <c r="BG125" s="67"/>
      <c r="BH125" s="68"/>
      <c r="BI125" s="68"/>
      <c r="BJ125" s="68"/>
      <c r="BK125" s="68"/>
      <c r="BL125" s="68"/>
      <c r="BM125" s="69"/>
      <c r="BN125" s="67"/>
      <c r="BO125" s="68"/>
      <c r="BP125" s="68"/>
      <c r="BQ125" s="68"/>
      <c r="BR125" s="68"/>
      <c r="BS125" s="68"/>
      <c r="BT125" s="69"/>
      <c r="BU125" s="59"/>
      <c r="BV125" s="59"/>
      <c r="BW125" s="59"/>
      <c r="BX125" s="59"/>
      <c r="BY125" s="59"/>
      <c r="BZ125" s="59"/>
      <c r="CA125" s="59"/>
    </row>
    <row r="126" spans="1:79">
      <c r="A126" s="59"/>
      <c r="B126" s="44" t="str">
        <f t="shared" si="3"/>
        <v/>
      </c>
      <c r="C126" s="67"/>
      <c r="D126" s="68"/>
      <c r="E126" s="68"/>
      <c r="F126" s="68"/>
      <c r="G126" s="68"/>
      <c r="H126" s="68"/>
      <c r="I126" s="69"/>
      <c r="J126" s="67"/>
      <c r="K126" s="68"/>
      <c r="L126" s="68"/>
      <c r="M126" s="68"/>
      <c r="N126" s="68"/>
      <c r="O126" s="68"/>
      <c r="P126" s="69"/>
      <c r="Q126" s="67"/>
      <c r="R126" s="68"/>
      <c r="S126" s="68"/>
      <c r="T126" s="68"/>
      <c r="U126" s="68"/>
      <c r="V126" s="68"/>
      <c r="W126" s="69"/>
      <c r="X126" s="67"/>
      <c r="Y126" s="68"/>
      <c r="Z126" s="68"/>
      <c r="AA126" s="68"/>
      <c r="AB126" s="68"/>
      <c r="AC126" s="68"/>
      <c r="AD126" s="69"/>
      <c r="AE126" s="67"/>
      <c r="AF126" s="68"/>
      <c r="AG126" s="68"/>
      <c r="AH126" s="68"/>
      <c r="AI126" s="68"/>
      <c r="AJ126" s="68"/>
      <c r="AK126" s="69"/>
      <c r="AL126" s="67"/>
      <c r="AM126" s="68"/>
      <c r="AN126" s="68"/>
      <c r="AO126" s="68"/>
      <c r="AP126" s="68"/>
      <c r="AQ126" s="68"/>
      <c r="AR126" s="69"/>
      <c r="AS126" s="67"/>
      <c r="AT126" s="68"/>
      <c r="AU126" s="68"/>
      <c r="AV126" s="68"/>
      <c r="AW126" s="68"/>
      <c r="AX126" s="68"/>
      <c r="AY126" s="69"/>
      <c r="AZ126" s="67"/>
      <c r="BA126" s="68"/>
      <c r="BB126" s="68"/>
      <c r="BC126" s="68"/>
      <c r="BD126" s="68"/>
      <c r="BE126" s="68"/>
      <c r="BF126" s="69"/>
      <c r="BG126" s="67"/>
      <c r="BH126" s="68"/>
      <c r="BI126" s="68"/>
      <c r="BJ126" s="68"/>
      <c r="BK126" s="68"/>
      <c r="BL126" s="68"/>
      <c r="BM126" s="69"/>
      <c r="BN126" s="67"/>
      <c r="BO126" s="68"/>
      <c r="BP126" s="68"/>
      <c r="BQ126" s="68"/>
      <c r="BR126" s="68"/>
      <c r="BS126" s="68"/>
      <c r="BT126" s="69"/>
      <c r="BU126" s="59"/>
      <c r="BV126" s="59"/>
      <c r="BW126" s="59"/>
      <c r="BX126" s="59"/>
      <c r="BY126" s="59"/>
      <c r="BZ126" s="59"/>
      <c r="CA126" s="59"/>
    </row>
    <row r="127" spans="1:79">
      <c r="A127" s="59"/>
      <c r="B127" s="44" t="str">
        <f t="shared" si="3"/>
        <v/>
      </c>
      <c r="C127" s="67"/>
      <c r="D127" s="68"/>
      <c r="E127" s="68"/>
      <c r="F127" s="68"/>
      <c r="G127" s="68"/>
      <c r="H127" s="68"/>
      <c r="I127" s="69"/>
      <c r="J127" s="67"/>
      <c r="K127" s="68"/>
      <c r="L127" s="68"/>
      <c r="M127" s="68"/>
      <c r="N127" s="68"/>
      <c r="O127" s="68"/>
      <c r="P127" s="69"/>
      <c r="Q127" s="67"/>
      <c r="R127" s="68"/>
      <c r="S127" s="68"/>
      <c r="T127" s="68"/>
      <c r="U127" s="68"/>
      <c r="V127" s="68"/>
      <c r="W127" s="69"/>
      <c r="X127" s="67"/>
      <c r="Y127" s="68"/>
      <c r="Z127" s="68"/>
      <c r="AA127" s="68"/>
      <c r="AB127" s="68"/>
      <c r="AC127" s="68"/>
      <c r="AD127" s="69"/>
      <c r="AE127" s="67"/>
      <c r="AF127" s="68"/>
      <c r="AG127" s="68"/>
      <c r="AH127" s="68"/>
      <c r="AI127" s="68"/>
      <c r="AJ127" s="68"/>
      <c r="AK127" s="69"/>
      <c r="AL127" s="67"/>
      <c r="AM127" s="68"/>
      <c r="AN127" s="68"/>
      <c r="AO127" s="68"/>
      <c r="AP127" s="68"/>
      <c r="AQ127" s="68"/>
      <c r="AR127" s="69"/>
      <c r="AS127" s="67"/>
      <c r="AT127" s="68"/>
      <c r="AU127" s="68"/>
      <c r="AV127" s="68"/>
      <c r="AW127" s="68"/>
      <c r="AX127" s="68"/>
      <c r="AY127" s="69"/>
      <c r="AZ127" s="67"/>
      <c r="BA127" s="68"/>
      <c r="BB127" s="68"/>
      <c r="BC127" s="68"/>
      <c r="BD127" s="68"/>
      <c r="BE127" s="68"/>
      <c r="BF127" s="69"/>
      <c r="BG127" s="67"/>
      <c r="BH127" s="68"/>
      <c r="BI127" s="68"/>
      <c r="BJ127" s="68"/>
      <c r="BK127" s="68"/>
      <c r="BL127" s="68"/>
      <c r="BM127" s="69"/>
      <c r="BN127" s="67"/>
      <c r="BO127" s="68"/>
      <c r="BP127" s="68"/>
      <c r="BQ127" s="68"/>
      <c r="BR127" s="68"/>
      <c r="BS127" s="68"/>
      <c r="BT127" s="69"/>
      <c r="BU127" s="59"/>
      <c r="BV127" s="59"/>
      <c r="BW127" s="59"/>
      <c r="BX127" s="59"/>
      <c r="BY127" s="59"/>
      <c r="BZ127" s="59"/>
      <c r="CA127" s="59"/>
    </row>
    <row r="128" spans="1:79">
      <c r="A128" s="59"/>
      <c r="B128" s="44" t="str">
        <f t="shared" si="3"/>
        <v/>
      </c>
      <c r="C128" s="67"/>
      <c r="D128" s="68"/>
      <c r="E128" s="68"/>
      <c r="F128" s="68"/>
      <c r="G128" s="68"/>
      <c r="H128" s="68"/>
      <c r="I128" s="69"/>
      <c r="J128" s="67"/>
      <c r="K128" s="68"/>
      <c r="L128" s="68"/>
      <c r="M128" s="68"/>
      <c r="N128" s="68"/>
      <c r="O128" s="68"/>
      <c r="P128" s="69"/>
      <c r="Q128" s="67"/>
      <c r="R128" s="68"/>
      <c r="S128" s="68"/>
      <c r="T128" s="68"/>
      <c r="U128" s="68"/>
      <c r="V128" s="68"/>
      <c r="W128" s="69"/>
      <c r="X128" s="67"/>
      <c r="Y128" s="68"/>
      <c r="Z128" s="68"/>
      <c r="AA128" s="68"/>
      <c r="AB128" s="68"/>
      <c r="AC128" s="68"/>
      <c r="AD128" s="69"/>
      <c r="AE128" s="67"/>
      <c r="AF128" s="68"/>
      <c r="AG128" s="68"/>
      <c r="AH128" s="68"/>
      <c r="AI128" s="68"/>
      <c r="AJ128" s="68"/>
      <c r="AK128" s="69"/>
      <c r="AL128" s="67"/>
      <c r="AM128" s="68"/>
      <c r="AN128" s="68"/>
      <c r="AO128" s="68"/>
      <c r="AP128" s="68"/>
      <c r="AQ128" s="68"/>
      <c r="AR128" s="69"/>
      <c r="AS128" s="67"/>
      <c r="AT128" s="68"/>
      <c r="AU128" s="68"/>
      <c r="AV128" s="68"/>
      <c r="AW128" s="68"/>
      <c r="AX128" s="68"/>
      <c r="AY128" s="69"/>
      <c r="AZ128" s="67"/>
      <c r="BA128" s="68"/>
      <c r="BB128" s="68"/>
      <c r="BC128" s="68"/>
      <c r="BD128" s="68"/>
      <c r="BE128" s="68"/>
      <c r="BF128" s="69"/>
      <c r="BG128" s="67"/>
      <c r="BH128" s="68"/>
      <c r="BI128" s="68"/>
      <c r="BJ128" s="68"/>
      <c r="BK128" s="68"/>
      <c r="BL128" s="68"/>
      <c r="BM128" s="69"/>
      <c r="BN128" s="67"/>
      <c r="BO128" s="68"/>
      <c r="BP128" s="68"/>
      <c r="BQ128" s="68"/>
      <c r="BR128" s="68"/>
      <c r="BS128" s="68"/>
      <c r="BT128" s="69"/>
      <c r="BU128" s="59"/>
      <c r="BV128" s="59"/>
      <c r="BW128" s="59"/>
      <c r="BX128" s="59"/>
      <c r="BY128" s="59"/>
      <c r="BZ128" s="59"/>
      <c r="CA128" s="59"/>
    </row>
    <row r="129" spans="1:79">
      <c r="A129" s="59"/>
      <c r="B129" s="44" t="str">
        <f t="shared" si="3"/>
        <v/>
      </c>
      <c r="C129" s="67"/>
      <c r="D129" s="68"/>
      <c r="E129" s="68"/>
      <c r="F129" s="68"/>
      <c r="G129" s="68"/>
      <c r="H129" s="68"/>
      <c r="I129" s="69"/>
      <c r="J129" s="67"/>
      <c r="K129" s="68"/>
      <c r="L129" s="68"/>
      <c r="M129" s="68"/>
      <c r="N129" s="68"/>
      <c r="O129" s="68"/>
      <c r="P129" s="69"/>
      <c r="Q129" s="67"/>
      <c r="R129" s="68"/>
      <c r="S129" s="68"/>
      <c r="T129" s="68"/>
      <c r="U129" s="68"/>
      <c r="V129" s="68"/>
      <c r="W129" s="69"/>
      <c r="X129" s="67"/>
      <c r="Y129" s="68"/>
      <c r="Z129" s="68"/>
      <c r="AA129" s="68"/>
      <c r="AB129" s="68"/>
      <c r="AC129" s="68"/>
      <c r="AD129" s="69"/>
      <c r="AE129" s="67"/>
      <c r="AF129" s="68"/>
      <c r="AG129" s="68"/>
      <c r="AH129" s="68"/>
      <c r="AI129" s="68"/>
      <c r="AJ129" s="68"/>
      <c r="AK129" s="69"/>
      <c r="AL129" s="67"/>
      <c r="AM129" s="68"/>
      <c r="AN129" s="68"/>
      <c r="AO129" s="68"/>
      <c r="AP129" s="68"/>
      <c r="AQ129" s="68"/>
      <c r="AR129" s="69"/>
      <c r="AS129" s="67"/>
      <c r="AT129" s="68"/>
      <c r="AU129" s="68"/>
      <c r="AV129" s="68"/>
      <c r="AW129" s="68"/>
      <c r="AX129" s="68"/>
      <c r="AY129" s="69"/>
      <c r="AZ129" s="67"/>
      <c r="BA129" s="68"/>
      <c r="BB129" s="68"/>
      <c r="BC129" s="68"/>
      <c r="BD129" s="68"/>
      <c r="BE129" s="68"/>
      <c r="BF129" s="69"/>
      <c r="BG129" s="67"/>
      <c r="BH129" s="68"/>
      <c r="BI129" s="68"/>
      <c r="BJ129" s="68"/>
      <c r="BK129" s="68"/>
      <c r="BL129" s="68"/>
      <c r="BM129" s="69"/>
      <c r="BN129" s="67"/>
      <c r="BO129" s="68"/>
      <c r="BP129" s="68"/>
      <c r="BQ129" s="68"/>
      <c r="BR129" s="68"/>
      <c r="BS129" s="68"/>
      <c r="BT129" s="69"/>
      <c r="BU129" s="59"/>
      <c r="BV129" s="59"/>
      <c r="BW129" s="59"/>
      <c r="BX129" s="59"/>
      <c r="BY129" s="59"/>
      <c r="BZ129" s="59"/>
      <c r="CA129" s="59"/>
    </row>
    <row r="130" spans="1:79">
      <c r="A130" s="59"/>
      <c r="B130" s="44" t="str">
        <f t="shared" si="3"/>
        <v/>
      </c>
      <c r="C130" s="67"/>
      <c r="D130" s="68"/>
      <c r="E130" s="68"/>
      <c r="F130" s="68"/>
      <c r="G130" s="68"/>
      <c r="H130" s="68"/>
      <c r="I130" s="69"/>
      <c r="J130" s="67"/>
      <c r="K130" s="68"/>
      <c r="L130" s="68"/>
      <c r="M130" s="68"/>
      <c r="N130" s="68"/>
      <c r="O130" s="68"/>
      <c r="P130" s="69"/>
      <c r="Q130" s="67"/>
      <c r="R130" s="68"/>
      <c r="S130" s="68"/>
      <c r="T130" s="68"/>
      <c r="U130" s="68"/>
      <c r="V130" s="68"/>
      <c r="W130" s="69"/>
      <c r="X130" s="67"/>
      <c r="Y130" s="68"/>
      <c r="Z130" s="68"/>
      <c r="AA130" s="68"/>
      <c r="AB130" s="68"/>
      <c r="AC130" s="68"/>
      <c r="AD130" s="69"/>
      <c r="AE130" s="67"/>
      <c r="AF130" s="68"/>
      <c r="AG130" s="68"/>
      <c r="AH130" s="68"/>
      <c r="AI130" s="68"/>
      <c r="AJ130" s="68"/>
      <c r="AK130" s="69"/>
      <c r="AL130" s="67"/>
      <c r="AM130" s="68"/>
      <c r="AN130" s="68"/>
      <c r="AO130" s="68"/>
      <c r="AP130" s="68"/>
      <c r="AQ130" s="68"/>
      <c r="AR130" s="69"/>
      <c r="AS130" s="67"/>
      <c r="AT130" s="68"/>
      <c r="AU130" s="68"/>
      <c r="AV130" s="68"/>
      <c r="AW130" s="68"/>
      <c r="AX130" s="68"/>
      <c r="AY130" s="69"/>
      <c r="AZ130" s="67"/>
      <c r="BA130" s="68"/>
      <c r="BB130" s="68"/>
      <c r="BC130" s="68"/>
      <c r="BD130" s="68"/>
      <c r="BE130" s="68"/>
      <c r="BF130" s="69"/>
      <c r="BG130" s="67"/>
      <c r="BH130" s="68"/>
      <c r="BI130" s="68"/>
      <c r="BJ130" s="68"/>
      <c r="BK130" s="68"/>
      <c r="BL130" s="68"/>
      <c r="BM130" s="69"/>
      <c r="BN130" s="67"/>
      <c r="BO130" s="68"/>
      <c r="BP130" s="68"/>
      <c r="BQ130" s="68"/>
      <c r="BR130" s="68"/>
      <c r="BS130" s="68"/>
      <c r="BT130" s="69"/>
      <c r="BU130" s="59"/>
      <c r="BV130" s="59"/>
      <c r="BW130" s="59"/>
      <c r="BX130" s="59"/>
      <c r="BY130" s="59"/>
      <c r="BZ130" s="59"/>
      <c r="CA130" s="59"/>
    </row>
    <row r="131" spans="1:79">
      <c r="A131" s="59"/>
      <c r="B131" s="44" t="str">
        <f t="shared" si="3"/>
        <v/>
      </c>
      <c r="C131" s="67"/>
      <c r="D131" s="68"/>
      <c r="E131" s="68"/>
      <c r="F131" s="68"/>
      <c r="G131" s="68"/>
      <c r="H131" s="68"/>
      <c r="I131" s="69"/>
      <c r="J131" s="67"/>
      <c r="K131" s="68"/>
      <c r="L131" s="68"/>
      <c r="M131" s="68"/>
      <c r="N131" s="68"/>
      <c r="O131" s="68"/>
      <c r="P131" s="69"/>
      <c r="Q131" s="67"/>
      <c r="R131" s="68"/>
      <c r="S131" s="68"/>
      <c r="T131" s="68"/>
      <c r="U131" s="68"/>
      <c r="V131" s="68"/>
      <c r="W131" s="69"/>
      <c r="X131" s="67"/>
      <c r="Y131" s="68"/>
      <c r="Z131" s="68"/>
      <c r="AA131" s="68"/>
      <c r="AB131" s="68"/>
      <c r="AC131" s="68"/>
      <c r="AD131" s="69"/>
      <c r="AE131" s="67"/>
      <c r="AF131" s="68"/>
      <c r="AG131" s="68"/>
      <c r="AH131" s="68"/>
      <c r="AI131" s="68"/>
      <c r="AJ131" s="68"/>
      <c r="AK131" s="69"/>
      <c r="AL131" s="67"/>
      <c r="AM131" s="68"/>
      <c r="AN131" s="68"/>
      <c r="AO131" s="68"/>
      <c r="AP131" s="68"/>
      <c r="AQ131" s="68"/>
      <c r="AR131" s="69"/>
      <c r="AS131" s="67"/>
      <c r="AT131" s="68"/>
      <c r="AU131" s="68"/>
      <c r="AV131" s="68"/>
      <c r="AW131" s="68"/>
      <c r="AX131" s="68"/>
      <c r="AY131" s="69"/>
      <c r="AZ131" s="67"/>
      <c r="BA131" s="68"/>
      <c r="BB131" s="68"/>
      <c r="BC131" s="68"/>
      <c r="BD131" s="68"/>
      <c r="BE131" s="68"/>
      <c r="BF131" s="69"/>
      <c r="BG131" s="67"/>
      <c r="BH131" s="68"/>
      <c r="BI131" s="68"/>
      <c r="BJ131" s="68"/>
      <c r="BK131" s="68"/>
      <c r="BL131" s="68"/>
      <c r="BM131" s="69"/>
      <c r="BN131" s="67"/>
      <c r="BO131" s="68"/>
      <c r="BP131" s="68"/>
      <c r="BQ131" s="68"/>
      <c r="BR131" s="68"/>
      <c r="BS131" s="68"/>
      <c r="BT131" s="69"/>
      <c r="BU131" s="59"/>
      <c r="BV131" s="59"/>
      <c r="BW131" s="59"/>
      <c r="BX131" s="59"/>
      <c r="BY131" s="59"/>
      <c r="BZ131" s="59"/>
      <c r="CA131" s="59"/>
    </row>
    <row r="132" spans="1:79">
      <c r="A132" s="59"/>
      <c r="B132" s="44" t="str">
        <f t="shared" si="3"/>
        <v/>
      </c>
      <c r="C132" s="67"/>
      <c r="D132" s="68"/>
      <c r="E132" s="68"/>
      <c r="F132" s="68"/>
      <c r="G132" s="68"/>
      <c r="H132" s="68"/>
      <c r="I132" s="69"/>
      <c r="J132" s="67"/>
      <c r="K132" s="68"/>
      <c r="L132" s="68"/>
      <c r="M132" s="68"/>
      <c r="N132" s="68"/>
      <c r="O132" s="68"/>
      <c r="P132" s="69"/>
      <c r="Q132" s="67"/>
      <c r="R132" s="68"/>
      <c r="S132" s="68"/>
      <c r="T132" s="68"/>
      <c r="U132" s="68"/>
      <c r="V132" s="68"/>
      <c r="W132" s="69"/>
      <c r="X132" s="67"/>
      <c r="Y132" s="68"/>
      <c r="Z132" s="68"/>
      <c r="AA132" s="68"/>
      <c r="AB132" s="68"/>
      <c r="AC132" s="68"/>
      <c r="AD132" s="69"/>
      <c r="AE132" s="67"/>
      <c r="AF132" s="68"/>
      <c r="AG132" s="68"/>
      <c r="AH132" s="68"/>
      <c r="AI132" s="68"/>
      <c r="AJ132" s="68"/>
      <c r="AK132" s="69"/>
      <c r="AL132" s="67"/>
      <c r="AM132" s="68"/>
      <c r="AN132" s="68"/>
      <c r="AO132" s="68"/>
      <c r="AP132" s="68"/>
      <c r="AQ132" s="68"/>
      <c r="AR132" s="69"/>
      <c r="AS132" s="67"/>
      <c r="AT132" s="68"/>
      <c r="AU132" s="68"/>
      <c r="AV132" s="68"/>
      <c r="AW132" s="68"/>
      <c r="AX132" s="68"/>
      <c r="AY132" s="69"/>
      <c r="AZ132" s="67"/>
      <c r="BA132" s="68"/>
      <c r="BB132" s="68"/>
      <c r="BC132" s="68"/>
      <c r="BD132" s="68"/>
      <c r="BE132" s="68"/>
      <c r="BF132" s="69"/>
      <c r="BG132" s="67"/>
      <c r="BH132" s="68"/>
      <c r="BI132" s="68"/>
      <c r="BJ132" s="68"/>
      <c r="BK132" s="68"/>
      <c r="BL132" s="68"/>
      <c r="BM132" s="69"/>
      <c r="BN132" s="67"/>
      <c r="BO132" s="68"/>
      <c r="BP132" s="68"/>
      <c r="BQ132" s="68"/>
      <c r="BR132" s="68"/>
      <c r="BS132" s="68"/>
      <c r="BT132" s="69"/>
      <c r="BU132" s="59"/>
      <c r="BV132" s="59"/>
      <c r="BW132" s="59"/>
      <c r="BX132" s="59"/>
      <c r="BY132" s="59"/>
      <c r="BZ132" s="59"/>
      <c r="CA132" s="59"/>
    </row>
    <row r="133" spans="1:79">
      <c r="A133" s="59"/>
      <c r="B133" s="44" t="str">
        <f t="shared" si="3"/>
        <v/>
      </c>
      <c r="C133" s="67"/>
      <c r="D133" s="68"/>
      <c r="E133" s="68"/>
      <c r="F133" s="68"/>
      <c r="G133" s="68"/>
      <c r="H133" s="68"/>
      <c r="I133" s="69"/>
      <c r="J133" s="67"/>
      <c r="K133" s="68"/>
      <c r="L133" s="68"/>
      <c r="M133" s="68"/>
      <c r="N133" s="68"/>
      <c r="O133" s="68"/>
      <c r="P133" s="69"/>
      <c r="Q133" s="67"/>
      <c r="R133" s="68"/>
      <c r="S133" s="68"/>
      <c r="T133" s="68"/>
      <c r="U133" s="68"/>
      <c r="V133" s="68"/>
      <c r="W133" s="69"/>
      <c r="X133" s="67"/>
      <c r="Y133" s="68"/>
      <c r="Z133" s="68"/>
      <c r="AA133" s="68"/>
      <c r="AB133" s="68"/>
      <c r="AC133" s="68"/>
      <c r="AD133" s="69"/>
      <c r="AE133" s="67"/>
      <c r="AF133" s="68"/>
      <c r="AG133" s="68"/>
      <c r="AH133" s="68"/>
      <c r="AI133" s="68"/>
      <c r="AJ133" s="68"/>
      <c r="AK133" s="69"/>
      <c r="AL133" s="67"/>
      <c r="AM133" s="68"/>
      <c r="AN133" s="68"/>
      <c r="AO133" s="68"/>
      <c r="AP133" s="68"/>
      <c r="AQ133" s="68"/>
      <c r="AR133" s="69"/>
      <c r="AS133" s="67"/>
      <c r="AT133" s="68"/>
      <c r="AU133" s="68"/>
      <c r="AV133" s="68"/>
      <c r="AW133" s="68"/>
      <c r="AX133" s="68"/>
      <c r="AY133" s="69"/>
      <c r="AZ133" s="67"/>
      <c r="BA133" s="68"/>
      <c r="BB133" s="68"/>
      <c r="BC133" s="68"/>
      <c r="BD133" s="68"/>
      <c r="BE133" s="68"/>
      <c r="BF133" s="69"/>
      <c r="BG133" s="67"/>
      <c r="BH133" s="68"/>
      <c r="BI133" s="68"/>
      <c r="BJ133" s="68"/>
      <c r="BK133" s="68"/>
      <c r="BL133" s="68"/>
      <c r="BM133" s="69"/>
      <c r="BN133" s="67"/>
      <c r="BO133" s="68"/>
      <c r="BP133" s="68"/>
      <c r="BQ133" s="68"/>
      <c r="BR133" s="68"/>
      <c r="BS133" s="68"/>
      <c r="BT133" s="69"/>
      <c r="BU133" s="59"/>
      <c r="BV133" s="59"/>
      <c r="BW133" s="59"/>
      <c r="BX133" s="59"/>
      <c r="BY133" s="59"/>
      <c r="BZ133" s="59"/>
      <c r="CA133" s="59"/>
    </row>
    <row r="134" spans="1:79">
      <c r="A134" s="59"/>
      <c r="B134" s="44" t="str">
        <f t="shared" si="3"/>
        <v/>
      </c>
      <c r="C134" s="67"/>
      <c r="D134" s="68"/>
      <c r="E134" s="68"/>
      <c r="F134" s="68"/>
      <c r="G134" s="68"/>
      <c r="H134" s="68"/>
      <c r="I134" s="69"/>
      <c r="J134" s="67"/>
      <c r="K134" s="68"/>
      <c r="L134" s="68"/>
      <c r="M134" s="68"/>
      <c r="N134" s="68"/>
      <c r="O134" s="68"/>
      <c r="P134" s="69"/>
      <c r="Q134" s="67"/>
      <c r="R134" s="68"/>
      <c r="S134" s="68"/>
      <c r="T134" s="68"/>
      <c r="U134" s="68"/>
      <c r="V134" s="68"/>
      <c r="W134" s="69"/>
      <c r="X134" s="67"/>
      <c r="Y134" s="68"/>
      <c r="Z134" s="68"/>
      <c r="AA134" s="68"/>
      <c r="AB134" s="68"/>
      <c r="AC134" s="68"/>
      <c r="AD134" s="69"/>
      <c r="AE134" s="67"/>
      <c r="AF134" s="68"/>
      <c r="AG134" s="68"/>
      <c r="AH134" s="68"/>
      <c r="AI134" s="68"/>
      <c r="AJ134" s="68"/>
      <c r="AK134" s="69"/>
      <c r="AL134" s="67"/>
      <c r="AM134" s="68"/>
      <c r="AN134" s="68"/>
      <c r="AO134" s="68"/>
      <c r="AP134" s="68"/>
      <c r="AQ134" s="68"/>
      <c r="AR134" s="69"/>
      <c r="AS134" s="67"/>
      <c r="AT134" s="68"/>
      <c r="AU134" s="68"/>
      <c r="AV134" s="68"/>
      <c r="AW134" s="68"/>
      <c r="AX134" s="68"/>
      <c r="AY134" s="69"/>
      <c r="AZ134" s="67"/>
      <c r="BA134" s="68"/>
      <c r="BB134" s="68"/>
      <c r="BC134" s="68"/>
      <c r="BD134" s="68"/>
      <c r="BE134" s="68"/>
      <c r="BF134" s="69"/>
      <c r="BG134" s="67"/>
      <c r="BH134" s="68"/>
      <c r="BI134" s="68"/>
      <c r="BJ134" s="68"/>
      <c r="BK134" s="68"/>
      <c r="BL134" s="68"/>
      <c r="BM134" s="69"/>
      <c r="BN134" s="67"/>
      <c r="BO134" s="68"/>
      <c r="BP134" s="68"/>
      <c r="BQ134" s="68"/>
      <c r="BR134" s="68"/>
      <c r="BS134" s="68"/>
      <c r="BT134" s="69"/>
      <c r="BU134" s="59"/>
      <c r="BV134" s="59"/>
      <c r="BW134" s="59"/>
      <c r="BX134" s="59"/>
      <c r="BY134" s="59"/>
      <c r="BZ134" s="59"/>
      <c r="CA134" s="59"/>
    </row>
    <row r="135" spans="1:79">
      <c r="A135" s="59"/>
      <c r="B135" s="44" t="str">
        <f t="shared" si="3"/>
        <v/>
      </c>
      <c r="C135" s="67"/>
      <c r="D135" s="68"/>
      <c r="E135" s="68"/>
      <c r="F135" s="68"/>
      <c r="G135" s="68"/>
      <c r="H135" s="68"/>
      <c r="I135" s="69"/>
      <c r="J135" s="67"/>
      <c r="K135" s="68"/>
      <c r="L135" s="68"/>
      <c r="M135" s="68"/>
      <c r="N135" s="68"/>
      <c r="O135" s="68"/>
      <c r="P135" s="69"/>
      <c r="Q135" s="67"/>
      <c r="R135" s="68"/>
      <c r="S135" s="68"/>
      <c r="T135" s="68"/>
      <c r="U135" s="68"/>
      <c r="V135" s="68"/>
      <c r="W135" s="69"/>
      <c r="X135" s="67"/>
      <c r="Y135" s="68"/>
      <c r="Z135" s="68"/>
      <c r="AA135" s="68"/>
      <c r="AB135" s="68"/>
      <c r="AC135" s="68"/>
      <c r="AD135" s="69"/>
      <c r="AE135" s="67"/>
      <c r="AF135" s="68"/>
      <c r="AG135" s="68"/>
      <c r="AH135" s="68"/>
      <c r="AI135" s="68"/>
      <c r="AJ135" s="68"/>
      <c r="AK135" s="69"/>
      <c r="AL135" s="67"/>
      <c r="AM135" s="68"/>
      <c r="AN135" s="68"/>
      <c r="AO135" s="68"/>
      <c r="AP135" s="68"/>
      <c r="AQ135" s="68"/>
      <c r="AR135" s="69"/>
      <c r="AS135" s="67"/>
      <c r="AT135" s="68"/>
      <c r="AU135" s="68"/>
      <c r="AV135" s="68"/>
      <c r="AW135" s="68"/>
      <c r="AX135" s="68"/>
      <c r="AY135" s="69"/>
      <c r="AZ135" s="67"/>
      <c r="BA135" s="68"/>
      <c r="BB135" s="68"/>
      <c r="BC135" s="68"/>
      <c r="BD135" s="68"/>
      <c r="BE135" s="68"/>
      <c r="BF135" s="69"/>
      <c r="BG135" s="67"/>
      <c r="BH135" s="68"/>
      <c r="BI135" s="68"/>
      <c r="BJ135" s="68"/>
      <c r="BK135" s="68"/>
      <c r="BL135" s="68"/>
      <c r="BM135" s="69"/>
      <c r="BN135" s="67"/>
      <c r="BO135" s="68"/>
      <c r="BP135" s="68"/>
      <c r="BQ135" s="68"/>
      <c r="BR135" s="68"/>
      <c r="BS135" s="68"/>
      <c r="BT135" s="69"/>
      <c r="BU135" s="59"/>
      <c r="BV135" s="59"/>
      <c r="BW135" s="59"/>
      <c r="BX135" s="59"/>
      <c r="BY135" s="59"/>
      <c r="BZ135" s="59"/>
      <c r="CA135" s="59"/>
    </row>
    <row r="136" spans="1:79">
      <c r="A136" s="59"/>
      <c r="B136" s="44" t="str">
        <f t="shared" si="3"/>
        <v/>
      </c>
      <c r="C136" s="67"/>
      <c r="D136" s="68"/>
      <c r="E136" s="68"/>
      <c r="F136" s="68"/>
      <c r="G136" s="68"/>
      <c r="H136" s="68"/>
      <c r="I136" s="69"/>
      <c r="J136" s="67"/>
      <c r="K136" s="68"/>
      <c r="L136" s="68"/>
      <c r="M136" s="68"/>
      <c r="N136" s="68"/>
      <c r="O136" s="68"/>
      <c r="P136" s="69"/>
      <c r="Q136" s="67"/>
      <c r="R136" s="68"/>
      <c r="S136" s="68"/>
      <c r="T136" s="68"/>
      <c r="U136" s="68"/>
      <c r="V136" s="68"/>
      <c r="W136" s="69"/>
      <c r="X136" s="67"/>
      <c r="Y136" s="68"/>
      <c r="Z136" s="68"/>
      <c r="AA136" s="68"/>
      <c r="AB136" s="68"/>
      <c r="AC136" s="68"/>
      <c r="AD136" s="69"/>
      <c r="AE136" s="67"/>
      <c r="AF136" s="68"/>
      <c r="AG136" s="68"/>
      <c r="AH136" s="68"/>
      <c r="AI136" s="68"/>
      <c r="AJ136" s="68"/>
      <c r="AK136" s="69"/>
      <c r="AL136" s="67"/>
      <c r="AM136" s="68"/>
      <c r="AN136" s="68"/>
      <c r="AO136" s="68"/>
      <c r="AP136" s="68"/>
      <c r="AQ136" s="68"/>
      <c r="AR136" s="69"/>
      <c r="AS136" s="67"/>
      <c r="AT136" s="68"/>
      <c r="AU136" s="68"/>
      <c r="AV136" s="68"/>
      <c r="AW136" s="68"/>
      <c r="AX136" s="68"/>
      <c r="AY136" s="69"/>
      <c r="AZ136" s="67"/>
      <c r="BA136" s="68"/>
      <c r="BB136" s="68"/>
      <c r="BC136" s="68"/>
      <c r="BD136" s="68"/>
      <c r="BE136" s="68"/>
      <c r="BF136" s="69"/>
      <c r="BG136" s="67"/>
      <c r="BH136" s="68"/>
      <c r="BI136" s="68"/>
      <c r="BJ136" s="68"/>
      <c r="BK136" s="68"/>
      <c r="BL136" s="68"/>
      <c r="BM136" s="69"/>
      <c r="BN136" s="67"/>
      <c r="BO136" s="68"/>
      <c r="BP136" s="68"/>
      <c r="BQ136" s="68"/>
      <c r="BR136" s="68"/>
      <c r="BS136" s="68"/>
      <c r="BT136" s="69"/>
      <c r="BU136" s="59"/>
      <c r="BV136" s="59"/>
      <c r="BW136" s="59"/>
      <c r="BX136" s="59"/>
      <c r="BY136" s="59"/>
      <c r="BZ136" s="59"/>
      <c r="CA136" s="59"/>
    </row>
    <row r="137" spans="1:79">
      <c r="A137" s="59"/>
      <c r="B137" s="44" t="str">
        <f t="shared" si="3"/>
        <v/>
      </c>
      <c r="C137" s="67"/>
      <c r="D137" s="68"/>
      <c r="E137" s="68"/>
      <c r="F137" s="68"/>
      <c r="G137" s="68"/>
      <c r="H137" s="68"/>
      <c r="I137" s="69"/>
      <c r="J137" s="67"/>
      <c r="K137" s="68"/>
      <c r="L137" s="68"/>
      <c r="M137" s="68"/>
      <c r="N137" s="68"/>
      <c r="O137" s="68"/>
      <c r="P137" s="69"/>
      <c r="Q137" s="67"/>
      <c r="R137" s="68"/>
      <c r="S137" s="68"/>
      <c r="T137" s="68"/>
      <c r="U137" s="68"/>
      <c r="V137" s="68"/>
      <c r="W137" s="69"/>
      <c r="X137" s="67"/>
      <c r="Y137" s="68"/>
      <c r="Z137" s="68"/>
      <c r="AA137" s="68"/>
      <c r="AB137" s="68"/>
      <c r="AC137" s="68"/>
      <c r="AD137" s="69"/>
      <c r="AE137" s="67"/>
      <c r="AF137" s="68"/>
      <c r="AG137" s="68"/>
      <c r="AH137" s="68"/>
      <c r="AI137" s="68"/>
      <c r="AJ137" s="68"/>
      <c r="AK137" s="69"/>
      <c r="AL137" s="67"/>
      <c r="AM137" s="68"/>
      <c r="AN137" s="68"/>
      <c r="AO137" s="68"/>
      <c r="AP137" s="68"/>
      <c r="AQ137" s="68"/>
      <c r="AR137" s="69"/>
      <c r="AS137" s="67"/>
      <c r="AT137" s="68"/>
      <c r="AU137" s="68"/>
      <c r="AV137" s="68"/>
      <c r="AW137" s="68"/>
      <c r="AX137" s="68"/>
      <c r="AY137" s="69"/>
      <c r="AZ137" s="67"/>
      <c r="BA137" s="68"/>
      <c r="BB137" s="68"/>
      <c r="BC137" s="68"/>
      <c r="BD137" s="68"/>
      <c r="BE137" s="68"/>
      <c r="BF137" s="69"/>
      <c r="BG137" s="67"/>
      <c r="BH137" s="68"/>
      <c r="BI137" s="68"/>
      <c r="BJ137" s="68"/>
      <c r="BK137" s="68"/>
      <c r="BL137" s="68"/>
      <c r="BM137" s="69"/>
      <c r="BN137" s="67"/>
      <c r="BO137" s="68"/>
      <c r="BP137" s="68"/>
      <c r="BQ137" s="68"/>
      <c r="BR137" s="68"/>
      <c r="BS137" s="68"/>
      <c r="BT137" s="69"/>
      <c r="BU137" s="59"/>
      <c r="BV137" s="59"/>
      <c r="BW137" s="59"/>
      <c r="BX137" s="59"/>
      <c r="BY137" s="59"/>
      <c r="BZ137" s="59"/>
      <c r="CA137" s="59"/>
    </row>
    <row r="138" spans="1:79">
      <c r="A138" s="59"/>
      <c r="B138" s="44" t="str">
        <f t="shared" si="3"/>
        <v/>
      </c>
      <c r="C138" s="67"/>
      <c r="D138" s="68"/>
      <c r="E138" s="68"/>
      <c r="F138" s="68"/>
      <c r="G138" s="68"/>
      <c r="H138" s="68"/>
      <c r="I138" s="69"/>
      <c r="J138" s="67"/>
      <c r="K138" s="68"/>
      <c r="L138" s="68"/>
      <c r="M138" s="68"/>
      <c r="N138" s="68"/>
      <c r="O138" s="68"/>
      <c r="P138" s="69"/>
      <c r="Q138" s="67"/>
      <c r="R138" s="68"/>
      <c r="S138" s="68"/>
      <c r="T138" s="68"/>
      <c r="U138" s="68"/>
      <c r="V138" s="68"/>
      <c r="W138" s="69"/>
      <c r="X138" s="67"/>
      <c r="Y138" s="68"/>
      <c r="Z138" s="68"/>
      <c r="AA138" s="68"/>
      <c r="AB138" s="68"/>
      <c r="AC138" s="68"/>
      <c r="AD138" s="69"/>
      <c r="AE138" s="67"/>
      <c r="AF138" s="68"/>
      <c r="AG138" s="68"/>
      <c r="AH138" s="68"/>
      <c r="AI138" s="68"/>
      <c r="AJ138" s="68"/>
      <c r="AK138" s="69"/>
      <c r="AL138" s="67"/>
      <c r="AM138" s="68"/>
      <c r="AN138" s="68"/>
      <c r="AO138" s="68"/>
      <c r="AP138" s="68"/>
      <c r="AQ138" s="68"/>
      <c r="AR138" s="69"/>
      <c r="AS138" s="67"/>
      <c r="AT138" s="68"/>
      <c r="AU138" s="68"/>
      <c r="AV138" s="68"/>
      <c r="AW138" s="68"/>
      <c r="AX138" s="68"/>
      <c r="AY138" s="69"/>
      <c r="AZ138" s="67"/>
      <c r="BA138" s="68"/>
      <c r="BB138" s="68"/>
      <c r="BC138" s="68"/>
      <c r="BD138" s="68"/>
      <c r="BE138" s="68"/>
      <c r="BF138" s="69"/>
      <c r="BG138" s="67"/>
      <c r="BH138" s="68"/>
      <c r="BI138" s="68"/>
      <c r="BJ138" s="68"/>
      <c r="BK138" s="68"/>
      <c r="BL138" s="68"/>
      <c r="BM138" s="69"/>
      <c r="BN138" s="67"/>
      <c r="BO138" s="68"/>
      <c r="BP138" s="68"/>
      <c r="BQ138" s="68"/>
      <c r="BR138" s="68"/>
      <c r="BS138" s="68"/>
      <c r="BT138" s="69"/>
      <c r="BU138" s="59"/>
      <c r="BV138" s="59"/>
      <c r="BW138" s="59"/>
      <c r="BX138" s="59"/>
      <c r="BY138" s="59"/>
      <c r="BZ138" s="59"/>
      <c r="CA138" s="59"/>
    </row>
    <row r="139" spans="1:79">
      <c r="A139" s="59"/>
      <c r="B139" s="44" t="str">
        <f t="shared" ref="B139:B170" si="4">IF(Start_year+ROW(B139)-ROW($B$11)&gt;End_year,"",Start_year+ROW(B139)-ROW($B$11))</f>
        <v/>
      </c>
      <c r="C139" s="67"/>
      <c r="D139" s="68"/>
      <c r="E139" s="68"/>
      <c r="F139" s="68"/>
      <c r="G139" s="68"/>
      <c r="H139" s="68"/>
      <c r="I139" s="69"/>
      <c r="J139" s="67"/>
      <c r="K139" s="68"/>
      <c r="L139" s="68"/>
      <c r="M139" s="68"/>
      <c r="N139" s="68"/>
      <c r="O139" s="68"/>
      <c r="P139" s="69"/>
      <c r="Q139" s="67"/>
      <c r="R139" s="68"/>
      <c r="S139" s="68"/>
      <c r="T139" s="68"/>
      <c r="U139" s="68"/>
      <c r="V139" s="68"/>
      <c r="W139" s="69"/>
      <c r="X139" s="67"/>
      <c r="Y139" s="68"/>
      <c r="Z139" s="68"/>
      <c r="AA139" s="68"/>
      <c r="AB139" s="68"/>
      <c r="AC139" s="68"/>
      <c r="AD139" s="69"/>
      <c r="AE139" s="67"/>
      <c r="AF139" s="68"/>
      <c r="AG139" s="68"/>
      <c r="AH139" s="68"/>
      <c r="AI139" s="68"/>
      <c r="AJ139" s="68"/>
      <c r="AK139" s="69"/>
      <c r="AL139" s="67"/>
      <c r="AM139" s="68"/>
      <c r="AN139" s="68"/>
      <c r="AO139" s="68"/>
      <c r="AP139" s="68"/>
      <c r="AQ139" s="68"/>
      <c r="AR139" s="69"/>
      <c r="AS139" s="67"/>
      <c r="AT139" s="68"/>
      <c r="AU139" s="68"/>
      <c r="AV139" s="68"/>
      <c r="AW139" s="68"/>
      <c r="AX139" s="68"/>
      <c r="AY139" s="69"/>
      <c r="AZ139" s="67"/>
      <c r="BA139" s="68"/>
      <c r="BB139" s="68"/>
      <c r="BC139" s="68"/>
      <c r="BD139" s="68"/>
      <c r="BE139" s="68"/>
      <c r="BF139" s="69"/>
      <c r="BG139" s="67"/>
      <c r="BH139" s="68"/>
      <c r="BI139" s="68"/>
      <c r="BJ139" s="68"/>
      <c r="BK139" s="68"/>
      <c r="BL139" s="68"/>
      <c r="BM139" s="69"/>
      <c r="BN139" s="67"/>
      <c r="BO139" s="68"/>
      <c r="BP139" s="68"/>
      <c r="BQ139" s="68"/>
      <c r="BR139" s="68"/>
      <c r="BS139" s="68"/>
      <c r="BT139" s="69"/>
      <c r="BU139" s="59"/>
      <c r="BV139" s="59"/>
      <c r="BW139" s="59"/>
      <c r="BX139" s="59"/>
      <c r="BY139" s="59"/>
      <c r="BZ139" s="59"/>
      <c r="CA139" s="59"/>
    </row>
    <row r="140" spans="1:79">
      <c r="A140" s="59"/>
      <c r="B140" s="44" t="str">
        <f t="shared" si="4"/>
        <v/>
      </c>
      <c r="C140" s="67"/>
      <c r="D140" s="68"/>
      <c r="E140" s="68"/>
      <c r="F140" s="68"/>
      <c r="G140" s="68"/>
      <c r="H140" s="68"/>
      <c r="I140" s="69"/>
      <c r="J140" s="67"/>
      <c r="K140" s="68"/>
      <c r="L140" s="68"/>
      <c r="M140" s="68"/>
      <c r="N140" s="68"/>
      <c r="O140" s="68"/>
      <c r="P140" s="69"/>
      <c r="Q140" s="67"/>
      <c r="R140" s="68"/>
      <c r="S140" s="68"/>
      <c r="T140" s="68"/>
      <c r="U140" s="68"/>
      <c r="V140" s="68"/>
      <c r="W140" s="69"/>
      <c r="X140" s="67"/>
      <c r="Y140" s="68"/>
      <c r="Z140" s="68"/>
      <c r="AA140" s="68"/>
      <c r="AB140" s="68"/>
      <c r="AC140" s="68"/>
      <c r="AD140" s="69"/>
      <c r="AE140" s="67"/>
      <c r="AF140" s="68"/>
      <c r="AG140" s="68"/>
      <c r="AH140" s="68"/>
      <c r="AI140" s="68"/>
      <c r="AJ140" s="68"/>
      <c r="AK140" s="69"/>
      <c r="AL140" s="67"/>
      <c r="AM140" s="68"/>
      <c r="AN140" s="68"/>
      <c r="AO140" s="68"/>
      <c r="AP140" s="68"/>
      <c r="AQ140" s="68"/>
      <c r="AR140" s="69"/>
      <c r="AS140" s="67"/>
      <c r="AT140" s="68"/>
      <c r="AU140" s="68"/>
      <c r="AV140" s="68"/>
      <c r="AW140" s="68"/>
      <c r="AX140" s="68"/>
      <c r="AY140" s="69"/>
      <c r="AZ140" s="67"/>
      <c r="BA140" s="68"/>
      <c r="BB140" s="68"/>
      <c r="BC140" s="68"/>
      <c r="BD140" s="68"/>
      <c r="BE140" s="68"/>
      <c r="BF140" s="69"/>
      <c r="BG140" s="67"/>
      <c r="BH140" s="68"/>
      <c r="BI140" s="68"/>
      <c r="BJ140" s="68"/>
      <c r="BK140" s="68"/>
      <c r="BL140" s="68"/>
      <c r="BM140" s="69"/>
      <c r="BN140" s="67"/>
      <c r="BO140" s="68"/>
      <c r="BP140" s="68"/>
      <c r="BQ140" s="68"/>
      <c r="BR140" s="68"/>
      <c r="BS140" s="68"/>
      <c r="BT140" s="69"/>
      <c r="BU140" s="59"/>
      <c r="BV140" s="59"/>
      <c r="BW140" s="59"/>
      <c r="BX140" s="59"/>
      <c r="BY140" s="59"/>
      <c r="BZ140" s="59"/>
      <c r="CA140" s="59"/>
    </row>
    <row r="141" spans="1:79">
      <c r="A141" s="59"/>
      <c r="B141" s="44" t="str">
        <f t="shared" si="4"/>
        <v/>
      </c>
      <c r="C141" s="67"/>
      <c r="D141" s="68"/>
      <c r="E141" s="68"/>
      <c r="F141" s="68"/>
      <c r="G141" s="68"/>
      <c r="H141" s="68"/>
      <c r="I141" s="69"/>
      <c r="J141" s="67"/>
      <c r="K141" s="68"/>
      <c r="L141" s="68"/>
      <c r="M141" s="68"/>
      <c r="N141" s="68"/>
      <c r="O141" s="68"/>
      <c r="P141" s="69"/>
      <c r="Q141" s="67"/>
      <c r="R141" s="68"/>
      <c r="S141" s="68"/>
      <c r="T141" s="68"/>
      <c r="U141" s="68"/>
      <c r="V141" s="68"/>
      <c r="W141" s="69"/>
      <c r="X141" s="67"/>
      <c r="Y141" s="68"/>
      <c r="Z141" s="68"/>
      <c r="AA141" s="68"/>
      <c r="AB141" s="68"/>
      <c r="AC141" s="68"/>
      <c r="AD141" s="69"/>
      <c r="AE141" s="67"/>
      <c r="AF141" s="68"/>
      <c r="AG141" s="68"/>
      <c r="AH141" s="68"/>
      <c r="AI141" s="68"/>
      <c r="AJ141" s="68"/>
      <c r="AK141" s="69"/>
      <c r="AL141" s="67"/>
      <c r="AM141" s="68"/>
      <c r="AN141" s="68"/>
      <c r="AO141" s="68"/>
      <c r="AP141" s="68"/>
      <c r="AQ141" s="68"/>
      <c r="AR141" s="69"/>
      <c r="AS141" s="67"/>
      <c r="AT141" s="68"/>
      <c r="AU141" s="68"/>
      <c r="AV141" s="68"/>
      <c r="AW141" s="68"/>
      <c r="AX141" s="68"/>
      <c r="AY141" s="69"/>
      <c r="AZ141" s="67"/>
      <c r="BA141" s="68"/>
      <c r="BB141" s="68"/>
      <c r="BC141" s="68"/>
      <c r="BD141" s="68"/>
      <c r="BE141" s="68"/>
      <c r="BF141" s="69"/>
      <c r="BG141" s="67"/>
      <c r="BH141" s="68"/>
      <c r="BI141" s="68"/>
      <c r="BJ141" s="68"/>
      <c r="BK141" s="68"/>
      <c r="BL141" s="68"/>
      <c r="BM141" s="69"/>
      <c r="BN141" s="67"/>
      <c r="BO141" s="68"/>
      <c r="BP141" s="68"/>
      <c r="BQ141" s="68"/>
      <c r="BR141" s="68"/>
      <c r="BS141" s="68"/>
      <c r="BT141" s="69"/>
      <c r="BU141" s="59"/>
      <c r="BV141" s="59"/>
      <c r="BW141" s="59"/>
      <c r="BX141" s="59"/>
      <c r="BY141" s="59"/>
      <c r="BZ141" s="59"/>
      <c r="CA141" s="59"/>
    </row>
    <row r="142" spans="1:79">
      <c r="A142" s="59"/>
      <c r="B142" s="44" t="str">
        <f t="shared" si="4"/>
        <v/>
      </c>
      <c r="C142" s="67"/>
      <c r="D142" s="68"/>
      <c r="E142" s="68"/>
      <c r="F142" s="68"/>
      <c r="G142" s="68"/>
      <c r="H142" s="68"/>
      <c r="I142" s="69"/>
      <c r="J142" s="67"/>
      <c r="K142" s="68"/>
      <c r="L142" s="68"/>
      <c r="M142" s="68"/>
      <c r="N142" s="68"/>
      <c r="O142" s="68"/>
      <c r="P142" s="69"/>
      <c r="Q142" s="67"/>
      <c r="R142" s="68"/>
      <c r="S142" s="68"/>
      <c r="T142" s="68"/>
      <c r="U142" s="68"/>
      <c r="V142" s="68"/>
      <c r="W142" s="69"/>
      <c r="X142" s="67"/>
      <c r="Y142" s="68"/>
      <c r="Z142" s="68"/>
      <c r="AA142" s="68"/>
      <c r="AB142" s="68"/>
      <c r="AC142" s="68"/>
      <c r="AD142" s="69"/>
      <c r="AE142" s="67"/>
      <c r="AF142" s="68"/>
      <c r="AG142" s="68"/>
      <c r="AH142" s="68"/>
      <c r="AI142" s="68"/>
      <c r="AJ142" s="68"/>
      <c r="AK142" s="69"/>
      <c r="AL142" s="67"/>
      <c r="AM142" s="68"/>
      <c r="AN142" s="68"/>
      <c r="AO142" s="68"/>
      <c r="AP142" s="68"/>
      <c r="AQ142" s="68"/>
      <c r="AR142" s="69"/>
      <c r="AS142" s="67"/>
      <c r="AT142" s="68"/>
      <c r="AU142" s="68"/>
      <c r="AV142" s="68"/>
      <c r="AW142" s="68"/>
      <c r="AX142" s="68"/>
      <c r="AY142" s="69"/>
      <c r="AZ142" s="67"/>
      <c r="BA142" s="68"/>
      <c r="BB142" s="68"/>
      <c r="BC142" s="68"/>
      <c r="BD142" s="68"/>
      <c r="BE142" s="68"/>
      <c r="BF142" s="69"/>
      <c r="BG142" s="67"/>
      <c r="BH142" s="68"/>
      <c r="BI142" s="68"/>
      <c r="BJ142" s="68"/>
      <c r="BK142" s="68"/>
      <c r="BL142" s="68"/>
      <c r="BM142" s="69"/>
      <c r="BN142" s="67"/>
      <c r="BO142" s="68"/>
      <c r="BP142" s="68"/>
      <c r="BQ142" s="68"/>
      <c r="BR142" s="68"/>
      <c r="BS142" s="68"/>
      <c r="BT142" s="69"/>
      <c r="BU142" s="59"/>
      <c r="BV142" s="59"/>
      <c r="BW142" s="59"/>
      <c r="BX142" s="59"/>
      <c r="BY142" s="59"/>
      <c r="BZ142" s="59"/>
      <c r="CA142" s="59"/>
    </row>
    <row r="143" spans="1:79">
      <c r="A143" s="59"/>
      <c r="B143" s="44" t="str">
        <f t="shared" si="4"/>
        <v/>
      </c>
      <c r="C143" s="67"/>
      <c r="D143" s="68"/>
      <c r="E143" s="68"/>
      <c r="F143" s="68"/>
      <c r="G143" s="68"/>
      <c r="H143" s="68"/>
      <c r="I143" s="69"/>
      <c r="J143" s="67"/>
      <c r="K143" s="68"/>
      <c r="L143" s="68"/>
      <c r="M143" s="68"/>
      <c r="N143" s="68"/>
      <c r="O143" s="68"/>
      <c r="P143" s="69"/>
      <c r="Q143" s="67"/>
      <c r="R143" s="68"/>
      <c r="S143" s="68"/>
      <c r="T143" s="68"/>
      <c r="U143" s="68"/>
      <c r="V143" s="68"/>
      <c r="W143" s="69"/>
      <c r="X143" s="67"/>
      <c r="Y143" s="68"/>
      <c r="Z143" s="68"/>
      <c r="AA143" s="68"/>
      <c r="AB143" s="68"/>
      <c r="AC143" s="68"/>
      <c r="AD143" s="69"/>
      <c r="AE143" s="67"/>
      <c r="AF143" s="68"/>
      <c r="AG143" s="68"/>
      <c r="AH143" s="68"/>
      <c r="AI143" s="68"/>
      <c r="AJ143" s="68"/>
      <c r="AK143" s="69"/>
      <c r="AL143" s="67"/>
      <c r="AM143" s="68"/>
      <c r="AN143" s="68"/>
      <c r="AO143" s="68"/>
      <c r="AP143" s="68"/>
      <c r="AQ143" s="68"/>
      <c r="AR143" s="69"/>
      <c r="AS143" s="67"/>
      <c r="AT143" s="68"/>
      <c r="AU143" s="68"/>
      <c r="AV143" s="68"/>
      <c r="AW143" s="68"/>
      <c r="AX143" s="68"/>
      <c r="AY143" s="69"/>
      <c r="AZ143" s="67"/>
      <c r="BA143" s="68"/>
      <c r="BB143" s="68"/>
      <c r="BC143" s="68"/>
      <c r="BD143" s="68"/>
      <c r="BE143" s="68"/>
      <c r="BF143" s="69"/>
      <c r="BG143" s="67"/>
      <c r="BH143" s="68"/>
      <c r="BI143" s="68"/>
      <c r="BJ143" s="68"/>
      <c r="BK143" s="68"/>
      <c r="BL143" s="68"/>
      <c r="BM143" s="69"/>
      <c r="BN143" s="67"/>
      <c r="BO143" s="68"/>
      <c r="BP143" s="68"/>
      <c r="BQ143" s="68"/>
      <c r="BR143" s="68"/>
      <c r="BS143" s="68"/>
      <c r="BT143" s="69"/>
      <c r="BU143" s="59"/>
      <c r="BV143" s="59"/>
      <c r="BW143" s="59"/>
      <c r="BX143" s="59"/>
      <c r="BY143" s="59"/>
      <c r="BZ143" s="59"/>
      <c r="CA143" s="59"/>
    </row>
    <row r="144" spans="1:79">
      <c r="A144" s="59"/>
      <c r="B144" s="44" t="str">
        <f t="shared" si="4"/>
        <v/>
      </c>
      <c r="C144" s="67"/>
      <c r="D144" s="68"/>
      <c r="E144" s="68"/>
      <c r="F144" s="68"/>
      <c r="G144" s="68"/>
      <c r="H144" s="68"/>
      <c r="I144" s="69"/>
      <c r="J144" s="67"/>
      <c r="K144" s="68"/>
      <c r="L144" s="68"/>
      <c r="M144" s="68"/>
      <c r="N144" s="68"/>
      <c r="O144" s="68"/>
      <c r="P144" s="69"/>
      <c r="Q144" s="67"/>
      <c r="R144" s="68"/>
      <c r="S144" s="68"/>
      <c r="T144" s="68"/>
      <c r="U144" s="68"/>
      <c r="V144" s="68"/>
      <c r="W144" s="69"/>
      <c r="X144" s="67"/>
      <c r="Y144" s="68"/>
      <c r="Z144" s="68"/>
      <c r="AA144" s="68"/>
      <c r="AB144" s="68"/>
      <c r="AC144" s="68"/>
      <c r="AD144" s="69"/>
      <c r="AE144" s="67"/>
      <c r="AF144" s="68"/>
      <c r="AG144" s="68"/>
      <c r="AH144" s="68"/>
      <c r="AI144" s="68"/>
      <c r="AJ144" s="68"/>
      <c r="AK144" s="69"/>
      <c r="AL144" s="67"/>
      <c r="AM144" s="68"/>
      <c r="AN144" s="68"/>
      <c r="AO144" s="68"/>
      <c r="AP144" s="68"/>
      <c r="AQ144" s="68"/>
      <c r="AR144" s="69"/>
      <c r="AS144" s="67"/>
      <c r="AT144" s="68"/>
      <c r="AU144" s="68"/>
      <c r="AV144" s="68"/>
      <c r="AW144" s="68"/>
      <c r="AX144" s="68"/>
      <c r="AY144" s="69"/>
      <c r="AZ144" s="67"/>
      <c r="BA144" s="68"/>
      <c r="BB144" s="68"/>
      <c r="BC144" s="68"/>
      <c r="BD144" s="68"/>
      <c r="BE144" s="68"/>
      <c r="BF144" s="69"/>
      <c r="BG144" s="67"/>
      <c r="BH144" s="68"/>
      <c r="BI144" s="68"/>
      <c r="BJ144" s="68"/>
      <c r="BK144" s="68"/>
      <c r="BL144" s="68"/>
      <c r="BM144" s="69"/>
      <c r="BN144" s="67"/>
      <c r="BO144" s="68"/>
      <c r="BP144" s="68"/>
      <c r="BQ144" s="68"/>
      <c r="BR144" s="68"/>
      <c r="BS144" s="68"/>
      <c r="BT144" s="69"/>
      <c r="BU144" s="59"/>
      <c r="BV144" s="59"/>
      <c r="BW144" s="59"/>
      <c r="BX144" s="59"/>
      <c r="BY144" s="59"/>
      <c r="BZ144" s="59"/>
      <c r="CA144" s="59"/>
    </row>
    <row r="145" spans="1:79">
      <c r="A145" s="59"/>
      <c r="B145" s="44" t="str">
        <f t="shared" si="4"/>
        <v/>
      </c>
      <c r="C145" s="67"/>
      <c r="D145" s="68"/>
      <c r="E145" s="68"/>
      <c r="F145" s="68"/>
      <c r="G145" s="68"/>
      <c r="H145" s="68"/>
      <c r="I145" s="69"/>
      <c r="J145" s="67"/>
      <c r="K145" s="68"/>
      <c r="L145" s="68"/>
      <c r="M145" s="68"/>
      <c r="N145" s="68"/>
      <c r="O145" s="68"/>
      <c r="P145" s="69"/>
      <c r="Q145" s="67"/>
      <c r="R145" s="68"/>
      <c r="S145" s="68"/>
      <c r="T145" s="68"/>
      <c r="U145" s="68"/>
      <c r="V145" s="68"/>
      <c r="W145" s="69"/>
      <c r="X145" s="67"/>
      <c r="Y145" s="68"/>
      <c r="Z145" s="68"/>
      <c r="AA145" s="68"/>
      <c r="AB145" s="68"/>
      <c r="AC145" s="68"/>
      <c r="AD145" s="69"/>
      <c r="AE145" s="67"/>
      <c r="AF145" s="68"/>
      <c r="AG145" s="68"/>
      <c r="AH145" s="68"/>
      <c r="AI145" s="68"/>
      <c r="AJ145" s="68"/>
      <c r="AK145" s="69"/>
      <c r="AL145" s="67"/>
      <c r="AM145" s="68"/>
      <c r="AN145" s="68"/>
      <c r="AO145" s="68"/>
      <c r="AP145" s="68"/>
      <c r="AQ145" s="68"/>
      <c r="AR145" s="69"/>
      <c r="AS145" s="67"/>
      <c r="AT145" s="68"/>
      <c r="AU145" s="68"/>
      <c r="AV145" s="68"/>
      <c r="AW145" s="68"/>
      <c r="AX145" s="68"/>
      <c r="AY145" s="69"/>
      <c r="AZ145" s="67"/>
      <c r="BA145" s="68"/>
      <c r="BB145" s="68"/>
      <c r="BC145" s="68"/>
      <c r="BD145" s="68"/>
      <c r="BE145" s="68"/>
      <c r="BF145" s="69"/>
      <c r="BG145" s="67"/>
      <c r="BH145" s="68"/>
      <c r="BI145" s="68"/>
      <c r="BJ145" s="68"/>
      <c r="BK145" s="68"/>
      <c r="BL145" s="68"/>
      <c r="BM145" s="69"/>
      <c r="BN145" s="67"/>
      <c r="BO145" s="68"/>
      <c r="BP145" s="68"/>
      <c r="BQ145" s="68"/>
      <c r="BR145" s="68"/>
      <c r="BS145" s="68"/>
      <c r="BT145" s="69"/>
      <c r="BU145" s="59"/>
      <c r="BV145" s="59"/>
      <c r="BW145" s="59"/>
      <c r="BX145" s="59"/>
      <c r="BY145" s="59"/>
      <c r="BZ145" s="59"/>
      <c r="CA145" s="59"/>
    </row>
    <row r="146" spans="1:79">
      <c r="A146" s="59"/>
      <c r="B146" s="44" t="str">
        <f t="shared" si="4"/>
        <v/>
      </c>
      <c r="C146" s="67"/>
      <c r="D146" s="68"/>
      <c r="E146" s="68"/>
      <c r="F146" s="68"/>
      <c r="G146" s="68"/>
      <c r="H146" s="68"/>
      <c r="I146" s="69"/>
      <c r="J146" s="67"/>
      <c r="K146" s="68"/>
      <c r="L146" s="68"/>
      <c r="M146" s="68"/>
      <c r="N146" s="68"/>
      <c r="O146" s="68"/>
      <c r="P146" s="69"/>
      <c r="Q146" s="67"/>
      <c r="R146" s="68"/>
      <c r="S146" s="68"/>
      <c r="T146" s="68"/>
      <c r="U146" s="68"/>
      <c r="V146" s="68"/>
      <c r="W146" s="69"/>
      <c r="X146" s="67"/>
      <c r="Y146" s="68"/>
      <c r="Z146" s="68"/>
      <c r="AA146" s="68"/>
      <c r="AB146" s="68"/>
      <c r="AC146" s="68"/>
      <c r="AD146" s="69"/>
      <c r="AE146" s="67"/>
      <c r="AF146" s="68"/>
      <c r="AG146" s="68"/>
      <c r="AH146" s="68"/>
      <c r="AI146" s="68"/>
      <c r="AJ146" s="68"/>
      <c r="AK146" s="69"/>
      <c r="AL146" s="67"/>
      <c r="AM146" s="68"/>
      <c r="AN146" s="68"/>
      <c r="AO146" s="68"/>
      <c r="AP146" s="68"/>
      <c r="AQ146" s="68"/>
      <c r="AR146" s="69"/>
      <c r="AS146" s="67"/>
      <c r="AT146" s="68"/>
      <c r="AU146" s="68"/>
      <c r="AV146" s="68"/>
      <c r="AW146" s="68"/>
      <c r="AX146" s="68"/>
      <c r="AY146" s="69"/>
      <c r="AZ146" s="67"/>
      <c r="BA146" s="68"/>
      <c r="BB146" s="68"/>
      <c r="BC146" s="68"/>
      <c r="BD146" s="68"/>
      <c r="BE146" s="68"/>
      <c r="BF146" s="69"/>
      <c r="BG146" s="67"/>
      <c r="BH146" s="68"/>
      <c r="BI146" s="68"/>
      <c r="BJ146" s="68"/>
      <c r="BK146" s="68"/>
      <c r="BL146" s="68"/>
      <c r="BM146" s="69"/>
      <c r="BN146" s="67"/>
      <c r="BO146" s="68"/>
      <c r="BP146" s="68"/>
      <c r="BQ146" s="68"/>
      <c r="BR146" s="68"/>
      <c r="BS146" s="68"/>
      <c r="BT146" s="69"/>
      <c r="BU146" s="59"/>
      <c r="BV146" s="59"/>
      <c r="BW146" s="59"/>
      <c r="BX146" s="59"/>
      <c r="BY146" s="59"/>
      <c r="BZ146" s="59"/>
      <c r="CA146" s="59"/>
    </row>
    <row r="147" spans="1:79">
      <c r="A147" s="59"/>
      <c r="B147" s="44" t="str">
        <f t="shared" si="4"/>
        <v/>
      </c>
      <c r="C147" s="67"/>
      <c r="D147" s="68"/>
      <c r="E147" s="68"/>
      <c r="F147" s="68"/>
      <c r="G147" s="68"/>
      <c r="H147" s="68"/>
      <c r="I147" s="69"/>
      <c r="J147" s="67"/>
      <c r="K147" s="68"/>
      <c r="L147" s="68"/>
      <c r="M147" s="68"/>
      <c r="N147" s="68"/>
      <c r="O147" s="68"/>
      <c r="P147" s="69"/>
      <c r="Q147" s="67"/>
      <c r="R147" s="68"/>
      <c r="S147" s="68"/>
      <c r="T147" s="68"/>
      <c r="U147" s="68"/>
      <c r="V147" s="68"/>
      <c r="W147" s="69"/>
      <c r="X147" s="67"/>
      <c r="Y147" s="68"/>
      <c r="Z147" s="68"/>
      <c r="AA147" s="68"/>
      <c r="AB147" s="68"/>
      <c r="AC147" s="68"/>
      <c r="AD147" s="69"/>
      <c r="AE147" s="67"/>
      <c r="AF147" s="68"/>
      <c r="AG147" s="68"/>
      <c r="AH147" s="68"/>
      <c r="AI147" s="68"/>
      <c r="AJ147" s="68"/>
      <c r="AK147" s="69"/>
      <c r="AL147" s="67"/>
      <c r="AM147" s="68"/>
      <c r="AN147" s="68"/>
      <c r="AO147" s="68"/>
      <c r="AP147" s="68"/>
      <c r="AQ147" s="68"/>
      <c r="AR147" s="69"/>
      <c r="AS147" s="67"/>
      <c r="AT147" s="68"/>
      <c r="AU147" s="68"/>
      <c r="AV147" s="68"/>
      <c r="AW147" s="68"/>
      <c r="AX147" s="68"/>
      <c r="AY147" s="69"/>
      <c r="AZ147" s="67"/>
      <c r="BA147" s="68"/>
      <c r="BB147" s="68"/>
      <c r="BC147" s="68"/>
      <c r="BD147" s="68"/>
      <c r="BE147" s="68"/>
      <c r="BF147" s="69"/>
      <c r="BG147" s="67"/>
      <c r="BH147" s="68"/>
      <c r="BI147" s="68"/>
      <c r="BJ147" s="68"/>
      <c r="BK147" s="68"/>
      <c r="BL147" s="68"/>
      <c r="BM147" s="69"/>
      <c r="BN147" s="67"/>
      <c r="BO147" s="68"/>
      <c r="BP147" s="68"/>
      <c r="BQ147" s="68"/>
      <c r="BR147" s="68"/>
      <c r="BS147" s="68"/>
      <c r="BT147" s="69"/>
      <c r="BU147" s="59"/>
      <c r="BV147" s="59"/>
      <c r="BW147" s="59"/>
      <c r="BX147" s="59"/>
      <c r="BY147" s="59"/>
      <c r="BZ147" s="59"/>
      <c r="CA147" s="59"/>
    </row>
    <row r="148" spans="1:79">
      <c r="A148" s="59"/>
      <c r="B148" s="44" t="str">
        <f t="shared" si="4"/>
        <v/>
      </c>
      <c r="C148" s="67"/>
      <c r="D148" s="68"/>
      <c r="E148" s="68"/>
      <c r="F148" s="68"/>
      <c r="G148" s="68"/>
      <c r="H148" s="68"/>
      <c r="I148" s="69"/>
      <c r="J148" s="67"/>
      <c r="K148" s="68"/>
      <c r="L148" s="68"/>
      <c r="M148" s="68"/>
      <c r="N148" s="68"/>
      <c r="O148" s="68"/>
      <c r="P148" s="69"/>
      <c r="Q148" s="67"/>
      <c r="R148" s="68"/>
      <c r="S148" s="68"/>
      <c r="T148" s="68"/>
      <c r="U148" s="68"/>
      <c r="V148" s="68"/>
      <c r="W148" s="69"/>
      <c r="X148" s="67"/>
      <c r="Y148" s="68"/>
      <c r="Z148" s="68"/>
      <c r="AA148" s="68"/>
      <c r="AB148" s="68"/>
      <c r="AC148" s="68"/>
      <c r="AD148" s="69"/>
      <c r="AE148" s="67"/>
      <c r="AF148" s="68"/>
      <c r="AG148" s="68"/>
      <c r="AH148" s="68"/>
      <c r="AI148" s="68"/>
      <c r="AJ148" s="68"/>
      <c r="AK148" s="69"/>
      <c r="AL148" s="67"/>
      <c r="AM148" s="68"/>
      <c r="AN148" s="68"/>
      <c r="AO148" s="68"/>
      <c r="AP148" s="68"/>
      <c r="AQ148" s="68"/>
      <c r="AR148" s="69"/>
      <c r="AS148" s="67"/>
      <c r="AT148" s="68"/>
      <c r="AU148" s="68"/>
      <c r="AV148" s="68"/>
      <c r="AW148" s="68"/>
      <c r="AX148" s="68"/>
      <c r="AY148" s="69"/>
      <c r="AZ148" s="67"/>
      <c r="BA148" s="68"/>
      <c r="BB148" s="68"/>
      <c r="BC148" s="68"/>
      <c r="BD148" s="68"/>
      <c r="BE148" s="68"/>
      <c r="BF148" s="69"/>
      <c r="BG148" s="67"/>
      <c r="BH148" s="68"/>
      <c r="BI148" s="68"/>
      <c r="BJ148" s="68"/>
      <c r="BK148" s="68"/>
      <c r="BL148" s="68"/>
      <c r="BM148" s="69"/>
      <c r="BN148" s="67"/>
      <c r="BO148" s="68"/>
      <c r="BP148" s="68"/>
      <c r="BQ148" s="68"/>
      <c r="BR148" s="68"/>
      <c r="BS148" s="68"/>
      <c r="BT148" s="69"/>
      <c r="BU148" s="59"/>
      <c r="BV148" s="59"/>
      <c r="BW148" s="59"/>
      <c r="BX148" s="59"/>
      <c r="BY148" s="59"/>
      <c r="BZ148" s="59"/>
      <c r="CA148" s="59"/>
    </row>
    <row r="149" spans="1:79">
      <c r="A149" s="59"/>
      <c r="B149" s="44" t="str">
        <f t="shared" si="4"/>
        <v/>
      </c>
      <c r="C149" s="67"/>
      <c r="D149" s="68"/>
      <c r="E149" s="68"/>
      <c r="F149" s="68"/>
      <c r="G149" s="68"/>
      <c r="H149" s="68"/>
      <c r="I149" s="69"/>
      <c r="J149" s="67"/>
      <c r="K149" s="68"/>
      <c r="L149" s="68"/>
      <c r="M149" s="68"/>
      <c r="N149" s="68"/>
      <c r="O149" s="68"/>
      <c r="P149" s="69"/>
      <c r="Q149" s="67"/>
      <c r="R149" s="68"/>
      <c r="S149" s="68"/>
      <c r="T149" s="68"/>
      <c r="U149" s="68"/>
      <c r="V149" s="68"/>
      <c r="W149" s="69"/>
      <c r="X149" s="67"/>
      <c r="Y149" s="68"/>
      <c r="Z149" s="68"/>
      <c r="AA149" s="68"/>
      <c r="AB149" s="68"/>
      <c r="AC149" s="68"/>
      <c r="AD149" s="69"/>
      <c r="AE149" s="67"/>
      <c r="AF149" s="68"/>
      <c r="AG149" s="68"/>
      <c r="AH149" s="68"/>
      <c r="AI149" s="68"/>
      <c r="AJ149" s="68"/>
      <c r="AK149" s="69"/>
      <c r="AL149" s="67"/>
      <c r="AM149" s="68"/>
      <c r="AN149" s="68"/>
      <c r="AO149" s="68"/>
      <c r="AP149" s="68"/>
      <c r="AQ149" s="68"/>
      <c r="AR149" s="69"/>
      <c r="AS149" s="67"/>
      <c r="AT149" s="68"/>
      <c r="AU149" s="68"/>
      <c r="AV149" s="68"/>
      <c r="AW149" s="68"/>
      <c r="AX149" s="68"/>
      <c r="AY149" s="69"/>
      <c r="AZ149" s="67"/>
      <c r="BA149" s="68"/>
      <c r="BB149" s="68"/>
      <c r="BC149" s="68"/>
      <c r="BD149" s="68"/>
      <c r="BE149" s="68"/>
      <c r="BF149" s="69"/>
      <c r="BG149" s="67"/>
      <c r="BH149" s="68"/>
      <c r="BI149" s="68"/>
      <c r="BJ149" s="68"/>
      <c r="BK149" s="68"/>
      <c r="BL149" s="68"/>
      <c r="BM149" s="69"/>
      <c r="BN149" s="67"/>
      <c r="BO149" s="68"/>
      <c r="BP149" s="68"/>
      <c r="BQ149" s="68"/>
      <c r="BR149" s="68"/>
      <c r="BS149" s="68"/>
      <c r="BT149" s="69"/>
      <c r="BU149" s="59"/>
      <c r="BV149" s="59"/>
      <c r="BW149" s="59"/>
      <c r="BX149" s="59"/>
      <c r="BY149" s="59"/>
      <c r="BZ149" s="59"/>
      <c r="CA149" s="59"/>
    </row>
    <row r="150" spans="1:79">
      <c r="A150" s="59"/>
      <c r="B150" s="44" t="str">
        <f t="shared" si="4"/>
        <v/>
      </c>
      <c r="C150" s="67"/>
      <c r="D150" s="68"/>
      <c r="E150" s="68"/>
      <c r="F150" s="68"/>
      <c r="G150" s="68"/>
      <c r="H150" s="68"/>
      <c r="I150" s="69"/>
      <c r="J150" s="67"/>
      <c r="K150" s="68"/>
      <c r="L150" s="68"/>
      <c r="M150" s="68"/>
      <c r="N150" s="68"/>
      <c r="O150" s="68"/>
      <c r="P150" s="69"/>
      <c r="Q150" s="67"/>
      <c r="R150" s="68"/>
      <c r="S150" s="68"/>
      <c r="T150" s="68"/>
      <c r="U150" s="68"/>
      <c r="V150" s="68"/>
      <c r="W150" s="69"/>
      <c r="X150" s="67"/>
      <c r="Y150" s="68"/>
      <c r="Z150" s="68"/>
      <c r="AA150" s="68"/>
      <c r="AB150" s="68"/>
      <c r="AC150" s="68"/>
      <c r="AD150" s="69"/>
      <c r="AE150" s="67"/>
      <c r="AF150" s="68"/>
      <c r="AG150" s="68"/>
      <c r="AH150" s="68"/>
      <c r="AI150" s="68"/>
      <c r="AJ150" s="68"/>
      <c r="AK150" s="69"/>
      <c r="AL150" s="67"/>
      <c r="AM150" s="68"/>
      <c r="AN150" s="68"/>
      <c r="AO150" s="68"/>
      <c r="AP150" s="68"/>
      <c r="AQ150" s="68"/>
      <c r="AR150" s="69"/>
      <c r="AS150" s="67"/>
      <c r="AT150" s="68"/>
      <c r="AU150" s="68"/>
      <c r="AV150" s="68"/>
      <c r="AW150" s="68"/>
      <c r="AX150" s="68"/>
      <c r="AY150" s="69"/>
      <c r="AZ150" s="67"/>
      <c r="BA150" s="68"/>
      <c r="BB150" s="68"/>
      <c r="BC150" s="68"/>
      <c r="BD150" s="68"/>
      <c r="BE150" s="68"/>
      <c r="BF150" s="69"/>
      <c r="BG150" s="67"/>
      <c r="BH150" s="68"/>
      <c r="BI150" s="68"/>
      <c r="BJ150" s="68"/>
      <c r="BK150" s="68"/>
      <c r="BL150" s="68"/>
      <c r="BM150" s="69"/>
      <c r="BN150" s="67"/>
      <c r="BO150" s="68"/>
      <c r="BP150" s="68"/>
      <c r="BQ150" s="68"/>
      <c r="BR150" s="68"/>
      <c r="BS150" s="68"/>
      <c r="BT150" s="69"/>
      <c r="BU150" s="59"/>
      <c r="BV150" s="59"/>
      <c r="BW150" s="59"/>
      <c r="BX150" s="59"/>
      <c r="BY150" s="59"/>
      <c r="BZ150" s="59"/>
      <c r="CA150" s="59"/>
    </row>
    <row r="151" spans="1:79">
      <c r="A151" s="59"/>
      <c r="B151" s="44" t="str">
        <f t="shared" si="4"/>
        <v/>
      </c>
      <c r="C151" s="67"/>
      <c r="D151" s="68"/>
      <c r="E151" s="68"/>
      <c r="F151" s="68"/>
      <c r="G151" s="68"/>
      <c r="H151" s="68"/>
      <c r="I151" s="69"/>
      <c r="J151" s="67"/>
      <c r="K151" s="68"/>
      <c r="L151" s="68"/>
      <c r="M151" s="68"/>
      <c r="N151" s="68"/>
      <c r="O151" s="68"/>
      <c r="P151" s="69"/>
      <c r="Q151" s="67"/>
      <c r="R151" s="68"/>
      <c r="S151" s="68"/>
      <c r="T151" s="68"/>
      <c r="U151" s="68"/>
      <c r="V151" s="68"/>
      <c r="W151" s="69"/>
      <c r="X151" s="67"/>
      <c r="Y151" s="68"/>
      <c r="Z151" s="68"/>
      <c r="AA151" s="68"/>
      <c r="AB151" s="68"/>
      <c r="AC151" s="68"/>
      <c r="AD151" s="69"/>
      <c r="AE151" s="67"/>
      <c r="AF151" s="68"/>
      <c r="AG151" s="68"/>
      <c r="AH151" s="68"/>
      <c r="AI151" s="68"/>
      <c r="AJ151" s="68"/>
      <c r="AK151" s="69"/>
      <c r="AL151" s="67"/>
      <c r="AM151" s="68"/>
      <c r="AN151" s="68"/>
      <c r="AO151" s="68"/>
      <c r="AP151" s="68"/>
      <c r="AQ151" s="68"/>
      <c r="AR151" s="69"/>
      <c r="AS151" s="67"/>
      <c r="AT151" s="68"/>
      <c r="AU151" s="68"/>
      <c r="AV151" s="68"/>
      <c r="AW151" s="68"/>
      <c r="AX151" s="68"/>
      <c r="AY151" s="69"/>
      <c r="AZ151" s="67"/>
      <c r="BA151" s="68"/>
      <c r="BB151" s="68"/>
      <c r="BC151" s="68"/>
      <c r="BD151" s="68"/>
      <c r="BE151" s="68"/>
      <c r="BF151" s="69"/>
      <c r="BG151" s="67"/>
      <c r="BH151" s="68"/>
      <c r="BI151" s="68"/>
      <c r="BJ151" s="68"/>
      <c r="BK151" s="68"/>
      <c r="BL151" s="68"/>
      <c r="BM151" s="69"/>
      <c r="BN151" s="67"/>
      <c r="BO151" s="68"/>
      <c r="BP151" s="68"/>
      <c r="BQ151" s="68"/>
      <c r="BR151" s="68"/>
      <c r="BS151" s="68"/>
      <c r="BT151" s="69"/>
      <c r="BU151" s="59"/>
      <c r="BV151" s="59"/>
      <c r="BW151" s="59"/>
      <c r="BX151" s="59"/>
      <c r="BY151" s="59"/>
      <c r="BZ151" s="59"/>
      <c r="CA151" s="59"/>
    </row>
    <row r="152" spans="1:79">
      <c r="A152" s="59"/>
      <c r="B152" s="44" t="str">
        <f t="shared" si="4"/>
        <v/>
      </c>
      <c r="C152" s="67"/>
      <c r="D152" s="68"/>
      <c r="E152" s="68"/>
      <c r="F152" s="68"/>
      <c r="G152" s="68"/>
      <c r="H152" s="68"/>
      <c r="I152" s="69"/>
      <c r="J152" s="67"/>
      <c r="K152" s="68"/>
      <c r="L152" s="68"/>
      <c r="M152" s="68"/>
      <c r="N152" s="68"/>
      <c r="O152" s="68"/>
      <c r="P152" s="69"/>
      <c r="Q152" s="67"/>
      <c r="R152" s="68"/>
      <c r="S152" s="68"/>
      <c r="T152" s="68"/>
      <c r="U152" s="68"/>
      <c r="V152" s="68"/>
      <c r="W152" s="69"/>
      <c r="X152" s="67"/>
      <c r="Y152" s="68"/>
      <c r="Z152" s="68"/>
      <c r="AA152" s="68"/>
      <c r="AB152" s="68"/>
      <c r="AC152" s="68"/>
      <c r="AD152" s="69"/>
      <c r="AE152" s="67"/>
      <c r="AF152" s="68"/>
      <c r="AG152" s="68"/>
      <c r="AH152" s="68"/>
      <c r="AI152" s="68"/>
      <c r="AJ152" s="68"/>
      <c r="AK152" s="69"/>
      <c r="AL152" s="67"/>
      <c r="AM152" s="68"/>
      <c r="AN152" s="68"/>
      <c r="AO152" s="68"/>
      <c r="AP152" s="68"/>
      <c r="AQ152" s="68"/>
      <c r="AR152" s="69"/>
      <c r="AS152" s="67"/>
      <c r="AT152" s="68"/>
      <c r="AU152" s="68"/>
      <c r="AV152" s="68"/>
      <c r="AW152" s="68"/>
      <c r="AX152" s="68"/>
      <c r="AY152" s="69"/>
      <c r="AZ152" s="67"/>
      <c r="BA152" s="68"/>
      <c r="BB152" s="68"/>
      <c r="BC152" s="68"/>
      <c r="BD152" s="68"/>
      <c r="BE152" s="68"/>
      <c r="BF152" s="69"/>
      <c r="BG152" s="67"/>
      <c r="BH152" s="68"/>
      <c r="BI152" s="68"/>
      <c r="BJ152" s="68"/>
      <c r="BK152" s="68"/>
      <c r="BL152" s="68"/>
      <c r="BM152" s="69"/>
      <c r="BN152" s="67"/>
      <c r="BO152" s="68"/>
      <c r="BP152" s="68"/>
      <c r="BQ152" s="68"/>
      <c r="BR152" s="68"/>
      <c r="BS152" s="68"/>
      <c r="BT152" s="69"/>
      <c r="BU152" s="59"/>
      <c r="BV152" s="59"/>
      <c r="BW152" s="59"/>
      <c r="BX152" s="59"/>
      <c r="BY152" s="59"/>
      <c r="BZ152" s="59"/>
      <c r="CA152" s="59"/>
    </row>
    <row r="153" spans="1:79">
      <c r="A153" s="59"/>
      <c r="B153" s="44" t="str">
        <f t="shared" si="4"/>
        <v/>
      </c>
      <c r="C153" s="67"/>
      <c r="D153" s="68"/>
      <c r="E153" s="68"/>
      <c r="F153" s="68"/>
      <c r="G153" s="68"/>
      <c r="H153" s="68"/>
      <c r="I153" s="69"/>
      <c r="J153" s="67"/>
      <c r="K153" s="68"/>
      <c r="L153" s="68"/>
      <c r="M153" s="68"/>
      <c r="N153" s="68"/>
      <c r="O153" s="68"/>
      <c r="P153" s="69"/>
      <c r="Q153" s="67"/>
      <c r="R153" s="68"/>
      <c r="S153" s="68"/>
      <c r="T153" s="68"/>
      <c r="U153" s="68"/>
      <c r="V153" s="68"/>
      <c r="W153" s="69"/>
      <c r="X153" s="67"/>
      <c r="Y153" s="68"/>
      <c r="Z153" s="68"/>
      <c r="AA153" s="68"/>
      <c r="AB153" s="68"/>
      <c r="AC153" s="68"/>
      <c r="AD153" s="69"/>
      <c r="AE153" s="67"/>
      <c r="AF153" s="68"/>
      <c r="AG153" s="68"/>
      <c r="AH153" s="68"/>
      <c r="AI153" s="68"/>
      <c r="AJ153" s="68"/>
      <c r="AK153" s="69"/>
      <c r="AL153" s="67"/>
      <c r="AM153" s="68"/>
      <c r="AN153" s="68"/>
      <c r="AO153" s="68"/>
      <c r="AP153" s="68"/>
      <c r="AQ153" s="68"/>
      <c r="AR153" s="69"/>
      <c r="AS153" s="67"/>
      <c r="AT153" s="68"/>
      <c r="AU153" s="68"/>
      <c r="AV153" s="68"/>
      <c r="AW153" s="68"/>
      <c r="AX153" s="68"/>
      <c r="AY153" s="69"/>
      <c r="AZ153" s="67"/>
      <c r="BA153" s="68"/>
      <c r="BB153" s="68"/>
      <c r="BC153" s="68"/>
      <c r="BD153" s="68"/>
      <c r="BE153" s="68"/>
      <c r="BF153" s="69"/>
      <c r="BG153" s="67"/>
      <c r="BH153" s="68"/>
      <c r="BI153" s="68"/>
      <c r="BJ153" s="68"/>
      <c r="BK153" s="68"/>
      <c r="BL153" s="68"/>
      <c r="BM153" s="69"/>
      <c r="BN153" s="67"/>
      <c r="BO153" s="68"/>
      <c r="BP153" s="68"/>
      <c r="BQ153" s="68"/>
      <c r="BR153" s="68"/>
      <c r="BS153" s="68"/>
      <c r="BT153" s="69"/>
      <c r="BU153" s="59"/>
      <c r="BV153" s="59"/>
      <c r="BW153" s="59"/>
      <c r="BX153" s="59"/>
      <c r="BY153" s="59"/>
      <c r="BZ153" s="59"/>
      <c r="CA153" s="59"/>
    </row>
    <row r="154" spans="1:79">
      <c r="A154" s="59"/>
      <c r="B154" s="44" t="str">
        <f t="shared" si="4"/>
        <v/>
      </c>
      <c r="C154" s="67"/>
      <c r="D154" s="68"/>
      <c r="E154" s="68"/>
      <c r="F154" s="68"/>
      <c r="G154" s="68"/>
      <c r="H154" s="68"/>
      <c r="I154" s="69"/>
      <c r="J154" s="67"/>
      <c r="K154" s="68"/>
      <c r="L154" s="68"/>
      <c r="M154" s="68"/>
      <c r="N154" s="68"/>
      <c r="O154" s="68"/>
      <c r="P154" s="69"/>
      <c r="Q154" s="67"/>
      <c r="R154" s="68"/>
      <c r="S154" s="68"/>
      <c r="T154" s="68"/>
      <c r="U154" s="68"/>
      <c r="V154" s="68"/>
      <c r="W154" s="69"/>
      <c r="X154" s="67"/>
      <c r="Y154" s="68"/>
      <c r="Z154" s="68"/>
      <c r="AA154" s="68"/>
      <c r="AB154" s="68"/>
      <c r="AC154" s="68"/>
      <c r="AD154" s="69"/>
      <c r="AE154" s="67"/>
      <c r="AF154" s="68"/>
      <c r="AG154" s="68"/>
      <c r="AH154" s="68"/>
      <c r="AI154" s="68"/>
      <c r="AJ154" s="68"/>
      <c r="AK154" s="69"/>
      <c r="AL154" s="67"/>
      <c r="AM154" s="68"/>
      <c r="AN154" s="68"/>
      <c r="AO154" s="68"/>
      <c r="AP154" s="68"/>
      <c r="AQ154" s="68"/>
      <c r="AR154" s="69"/>
      <c r="AS154" s="67"/>
      <c r="AT154" s="68"/>
      <c r="AU154" s="68"/>
      <c r="AV154" s="68"/>
      <c r="AW154" s="68"/>
      <c r="AX154" s="68"/>
      <c r="AY154" s="69"/>
      <c r="AZ154" s="67"/>
      <c r="BA154" s="68"/>
      <c r="BB154" s="68"/>
      <c r="BC154" s="68"/>
      <c r="BD154" s="68"/>
      <c r="BE154" s="68"/>
      <c r="BF154" s="69"/>
      <c r="BG154" s="67"/>
      <c r="BH154" s="68"/>
      <c r="BI154" s="68"/>
      <c r="BJ154" s="68"/>
      <c r="BK154" s="68"/>
      <c r="BL154" s="68"/>
      <c r="BM154" s="69"/>
      <c r="BN154" s="67"/>
      <c r="BO154" s="68"/>
      <c r="BP154" s="68"/>
      <c r="BQ154" s="68"/>
      <c r="BR154" s="68"/>
      <c r="BS154" s="68"/>
      <c r="BT154" s="69"/>
      <c r="BU154" s="59"/>
      <c r="BV154" s="59"/>
      <c r="BW154" s="59"/>
      <c r="BX154" s="59"/>
      <c r="BY154" s="59"/>
      <c r="BZ154" s="59"/>
      <c r="CA154" s="59"/>
    </row>
    <row r="155" spans="1:79">
      <c r="A155" s="59"/>
      <c r="B155" s="44" t="str">
        <f t="shared" si="4"/>
        <v/>
      </c>
      <c r="C155" s="67"/>
      <c r="D155" s="68"/>
      <c r="E155" s="68"/>
      <c r="F155" s="68"/>
      <c r="G155" s="68"/>
      <c r="H155" s="68"/>
      <c r="I155" s="69"/>
      <c r="J155" s="67"/>
      <c r="K155" s="68"/>
      <c r="L155" s="68"/>
      <c r="M155" s="68"/>
      <c r="N155" s="68"/>
      <c r="O155" s="68"/>
      <c r="P155" s="69"/>
      <c r="Q155" s="67"/>
      <c r="R155" s="68"/>
      <c r="S155" s="68"/>
      <c r="T155" s="68"/>
      <c r="U155" s="68"/>
      <c r="V155" s="68"/>
      <c r="W155" s="69"/>
      <c r="X155" s="67"/>
      <c r="Y155" s="68"/>
      <c r="Z155" s="68"/>
      <c r="AA155" s="68"/>
      <c r="AB155" s="68"/>
      <c r="AC155" s="68"/>
      <c r="AD155" s="69"/>
      <c r="AE155" s="67"/>
      <c r="AF155" s="68"/>
      <c r="AG155" s="68"/>
      <c r="AH155" s="68"/>
      <c r="AI155" s="68"/>
      <c r="AJ155" s="68"/>
      <c r="AK155" s="69"/>
      <c r="AL155" s="67"/>
      <c r="AM155" s="68"/>
      <c r="AN155" s="68"/>
      <c r="AO155" s="68"/>
      <c r="AP155" s="68"/>
      <c r="AQ155" s="68"/>
      <c r="AR155" s="69"/>
      <c r="AS155" s="67"/>
      <c r="AT155" s="68"/>
      <c r="AU155" s="68"/>
      <c r="AV155" s="68"/>
      <c r="AW155" s="68"/>
      <c r="AX155" s="68"/>
      <c r="AY155" s="69"/>
      <c r="AZ155" s="67"/>
      <c r="BA155" s="68"/>
      <c r="BB155" s="68"/>
      <c r="BC155" s="68"/>
      <c r="BD155" s="68"/>
      <c r="BE155" s="68"/>
      <c r="BF155" s="69"/>
      <c r="BG155" s="67"/>
      <c r="BH155" s="68"/>
      <c r="BI155" s="68"/>
      <c r="BJ155" s="68"/>
      <c r="BK155" s="68"/>
      <c r="BL155" s="68"/>
      <c r="BM155" s="69"/>
      <c r="BN155" s="67"/>
      <c r="BO155" s="68"/>
      <c r="BP155" s="68"/>
      <c r="BQ155" s="68"/>
      <c r="BR155" s="68"/>
      <c r="BS155" s="68"/>
      <c r="BT155" s="69"/>
      <c r="BU155" s="59"/>
      <c r="BV155" s="59"/>
      <c r="BW155" s="59"/>
      <c r="BX155" s="59"/>
      <c r="BY155" s="59"/>
      <c r="BZ155" s="59"/>
      <c r="CA155" s="59"/>
    </row>
    <row r="156" spans="1:79">
      <c r="A156" s="59"/>
      <c r="B156" s="44" t="str">
        <f t="shared" si="4"/>
        <v/>
      </c>
      <c r="C156" s="67"/>
      <c r="D156" s="68"/>
      <c r="E156" s="68"/>
      <c r="F156" s="68"/>
      <c r="G156" s="68"/>
      <c r="H156" s="68"/>
      <c r="I156" s="69"/>
      <c r="J156" s="67"/>
      <c r="K156" s="68"/>
      <c r="L156" s="68"/>
      <c r="M156" s="68"/>
      <c r="N156" s="68"/>
      <c r="O156" s="68"/>
      <c r="P156" s="69"/>
      <c r="Q156" s="67"/>
      <c r="R156" s="68"/>
      <c r="S156" s="68"/>
      <c r="T156" s="68"/>
      <c r="U156" s="68"/>
      <c r="V156" s="68"/>
      <c r="W156" s="69"/>
      <c r="X156" s="67"/>
      <c r="Y156" s="68"/>
      <c r="Z156" s="68"/>
      <c r="AA156" s="68"/>
      <c r="AB156" s="68"/>
      <c r="AC156" s="68"/>
      <c r="AD156" s="69"/>
      <c r="AE156" s="67"/>
      <c r="AF156" s="68"/>
      <c r="AG156" s="68"/>
      <c r="AH156" s="68"/>
      <c r="AI156" s="68"/>
      <c r="AJ156" s="68"/>
      <c r="AK156" s="69"/>
      <c r="AL156" s="67"/>
      <c r="AM156" s="68"/>
      <c r="AN156" s="68"/>
      <c r="AO156" s="68"/>
      <c r="AP156" s="68"/>
      <c r="AQ156" s="68"/>
      <c r="AR156" s="69"/>
      <c r="AS156" s="67"/>
      <c r="AT156" s="68"/>
      <c r="AU156" s="68"/>
      <c r="AV156" s="68"/>
      <c r="AW156" s="68"/>
      <c r="AX156" s="68"/>
      <c r="AY156" s="69"/>
      <c r="AZ156" s="67"/>
      <c r="BA156" s="68"/>
      <c r="BB156" s="68"/>
      <c r="BC156" s="68"/>
      <c r="BD156" s="68"/>
      <c r="BE156" s="68"/>
      <c r="BF156" s="69"/>
      <c r="BG156" s="67"/>
      <c r="BH156" s="68"/>
      <c r="BI156" s="68"/>
      <c r="BJ156" s="68"/>
      <c r="BK156" s="68"/>
      <c r="BL156" s="68"/>
      <c r="BM156" s="69"/>
      <c r="BN156" s="67"/>
      <c r="BO156" s="68"/>
      <c r="BP156" s="68"/>
      <c r="BQ156" s="68"/>
      <c r="BR156" s="68"/>
      <c r="BS156" s="68"/>
      <c r="BT156" s="69"/>
      <c r="BU156" s="59"/>
      <c r="BV156" s="59"/>
      <c r="BW156" s="59"/>
      <c r="BX156" s="59"/>
      <c r="BY156" s="59"/>
      <c r="BZ156" s="59"/>
      <c r="CA156" s="59"/>
    </row>
    <row r="157" spans="1:79">
      <c r="A157" s="59"/>
      <c r="B157" s="44" t="str">
        <f t="shared" si="4"/>
        <v/>
      </c>
      <c r="C157" s="67"/>
      <c r="D157" s="68"/>
      <c r="E157" s="68"/>
      <c r="F157" s="68"/>
      <c r="G157" s="68"/>
      <c r="H157" s="68"/>
      <c r="I157" s="69"/>
      <c r="J157" s="67"/>
      <c r="K157" s="68"/>
      <c r="L157" s="68"/>
      <c r="M157" s="68"/>
      <c r="N157" s="68"/>
      <c r="O157" s="68"/>
      <c r="P157" s="69"/>
      <c r="Q157" s="67"/>
      <c r="R157" s="68"/>
      <c r="S157" s="68"/>
      <c r="T157" s="68"/>
      <c r="U157" s="68"/>
      <c r="V157" s="68"/>
      <c r="W157" s="69"/>
      <c r="X157" s="67"/>
      <c r="Y157" s="68"/>
      <c r="Z157" s="68"/>
      <c r="AA157" s="68"/>
      <c r="AB157" s="68"/>
      <c r="AC157" s="68"/>
      <c r="AD157" s="69"/>
      <c r="AE157" s="67"/>
      <c r="AF157" s="68"/>
      <c r="AG157" s="68"/>
      <c r="AH157" s="68"/>
      <c r="AI157" s="68"/>
      <c r="AJ157" s="68"/>
      <c r="AK157" s="69"/>
      <c r="AL157" s="67"/>
      <c r="AM157" s="68"/>
      <c r="AN157" s="68"/>
      <c r="AO157" s="68"/>
      <c r="AP157" s="68"/>
      <c r="AQ157" s="68"/>
      <c r="AR157" s="69"/>
      <c r="AS157" s="67"/>
      <c r="AT157" s="68"/>
      <c r="AU157" s="68"/>
      <c r="AV157" s="68"/>
      <c r="AW157" s="68"/>
      <c r="AX157" s="68"/>
      <c r="AY157" s="69"/>
      <c r="AZ157" s="67"/>
      <c r="BA157" s="68"/>
      <c r="BB157" s="68"/>
      <c r="BC157" s="68"/>
      <c r="BD157" s="68"/>
      <c r="BE157" s="68"/>
      <c r="BF157" s="69"/>
      <c r="BG157" s="67"/>
      <c r="BH157" s="68"/>
      <c r="BI157" s="68"/>
      <c r="BJ157" s="68"/>
      <c r="BK157" s="68"/>
      <c r="BL157" s="68"/>
      <c r="BM157" s="69"/>
      <c r="BN157" s="67"/>
      <c r="BO157" s="68"/>
      <c r="BP157" s="68"/>
      <c r="BQ157" s="68"/>
      <c r="BR157" s="68"/>
      <c r="BS157" s="68"/>
      <c r="BT157" s="69"/>
      <c r="BU157" s="59"/>
      <c r="BV157" s="59"/>
      <c r="BW157" s="59"/>
      <c r="BX157" s="59"/>
      <c r="BY157" s="59"/>
      <c r="BZ157" s="59"/>
      <c r="CA157" s="59"/>
    </row>
    <row r="158" spans="1:79">
      <c r="A158" s="59"/>
      <c r="B158" s="44" t="str">
        <f t="shared" si="4"/>
        <v/>
      </c>
      <c r="C158" s="67"/>
      <c r="D158" s="68"/>
      <c r="E158" s="68"/>
      <c r="F158" s="68"/>
      <c r="G158" s="68"/>
      <c r="H158" s="68"/>
      <c r="I158" s="69"/>
      <c r="J158" s="67"/>
      <c r="K158" s="68"/>
      <c r="L158" s="68"/>
      <c r="M158" s="68"/>
      <c r="N158" s="68"/>
      <c r="O158" s="68"/>
      <c r="P158" s="69"/>
      <c r="Q158" s="67"/>
      <c r="R158" s="68"/>
      <c r="S158" s="68"/>
      <c r="T158" s="68"/>
      <c r="U158" s="68"/>
      <c r="V158" s="68"/>
      <c r="W158" s="69"/>
      <c r="X158" s="67"/>
      <c r="Y158" s="68"/>
      <c r="Z158" s="68"/>
      <c r="AA158" s="68"/>
      <c r="AB158" s="68"/>
      <c r="AC158" s="68"/>
      <c r="AD158" s="69"/>
      <c r="AE158" s="67"/>
      <c r="AF158" s="68"/>
      <c r="AG158" s="68"/>
      <c r="AH158" s="68"/>
      <c r="AI158" s="68"/>
      <c r="AJ158" s="68"/>
      <c r="AK158" s="69"/>
      <c r="AL158" s="67"/>
      <c r="AM158" s="68"/>
      <c r="AN158" s="68"/>
      <c r="AO158" s="68"/>
      <c r="AP158" s="68"/>
      <c r="AQ158" s="68"/>
      <c r="AR158" s="69"/>
      <c r="AS158" s="67"/>
      <c r="AT158" s="68"/>
      <c r="AU158" s="68"/>
      <c r="AV158" s="68"/>
      <c r="AW158" s="68"/>
      <c r="AX158" s="68"/>
      <c r="AY158" s="69"/>
      <c r="AZ158" s="67"/>
      <c r="BA158" s="68"/>
      <c r="BB158" s="68"/>
      <c r="BC158" s="68"/>
      <c r="BD158" s="68"/>
      <c r="BE158" s="68"/>
      <c r="BF158" s="69"/>
      <c r="BG158" s="67"/>
      <c r="BH158" s="68"/>
      <c r="BI158" s="68"/>
      <c r="BJ158" s="68"/>
      <c r="BK158" s="68"/>
      <c r="BL158" s="68"/>
      <c r="BM158" s="69"/>
      <c r="BN158" s="67"/>
      <c r="BO158" s="68"/>
      <c r="BP158" s="68"/>
      <c r="BQ158" s="68"/>
      <c r="BR158" s="68"/>
      <c r="BS158" s="68"/>
      <c r="BT158" s="69"/>
      <c r="BU158" s="59"/>
      <c r="BV158" s="59"/>
      <c r="BW158" s="59"/>
      <c r="BX158" s="59"/>
      <c r="BY158" s="59"/>
      <c r="BZ158" s="59"/>
      <c r="CA158" s="59"/>
    </row>
    <row r="159" spans="1:79">
      <c r="A159" s="59"/>
      <c r="B159" s="44" t="str">
        <f t="shared" si="4"/>
        <v/>
      </c>
      <c r="C159" s="67"/>
      <c r="D159" s="68"/>
      <c r="E159" s="68"/>
      <c r="F159" s="68"/>
      <c r="G159" s="68"/>
      <c r="H159" s="68"/>
      <c r="I159" s="69"/>
      <c r="J159" s="67"/>
      <c r="K159" s="68"/>
      <c r="L159" s="68"/>
      <c r="M159" s="68"/>
      <c r="N159" s="68"/>
      <c r="O159" s="68"/>
      <c r="P159" s="69"/>
      <c r="Q159" s="67"/>
      <c r="R159" s="68"/>
      <c r="S159" s="68"/>
      <c r="T159" s="68"/>
      <c r="U159" s="68"/>
      <c r="V159" s="68"/>
      <c r="W159" s="69"/>
      <c r="X159" s="67"/>
      <c r="Y159" s="68"/>
      <c r="Z159" s="68"/>
      <c r="AA159" s="68"/>
      <c r="AB159" s="68"/>
      <c r="AC159" s="68"/>
      <c r="AD159" s="69"/>
      <c r="AE159" s="67"/>
      <c r="AF159" s="68"/>
      <c r="AG159" s="68"/>
      <c r="AH159" s="68"/>
      <c r="AI159" s="68"/>
      <c r="AJ159" s="68"/>
      <c r="AK159" s="69"/>
      <c r="AL159" s="67"/>
      <c r="AM159" s="68"/>
      <c r="AN159" s="68"/>
      <c r="AO159" s="68"/>
      <c r="AP159" s="68"/>
      <c r="AQ159" s="68"/>
      <c r="AR159" s="69"/>
      <c r="AS159" s="67"/>
      <c r="AT159" s="68"/>
      <c r="AU159" s="68"/>
      <c r="AV159" s="68"/>
      <c r="AW159" s="68"/>
      <c r="AX159" s="68"/>
      <c r="AY159" s="69"/>
      <c r="AZ159" s="67"/>
      <c r="BA159" s="68"/>
      <c r="BB159" s="68"/>
      <c r="BC159" s="68"/>
      <c r="BD159" s="68"/>
      <c r="BE159" s="68"/>
      <c r="BF159" s="69"/>
      <c r="BG159" s="67"/>
      <c r="BH159" s="68"/>
      <c r="BI159" s="68"/>
      <c r="BJ159" s="68"/>
      <c r="BK159" s="68"/>
      <c r="BL159" s="68"/>
      <c r="BM159" s="69"/>
      <c r="BN159" s="67"/>
      <c r="BO159" s="68"/>
      <c r="BP159" s="68"/>
      <c r="BQ159" s="68"/>
      <c r="BR159" s="68"/>
      <c r="BS159" s="68"/>
      <c r="BT159" s="69"/>
      <c r="BU159" s="59"/>
      <c r="BV159" s="59"/>
      <c r="BW159" s="59"/>
      <c r="BX159" s="59"/>
      <c r="BY159" s="59"/>
      <c r="BZ159" s="59"/>
      <c r="CA159" s="59"/>
    </row>
    <row r="160" spans="1:79">
      <c r="A160" s="59"/>
      <c r="B160" s="44" t="str">
        <f t="shared" si="4"/>
        <v/>
      </c>
      <c r="C160" s="67"/>
      <c r="D160" s="68"/>
      <c r="E160" s="68"/>
      <c r="F160" s="68"/>
      <c r="G160" s="68"/>
      <c r="H160" s="68"/>
      <c r="I160" s="69"/>
      <c r="J160" s="67"/>
      <c r="K160" s="68"/>
      <c r="L160" s="68"/>
      <c r="M160" s="68"/>
      <c r="N160" s="68"/>
      <c r="O160" s="68"/>
      <c r="P160" s="69"/>
      <c r="Q160" s="67"/>
      <c r="R160" s="68"/>
      <c r="S160" s="68"/>
      <c r="T160" s="68"/>
      <c r="U160" s="68"/>
      <c r="V160" s="68"/>
      <c r="W160" s="69"/>
      <c r="X160" s="67"/>
      <c r="Y160" s="68"/>
      <c r="Z160" s="68"/>
      <c r="AA160" s="68"/>
      <c r="AB160" s="68"/>
      <c r="AC160" s="68"/>
      <c r="AD160" s="69"/>
      <c r="AE160" s="67"/>
      <c r="AF160" s="68"/>
      <c r="AG160" s="68"/>
      <c r="AH160" s="68"/>
      <c r="AI160" s="68"/>
      <c r="AJ160" s="68"/>
      <c r="AK160" s="69"/>
      <c r="AL160" s="67"/>
      <c r="AM160" s="68"/>
      <c r="AN160" s="68"/>
      <c r="AO160" s="68"/>
      <c r="AP160" s="68"/>
      <c r="AQ160" s="68"/>
      <c r="AR160" s="69"/>
      <c r="AS160" s="67"/>
      <c r="AT160" s="68"/>
      <c r="AU160" s="68"/>
      <c r="AV160" s="68"/>
      <c r="AW160" s="68"/>
      <c r="AX160" s="68"/>
      <c r="AY160" s="69"/>
      <c r="AZ160" s="67"/>
      <c r="BA160" s="68"/>
      <c r="BB160" s="68"/>
      <c r="BC160" s="68"/>
      <c r="BD160" s="68"/>
      <c r="BE160" s="68"/>
      <c r="BF160" s="69"/>
      <c r="BG160" s="67"/>
      <c r="BH160" s="68"/>
      <c r="BI160" s="68"/>
      <c r="BJ160" s="68"/>
      <c r="BK160" s="68"/>
      <c r="BL160" s="68"/>
      <c r="BM160" s="69"/>
      <c r="BN160" s="67"/>
      <c r="BO160" s="68"/>
      <c r="BP160" s="68"/>
      <c r="BQ160" s="68"/>
      <c r="BR160" s="68"/>
      <c r="BS160" s="68"/>
      <c r="BT160" s="69"/>
      <c r="BU160" s="59"/>
      <c r="BV160" s="59"/>
      <c r="BW160" s="59"/>
      <c r="BX160" s="59"/>
      <c r="BY160" s="59"/>
      <c r="BZ160" s="59"/>
      <c r="CA160" s="59"/>
    </row>
    <row r="161" spans="1:79">
      <c r="A161" s="59"/>
      <c r="B161" s="44" t="str">
        <f t="shared" si="4"/>
        <v/>
      </c>
      <c r="C161" s="67"/>
      <c r="D161" s="68"/>
      <c r="E161" s="68"/>
      <c r="F161" s="68"/>
      <c r="G161" s="68"/>
      <c r="H161" s="68"/>
      <c r="I161" s="69"/>
      <c r="J161" s="67"/>
      <c r="K161" s="68"/>
      <c r="L161" s="68"/>
      <c r="M161" s="68"/>
      <c r="N161" s="68"/>
      <c r="O161" s="68"/>
      <c r="P161" s="69"/>
      <c r="Q161" s="67"/>
      <c r="R161" s="68"/>
      <c r="S161" s="68"/>
      <c r="T161" s="68"/>
      <c r="U161" s="68"/>
      <c r="V161" s="68"/>
      <c r="W161" s="69"/>
      <c r="X161" s="67"/>
      <c r="Y161" s="68"/>
      <c r="Z161" s="68"/>
      <c r="AA161" s="68"/>
      <c r="AB161" s="68"/>
      <c r="AC161" s="68"/>
      <c r="AD161" s="69"/>
      <c r="AE161" s="67"/>
      <c r="AF161" s="68"/>
      <c r="AG161" s="68"/>
      <c r="AH161" s="68"/>
      <c r="AI161" s="68"/>
      <c r="AJ161" s="68"/>
      <c r="AK161" s="69"/>
      <c r="AL161" s="67"/>
      <c r="AM161" s="68"/>
      <c r="AN161" s="68"/>
      <c r="AO161" s="68"/>
      <c r="AP161" s="68"/>
      <c r="AQ161" s="68"/>
      <c r="AR161" s="69"/>
      <c r="AS161" s="67"/>
      <c r="AT161" s="68"/>
      <c r="AU161" s="68"/>
      <c r="AV161" s="68"/>
      <c r="AW161" s="68"/>
      <c r="AX161" s="68"/>
      <c r="AY161" s="69"/>
      <c r="AZ161" s="67"/>
      <c r="BA161" s="68"/>
      <c r="BB161" s="68"/>
      <c r="BC161" s="68"/>
      <c r="BD161" s="68"/>
      <c r="BE161" s="68"/>
      <c r="BF161" s="69"/>
      <c r="BG161" s="67"/>
      <c r="BH161" s="68"/>
      <c r="BI161" s="68"/>
      <c r="BJ161" s="68"/>
      <c r="BK161" s="68"/>
      <c r="BL161" s="68"/>
      <c r="BM161" s="69"/>
      <c r="BN161" s="67"/>
      <c r="BO161" s="68"/>
      <c r="BP161" s="68"/>
      <c r="BQ161" s="68"/>
      <c r="BR161" s="68"/>
      <c r="BS161" s="68"/>
      <c r="BT161" s="69"/>
      <c r="BU161" s="59"/>
      <c r="BV161" s="59"/>
      <c r="BW161" s="59"/>
      <c r="BX161" s="59"/>
      <c r="BY161" s="59"/>
      <c r="BZ161" s="59"/>
      <c r="CA161" s="59"/>
    </row>
    <row r="162" spans="1:79">
      <c r="A162" s="59"/>
      <c r="B162" s="44" t="str">
        <f t="shared" si="4"/>
        <v/>
      </c>
      <c r="C162" s="67"/>
      <c r="D162" s="68"/>
      <c r="E162" s="68"/>
      <c r="F162" s="68"/>
      <c r="G162" s="68"/>
      <c r="H162" s="68"/>
      <c r="I162" s="69"/>
      <c r="J162" s="67"/>
      <c r="K162" s="68"/>
      <c r="L162" s="68"/>
      <c r="M162" s="68"/>
      <c r="N162" s="68"/>
      <c r="O162" s="68"/>
      <c r="P162" s="69"/>
      <c r="Q162" s="67"/>
      <c r="R162" s="68"/>
      <c r="S162" s="68"/>
      <c r="T162" s="68"/>
      <c r="U162" s="68"/>
      <c r="V162" s="68"/>
      <c r="W162" s="69"/>
      <c r="X162" s="67"/>
      <c r="Y162" s="68"/>
      <c r="Z162" s="68"/>
      <c r="AA162" s="68"/>
      <c r="AB162" s="68"/>
      <c r="AC162" s="68"/>
      <c r="AD162" s="69"/>
      <c r="AE162" s="67"/>
      <c r="AF162" s="68"/>
      <c r="AG162" s="68"/>
      <c r="AH162" s="68"/>
      <c r="AI162" s="68"/>
      <c r="AJ162" s="68"/>
      <c r="AK162" s="69"/>
      <c r="AL162" s="67"/>
      <c r="AM162" s="68"/>
      <c r="AN162" s="68"/>
      <c r="AO162" s="68"/>
      <c r="AP162" s="68"/>
      <c r="AQ162" s="68"/>
      <c r="AR162" s="69"/>
      <c r="AS162" s="67"/>
      <c r="AT162" s="68"/>
      <c r="AU162" s="68"/>
      <c r="AV162" s="68"/>
      <c r="AW162" s="68"/>
      <c r="AX162" s="68"/>
      <c r="AY162" s="69"/>
      <c r="AZ162" s="67"/>
      <c r="BA162" s="68"/>
      <c r="BB162" s="68"/>
      <c r="BC162" s="68"/>
      <c r="BD162" s="68"/>
      <c r="BE162" s="68"/>
      <c r="BF162" s="69"/>
      <c r="BG162" s="67"/>
      <c r="BH162" s="68"/>
      <c r="BI162" s="68"/>
      <c r="BJ162" s="68"/>
      <c r="BK162" s="68"/>
      <c r="BL162" s="68"/>
      <c r="BM162" s="69"/>
      <c r="BN162" s="67"/>
      <c r="BO162" s="68"/>
      <c r="BP162" s="68"/>
      <c r="BQ162" s="68"/>
      <c r="BR162" s="68"/>
      <c r="BS162" s="68"/>
      <c r="BT162" s="69"/>
      <c r="BU162" s="59"/>
      <c r="BV162" s="59"/>
      <c r="BW162" s="59"/>
      <c r="BX162" s="59"/>
      <c r="BY162" s="59"/>
      <c r="BZ162" s="59"/>
      <c r="CA162" s="59"/>
    </row>
    <row r="163" spans="1:79">
      <c r="A163" s="59"/>
      <c r="B163" s="44" t="str">
        <f t="shared" si="4"/>
        <v/>
      </c>
      <c r="C163" s="67"/>
      <c r="D163" s="68"/>
      <c r="E163" s="68"/>
      <c r="F163" s="68"/>
      <c r="G163" s="68"/>
      <c r="H163" s="68"/>
      <c r="I163" s="69"/>
      <c r="J163" s="67"/>
      <c r="K163" s="68"/>
      <c r="L163" s="68"/>
      <c r="M163" s="68"/>
      <c r="N163" s="68"/>
      <c r="O163" s="68"/>
      <c r="P163" s="69"/>
      <c r="Q163" s="67"/>
      <c r="R163" s="68"/>
      <c r="S163" s="68"/>
      <c r="T163" s="68"/>
      <c r="U163" s="68"/>
      <c r="V163" s="68"/>
      <c r="W163" s="69"/>
      <c r="X163" s="67"/>
      <c r="Y163" s="68"/>
      <c r="Z163" s="68"/>
      <c r="AA163" s="68"/>
      <c r="AB163" s="68"/>
      <c r="AC163" s="68"/>
      <c r="AD163" s="69"/>
      <c r="AE163" s="67"/>
      <c r="AF163" s="68"/>
      <c r="AG163" s="68"/>
      <c r="AH163" s="68"/>
      <c r="AI163" s="68"/>
      <c r="AJ163" s="68"/>
      <c r="AK163" s="69"/>
      <c r="AL163" s="67"/>
      <c r="AM163" s="68"/>
      <c r="AN163" s="68"/>
      <c r="AO163" s="68"/>
      <c r="AP163" s="68"/>
      <c r="AQ163" s="68"/>
      <c r="AR163" s="69"/>
      <c r="AS163" s="67"/>
      <c r="AT163" s="68"/>
      <c r="AU163" s="68"/>
      <c r="AV163" s="68"/>
      <c r="AW163" s="68"/>
      <c r="AX163" s="68"/>
      <c r="AY163" s="69"/>
      <c r="AZ163" s="67"/>
      <c r="BA163" s="68"/>
      <c r="BB163" s="68"/>
      <c r="BC163" s="68"/>
      <c r="BD163" s="68"/>
      <c r="BE163" s="68"/>
      <c r="BF163" s="69"/>
      <c r="BG163" s="67"/>
      <c r="BH163" s="68"/>
      <c r="BI163" s="68"/>
      <c r="BJ163" s="68"/>
      <c r="BK163" s="68"/>
      <c r="BL163" s="68"/>
      <c r="BM163" s="69"/>
      <c r="BN163" s="67"/>
      <c r="BO163" s="68"/>
      <c r="BP163" s="68"/>
      <c r="BQ163" s="68"/>
      <c r="BR163" s="68"/>
      <c r="BS163" s="68"/>
      <c r="BT163" s="69"/>
      <c r="BU163" s="59"/>
      <c r="BV163" s="59"/>
      <c r="BW163" s="59"/>
      <c r="BX163" s="59"/>
      <c r="BY163" s="59"/>
      <c r="BZ163" s="59"/>
      <c r="CA163" s="59"/>
    </row>
    <row r="164" spans="1:79">
      <c r="A164" s="59"/>
      <c r="B164" s="44" t="str">
        <f t="shared" si="4"/>
        <v/>
      </c>
      <c r="C164" s="67"/>
      <c r="D164" s="68"/>
      <c r="E164" s="68"/>
      <c r="F164" s="68"/>
      <c r="G164" s="68"/>
      <c r="H164" s="68"/>
      <c r="I164" s="69"/>
      <c r="J164" s="67"/>
      <c r="K164" s="68"/>
      <c r="L164" s="68"/>
      <c r="M164" s="68"/>
      <c r="N164" s="68"/>
      <c r="O164" s="68"/>
      <c r="P164" s="69"/>
      <c r="Q164" s="67"/>
      <c r="R164" s="68"/>
      <c r="S164" s="68"/>
      <c r="T164" s="68"/>
      <c r="U164" s="68"/>
      <c r="V164" s="68"/>
      <c r="W164" s="69"/>
      <c r="X164" s="67"/>
      <c r="Y164" s="68"/>
      <c r="Z164" s="68"/>
      <c r="AA164" s="68"/>
      <c r="AB164" s="68"/>
      <c r="AC164" s="68"/>
      <c r="AD164" s="69"/>
      <c r="AE164" s="67"/>
      <c r="AF164" s="68"/>
      <c r="AG164" s="68"/>
      <c r="AH164" s="68"/>
      <c r="AI164" s="68"/>
      <c r="AJ164" s="68"/>
      <c r="AK164" s="69"/>
      <c r="AL164" s="67"/>
      <c r="AM164" s="68"/>
      <c r="AN164" s="68"/>
      <c r="AO164" s="68"/>
      <c r="AP164" s="68"/>
      <c r="AQ164" s="68"/>
      <c r="AR164" s="69"/>
      <c r="AS164" s="67"/>
      <c r="AT164" s="68"/>
      <c r="AU164" s="68"/>
      <c r="AV164" s="68"/>
      <c r="AW164" s="68"/>
      <c r="AX164" s="68"/>
      <c r="AY164" s="69"/>
      <c r="AZ164" s="67"/>
      <c r="BA164" s="68"/>
      <c r="BB164" s="68"/>
      <c r="BC164" s="68"/>
      <c r="BD164" s="68"/>
      <c r="BE164" s="68"/>
      <c r="BF164" s="69"/>
      <c r="BG164" s="67"/>
      <c r="BH164" s="68"/>
      <c r="BI164" s="68"/>
      <c r="BJ164" s="68"/>
      <c r="BK164" s="68"/>
      <c r="BL164" s="68"/>
      <c r="BM164" s="69"/>
      <c r="BN164" s="67"/>
      <c r="BO164" s="68"/>
      <c r="BP164" s="68"/>
      <c r="BQ164" s="68"/>
      <c r="BR164" s="68"/>
      <c r="BS164" s="68"/>
      <c r="BT164" s="69"/>
      <c r="BU164" s="59"/>
      <c r="BV164" s="59"/>
      <c r="BW164" s="59"/>
      <c r="BX164" s="59"/>
      <c r="BY164" s="59"/>
      <c r="BZ164" s="59"/>
      <c r="CA164" s="59"/>
    </row>
    <row r="165" spans="1:79">
      <c r="A165" s="59"/>
      <c r="B165" s="44" t="str">
        <f t="shared" si="4"/>
        <v/>
      </c>
      <c r="C165" s="67"/>
      <c r="D165" s="68"/>
      <c r="E165" s="68"/>
      <c r="F165" s="68"/>
      <c r="G165" s="68"/>
      <c r="H165" s="68"/>
      <c r="I165" s="69"/>
      <c r="J165" s="67"/>
      <c r="K165" s="68"/>
      <c r="L165" s="68"/>
      <c r="M165" s="68"/>
      <c r="N165" s="68"/>
      <c r="O165" s="68"/>
      <c r="P165" s="69"/>
      <c r="Q165" s="67"/>
      <c r="R165" s="68"/>
      <c r="S165" s="68"/>
      <c r="T165" s="68"/>
      <c r="U165" s="68"/>
      <c r="V165" s="68"/>
      <c r="W165" s="69"/>
      <c r="X165" s="67"/>
      <c r="Y165" s="68"/>
      <c r="Z165" s="68"/>
      <c r="AA165" s="68"/>
      <c r="AB165" s="68"/>
      <c r="AC165" s="68"/>
      <c r="AD165" s="69"/>
      <c r="AE165" s="67"/>
      <c r="AF165" s="68"/>
      <c r="AG165" s="68"/>
      <c r="AH165" s="68"/>
      <c r="AI165" s="68"/>
      <c r="AJ165" s="68"/>
      <c r="AK165" s="69"/>
      <c r="AL165" s="67"/>
      <c r="AM165" s="68"/>
      <c r="AN165" s="68"/>
      <c r="AO165" s="68"/>
      <c r="AP165" s="68"/>
      <c r="AQ165" s="68"/>
      <c r="AR165" s="69"/>
      <c r="AS165" s="67"/>
      <c r="AT165" s="68"/>
      <c r="AU165" s="68"/>
      <c r="AV165" s="68"/>
      <c r="AW165" s="68"/>
      <c r="AX165" s="68"/>
      <c r="AY165" s="69"/>
      <c r="AZ165" s="67"/>
      <c r="BA165" s="68"/>
      <c r="BB165" s="68"/>
      <c r="BC165" s="68"/>
      <c r="BD165" s="68"/>
      <c r="BE165" s="68"/>
      <c r="BF165" s="69"/>
      <c r="BG165" s="67"/>
      <c r="BH165" s="68"/>
      <c r="BI165" s="68"/>
      <c r="BJ165" s="68"/>
      <c r="BK165" s="68"/>
      <c r="BL165" s="68"/>
      <c r="BM165" s="69"/>
      <c r="BN165" s="67"/>
      <c r="BO165" s="68"/>
      <c r="BP165" s="68"/>
      <c r="BQ165" s="68"/>
      <c r="BR165" s="68"/>
      <c r="BS165" s="68"/>
      <c r="BT165" s="69"/>
      <c r="BU165" s="59"/>
      <c r="BV165" s="59"/>
      <c r="BW165" s="59"/>
      <c r="BX165" s="59"/>
      <c r="BY165" s="59"/>
      <c r="BZ165" s="59"/>
      <c r="CA165" s="59"/>
    </row>
    <row r="166" spans="1:79">
      <c r="A166" s="59"/>
      <c r="B166" s="44" t="str">
        <f t="shared" si="4"/>
        <v/>
      </c>
      <c r="C166" s="67"/>
      <c r="D166" s="68"/>
      <c r="E166" s="68"/>
      <c r="F166" s="68"/>
      <c r="G166" s="68"/>
      <c r="H166" s="68"/>
      <c r="I166" s="69"/>
      <c r="J166" s="67"/>
      <c r="K166" s="68"/>
      <c r="L166" s="68"/>
      <c r="M166" s="68"/>
      <c r="N166" s="68"/>
      <c r="O166" s="68"/>
      <c r="P166" s="69"/>
      <c r="Q166" s="67"/>
      <c r="R166" s="68"/>
      <c r="S166" s="68"/>
      <c r="T166" s="68"/>
      <c r="U166" s="68"/>
      <c r="V166" s="68"/>
      <c r="W166" s="69"/>
      <c r="X166" s="67"/>
      <c r="Y166" s="68"/>
      <c r="Z166" s="68"/>
      <c r="AA166" s="68"/>
      <c r="AB166" s="68"/>
      <c r="AC166" s="68"/>
      <c r="AD166" s="69"/>
      <c r="AE166" s="67"/>
      <c r="AF166" s="68"/>
      <c r="AG166" s="68"/>
      <c r="AH166" s="68"/>
      <c r="AI166" s="68"/>
      <c r="AJ166" s="68"/>
      <c r="AK166" s="69"/>
      <c r="AL166" s="67"/>
      <c r="AM166" s="68"/>
      <c r="AN166" s="68"/>
      <c r="AO166" s="68"/>
      <c r="AP166" s="68"/>
      <c r="AQ166" s="68"/>
      <c r="AR166" s="69"/>
      <c r="AS166" s="67"/>
      <c r="AT166" s="68"/>
      <c r="AU166" s="68"/>
      <c r="AV166" s="68"/>
      <c r="AW166" s="68"/>
      <c r="AX166" s="68"/>
      <c r="AY166" s="69"/>
      <c r="AZ166" s="67"/>
      <c r="BA166" s="68"/>
      <c r="BB166" s="68"/>
      <c r="BC166" s="68"/>
      <c r="BD166" s="68"/>
      <c r="BE166" s="68"/>
      <c r="BF166" s="69"/>
      <c r="BG166" s="67"/>
      <c r="BH166" s="68"/>
      <c r="BI166" s="68"/>
      <c r="BJ166" s="68"/>
      <c r="BK166" s="68"/>
      <c r="BL166" s="68"/>
      <c r="BM166" s="69"/>
      <c r="BN166" s="67"/>
      <c r="BO166" s="68"/>
      <c r="BP166" s="68"/>
      <c r="BQ166" s="68"/>
      <c r="BR166" s="68"/>
      <c r="BS166" s="68"/>
      <c r="BT166" s="69"/>
      <c r="BU166" s="59"/>
      <c r="BV166" s="59"/>
      <c r="BW166" s="59"/>
      <c r="BX166" s="59"/>
      <c r="BY166" s="59"/>
      <c r="BZ166" s="59"/>
      <c r="CA166" s="59"/>
    </row>
    <row r="167" spans="1:79">
      <c r="A167" s="59"/>
      <c r="B167" s="44" t="str">
        <f t="shared" si="4"/>
        <v/>
      </c>
      <c r="C167" s="67"/>
      <c r="D167" s="68"/>
      <c r="E167" s="68"/>
      <c r="F167" s="68"/>
      <c r="G167" s="68"/>
      <c r="H167" s="68"/>
      <c r="I167" s="69"/>
      <c r="J167" s="67"/>
      <c r="K167" s="68"/>
      <c r="L167" s="68"/>
      <c r="M167" s="68"/>
      <c r="N167" s="68"/>
      <c r="O167" s="68"/>
      <c r="P167" s="69"/>
      <c r="Q167" s="67"/>
      <c r="R167" s="68"/>
      <c r="S167" s="68"/>
      <c r="T167" s="68"/>
      <c r="U167" s="68"/>
      <c r="V167" s="68"/>
      <c r="W167" s="69"/>
      <c r="X167" s="67"/>
      <c r="Y167" s="68"/>
      <c r="Z167" s="68"/>
      <c r="AA167" s="68"/>
      <c r="AB167" s="68"/>
      <c r="AC167" s="68"/>
      <c r="AD167" s="69"/>
      <c r="AE167" s="67"/>
      <c r="AF167" s="68"/>
      <c r="AG167" s="68"/>
      <c r="AH167" s="68"/>
      <c r="AI167" s="68"/>
      <c r="AJ167" s="68"/>
      <c r="AK167" s="69"/>
      <c r="AL167" s="67"/>
      <c r="AM167" s="68"/>
      <c r="AN167" s="68"/>
      <c r="AO167" s="68"/>
      <c r="AP167" s="68"/>
      <c r="AQ167" s="68"/>
      <c r="AR167" s="69"/>
      <c r="AS167" s="67"/>
      <c r="AT167" s="68"/>
      <c r="AU167" s="68"/>
      <c r="AV167" s="68"/>
      <c r="AW167" s="68"/>
      <c r="AX167" s="68"/>
      <c r="AY167" s="69"/>
      <c r="AZ167" s="67"/>
      <c r="BA167" s="68"/>
      <c r="BB167" s="68"/>
      <c r="BC167" s="68"/>
      <c r="BD167" s="68"/>
      <c r="BE167" s="68"/>
      <c r="BF167" s="69"/>
      <c r="BG167" s="67"/>
      <c r="BH167" s="68"/>
      <c r="BI167" s="68"/>
      <c r="BJ167" s="68"/>
      <c r="BK167" s="68"/>
      <c r="BL167" s="68"/>
      <c r="BM167" s="69"/>
      <c r="BN167" s="67"/>
      <c r="BO167" s="68"/>
      <c r="BP167" s="68"/>
      <c r="BQ167" s="68"/>
      <c r="BR167" s="68"/>
      <c r="BS167" s="68"/>
      <c r="BT167" s="69"/>
      <c r="BU167" s="59"/>
      <c r="BV167" s="59"/>
      <c r="BW167" s="59"/>
      <c r="BX167" s="59"/>
      <c r="BY167" s="59"/>
      <c r="BZ167" s="59"/>
      <c r="CA167" s="59"/>
    </row>
    <row r="168" spans="1:79">
      <c r="A168" s="59"/>
      <c r="B168" s="44" t="str">
        <f t="shared" si="4"/>
        <v/>
      </c>
      <c r="C168" s="67"/>
      <c r="D168" s="68"/>
      <c r="E168" s="68"/>
      <c r="F168" s="68"/>
      <c r="G168" s="68"/>
      <c r="H168" s="68"/>
      <c r="I168" s="69"/>
      <c r="J168" s="67"/>
      <c r="K168" s="68"/>
      <c r="L168" s="68"/>
      <c r="M168" s="68"/>
      <c r="N168" s="68"/>
      <c r="O168" s="68"/>
      <c r="P168" s="69"/>
      <c r="Q168" s="67"/>
      <c r="R168" s="68"/>
      <c r="S168" s="68"/>
      <c r="T168" s="68"/>
      <c r="U168" s="68"/>
      <c r="V168" s="68"/>
      <c r="W168" s="69"/>
      <c r="X168" s="67"/>
      <c r="Y168" s="68"/>
      <c r="Z168" s="68"/>
      <c r="AA168" s="68"/>
      <c r="AB168" s="68"/>
      <c r="AC168" s="68"/>
      <c r="AD168" s="69"/>
      <c r="AE168" s="67"/>
      <c r="AF168" s="68"/>
      <c r="AG168" s="68"/>
      <c r="AH168" s="68"/>
      <c r="AI168" s="68"/>
      <c r="AJ168" s="68"/>
      <c r="AK168" s="69"/>
      <c r="AL168" s="67"/>
      <c r="AM168" s="68"/>
      <c r="AN168" s="68"/>
      <c r="AO168" s="68"/>
      <c r="AP168" s="68"/>
      <c r="AQ168" s="68"/>
      <c r="AR168" s="69"/>
      <c r="AS168" s="67"/>
      <c r="AT168" s="68"/>
      <c r="AU168" s="68"/>
      <c r="AV168" s="68"/>
      <c r="AW168" s="68"/>
      <c r="AX168" s="68"/>
      <c r="AY168" s="69"/>
      <c r="AZ168" s="67"/>
      <c r="BA168" s="68"/>
      <c r="BB168" s="68"/>
      <c r="BC168" s="68"/>
      <c r="BD168" s="68"/>
      <c r="BE168" s="68"/>
      <c r="BF168" s="69"/>
      <c r="BG168" s="67"/>
      <c r="BH168" s="68"/>
      <c r="BI168" s="68"/>
      <c r="BJ168" s="68"/>
      <c r="BK168" s="68"/>
      <c r="BL168" s="68"/>
      <c r="BM168" s="69"/>
      <c r="BN168" s="67"/>
      <c r="BO168" s="68"/>
      <c r="BP168" s="68"/>
      <c r="BQ168" s="68"/>
      <c r="BR168" s="68"/>
      <c r="BS168" s="68"/>
      <c r="BT168" s="69"/>
      <c r="BU168" s="59"/>
      <c r="BV168" s="59"/>
      <c r="BW168" s="59"/>
      <c r="BX168" s="59"/>
      <c r="BY168" s="59"/>
      <c r="BZ168" s="59"/>
      <c r="CA168" s="59"/>
    </row>
    <row r="169" spans="1:79">
      <c r="A169" s="59"/>
      <c r="B169" s="44" t="str">
        <f t="shared" si="4"/>
        <v/>
      </c>
      <c r="C169" s="67"/>
      <c r="D169" s="68"/>
      <c r="E169" s="68"/>
      <c r="F169" s="68"/>
      <c r="G169" s="68"/>
      <c r="H169" s="68"/>
      <c r="I169" s="69"/>
      <c r="J169" s="67"/>
      <c r="K169" s="68"/>
      <c r="L169" s="68"/>
      <c r="M169" s="68"/>
      <c r="N169" s="68"/>
      <c r="O169" s="68"/>
      <c r="P169" s="69"/>
      <c r="Q169" s="67"/>
      <c r="R169" s="68"/>
      <c r="S169" s="68"/>
      <c r="T169" s="68"/>
      <c r="U169" s="68"/>
      <c r="V169" s="68"/>
      <c r="W169" s="69"/>
      <c r="X169" s="67"/>
      <c r="Y169" s="68"/>
      <c r="Z169" s="68"/>
      <c r="AA169" s="68"/>
      <c r="AB169" s="68"/>
      <c r="AC169" s="68"/>
      <c r="AD169" s="69"/>
      <c r="AE169" s="67"/>
      <c r="AF169" s="68"/>
      <c r="AG169" s="68"/>
      <c r="AH169" s="68"/>
      <c r="AI169" s="68"/>
      <c r="AJ169" s="68"/>
      <c r="AK169" s="69"/>
      <c r="AL169" s="67"/>
      <c r="AM169" s="68"/>
      <c r="AN169" s="68"/>
      <c r="AO169" s="68"/>
      <c r="AP169" s="68"/>
      <c r="AQ169" s="68"/>
      <c r="AR169" s="69"/>
      <c r="AS169" s="67"/>
      <c r="AT169" s="68"/>
      <c r="AU169" s="68"/>
      <c r="AV169" s="68"/>
      <c r="AW169" s="68"/>
      <c r="AX169" s="68"/>
      <c r="AY169" s="69"/>
      <c r="AZ169" s="67"/>
      <c r="BA169" s="68"/>
      <c r="BB169" s="68"/>
      <c r="BC169" s="68"/>
      <c r="BD169" s="68"/>
      <c r="BE169" s="68"/>
      <c r="BF169" s="69"/>
      <c r="BG169" s="67"/>
      <c r="BH169" s="68"/>
      <c r="BI169" s="68"/>
      <c r="BJ169" s="68"/>
      <c r="BK169" s="68"/>
      <c r="BL169" s="68"/>
      <c r="BM169" s="69"/>
      <c r="BN169" s="67"/>
      <c r="BO169" s="68"/>
      <c r="BP169" s="68"/>
      <c r="BQ169" s="68"/>
      <c r="BR169" s="68"/>
      <c r="BS169" s="68"/>
      <c r="BT169" s="69"/>
      <c r="BU169" s="59"/>
      <c r="BV169" s="59"/>
      <c r="BW169" s="59"/>
      <c r="BX169" s="59"/>
      <c r="BY169" s="59"/>
      <c r="BZ169" s="59"/>
      <c r="CA169" s="59"/>
    </row>
    <row r="170" spans="1:79">
      <c r="A170" s="59"/>
      <c r="B170" s="44" t="str">
        <f t="shared" si="4"/>
        <v/>
      </c>
      <c r="C170" s="67"/>
      <c r="D170" s="68"/>
      <c r="E170" s="68"/>
      <c r="F170" s="68"/>
      <c r="G170" s="68"/>
      <c r="H170" s="68"/>
      <c r="I170" s="69"/>
      <c r="J170" s="67"/>
      <c r="K170" s="68"/>
      <c r="L170" s="68"/>
      <c r="M170" s="68"/>
      <c r="N170" s="68"/>
      <c r="O170" s="68"/>
      <c r="P170" s="69"/>
      <c r="Q170" s="67"/>
      <c r="R170" s="68"/>
      <c r="S170" s="68"/>
      <c r="T170" s="68"/>
      <c r="U170" s="68"/>
      <c r="V170" s="68"/>
      <c r="W170" s="69"/>
      <c r="X170" s="67"/>
      <c r="Y170" s="68"/>
      <c r="Z170" s="68"/>
      <c r="AA170" s="68"/>
      <c r="AB170" s="68"/>
      <c r="AC170" s="68"/>
      <c r="AD170" s="69"/>
      <c r="AE170" s="67"/>
      <c r="AF170" s="68"/>
      <c r="AG170" s="68"/>
      <c r="AH170" s="68"/>
      <c r="AI170" s="68"/>
      <c r="AJ170" s="68"/>
      <c r="AK170" s="69"/>
      <c r="AL170" s="67"/>
      <c r="AM170" s="68"/>
      <c r="AN170" s="68"/>
      <c r="AO170" s="68"/>
      <c r="AP170" s="68"/>
      <c r="AQ170" s="68"/>
      <c r="AR170" s="69"/>
      <c r="AS170" s="67"/>
      <c r="AT170" s="68"/>
      <c r="AU170" s="68"/>
      <c r="AV170" s="68"/>
      <c r="AW170" s="68"/>
      <c r="AX170" s="68"/>
      <c r="AY170" s="69"/>
      <c r="AZ170" s="67"/>
      <c r="BA170" s="68"/>
      <c r="BB170" s="68"/>
      <c r="BC170" s="68"/>
      <c r="BD170" s="68"/>
      <c r="BE170" s="68"/>
      <c r="BF170" s="69"/>
      <c r="BG170" s="67"/>
      <c r="BH170" s="68"/>
      <c r="BI170" s="68"/>
      <c r="BJ170" s="68"/>
      <c r="BK170" s="68"/>
      <c r="BL170" s="68"/>
      <c r="BM170" s="69"/>
      <c r="BN170" s="67"/>
      <c r="BO170" s="68"/>
      <c r="BP170" s="68"/>
      <c r="BQ170" s="68"/>
      <c r="BR170" s="68"/>
      <c r="BS170" s="68"/>
      <c r="BT170" s="69"/>
      <c r="BU170" s="59"/>
      <c r="BV170" s="59"/>
      <c r="BW170" s="59"/>
      <c r="BX170" s="59"/>
      <c r="BY170" s="59"/>
      <c r="BZ170" s="59"/>
      <c r="CA170" s="59"/>
    </row>
    <row r="171" spans="1:79">
      <c r="A171" s="59"/>
      <c r="B171" s="44" t="str">
        <f t="shared" ref="B171:B202" si="5">IF(Start_year+ROW(B171)-ROW($B$11)&gt;End_year,"",Start_year+ROW(B171)-ROW($B$11))</f>
        <v/>
      </c>
      <c r="C171" s="67"/>
      <c r="D171" s="68"/>
      <c r="E171" s="68"/>
      <c r="F171" s="68"/>
      <c r="G171" s="68"/>
      <c r="H171" s="68"/>
      <c r="I171" s="69"/>
      <c r="J171" s="67"/>
      <c r="K171" s="68"/>
      <c r="L171" s="68"/>
      <c r="M171" s="68"/>
      <c r="N171" s="68"/>
      <c r="O171" s="68"/>
      <c r="P171" s="69"/>
      <c r="Q171" s="67"/>
      <c r="R171" s="68"/>
      <c r="S171" s="68"/>
      <c r="T171" s="68"/>
      <c r="U171" s="68"/>
      <c r="V171" s="68"/>
      <c r="W171" s="69"/>
      <c r="X171" s="67"/>
      <c r="Y171" s="68"/>
      <c r="Z171" s="68"/>
      <c r="AA171" s="68"/>
      <c r="AB171" s="68"/>
      <c r="AC171" s="68"/>
      <c r="AD171" s="69"/>
      <c r="AE171" s="67"/>
      <c r="AF171" s="68"/>
      <c r="AG171" s="68"/>
      <c r="AH171" s="68"/>
      <c r="AI171" s="68"/>
      <c r="AJ171" s="68"/>
      <c r="AK171" s="69"/>
      <c r="AL171" s="67"/>
      <c r="AM171" s="68"/>
      <c r="AN171" s="68"/>
      <c r="AO171" s="68"/>
      <c r="AP171" s="68"/>
      <c r="AQ171" s="68"/>
      <c r="AR171" s="69"/>
      <c r="AS171" s="67"/>
      <c r="AT171" s="68"/>
      <c r="AU171" s="68"/>
      <c r="AV171" s="68"/>
      <c r="AW171" s="68"/>
      <c r="AX171" s="68"/>
      <c r="AY171" s="69"/>
      <c r="AZ171" s="67"/>
      <c r="BA171" s="68"/>
      <c r="BB171" s="68"/>
      <c r="BC171" s="68"/>
      <c r="BD171" s="68"/>
      <c r="BE171" s="68"/>
      <c r="BF171" s="69"/>
      <c r="BG171" s="67"/>
      <c r="BH171" s="68"/>
      <c r="BI171" s="68"/>
      <c r="BJ171" s="68"/>
      <c r="BK171" s="68"/>
      <c r="BL171" s="68"/>
      <c r="BM171" s="69"/>
      <c r="BN171" s="67"/>
      <c r="BO171" s="68"/>
      <c r="BP171" s="68"/>
      <c r="BQ171" s="68"/>
      <c r="BR171" s="68"/>
      <c r="BS171" s="68"/>
      <c r="BT171" s="69"/>
      <c r="BU171" s="59"/>
      <c r="BV171" s="59"/>
      <c r="BW171" s="59"/>
      <c r="BX171" s="59"/>
      <c r="BY171" s="59"/>
      <c r="BZ171" s="59"/>
      <c r="CA171" s="59"/>
    </row>
    <row r="172" spans="1:79">
      <c r="A172" s="59"/>
      <c r="B172" s="44" t="str">
        <f t="shared" si="5"/>
        <v/>
      </c>
      <c r="C172" s="67"/>
      <c r="D172" s="68"/>
      <c r="E172" s="68"/>
      <c r="F172" s="68"/>
      <c r="G172" s="68"/>
      <c r="H172" s="68"/>
      <c r="I172" s="69"/>
      <c r="J172" s="67"/>
      <c r="K172" s="68"/>
      <c r="L172" s="68"/>
      <c r="M172" s="68"/>
      <c r="N172" s="68"/>
      <c r="O172" s="68"/>
      <c r="P172" s="69"/>
      <c r="Q172" s="67"/>
      <c r="R172" s="68"/>
      <c r="S172" s="68"/>
      <c r="T172" s="68"/>
      <c r="U172" s="68"/>
      <c r="V172" s="68"/>
      <c r="W172" s="69"/>
      <c r="X172" s="67"/>
      <c r="Y172" s="68"/>
      <c r="Z172" s="68"/>
      <c r="AA172" s="68"/>
      <c r="AB172" s="68"/>
      <c r="AC172" s="68"/>
      <c r="AD172" s="69"/>
      <c r="AE172" s="67"/>
      <c r="AF172" s="68"/>
      <c r="AG172" s="68"/>
      <c r="AH172" s="68"/>
      <c r="AI172" s="68"/>
      <c r="AJ172" s="68"/>
      <c r="AK172" s="69"/>
      <c r="AL172" s="67"/>
      <c r="AM172" s="68"/>
      <c r="AN172" s="68"/>
      <c r="AO172" s="68"/>
      <c r="AP172" s="68"/>
      <c r="AQ172" s="68"/>
      <c r="AR172" s="69"/>
      <c r="AS172" s="67"/>
      <c r="AT172" s="68"/>
      <c r="AU172" s="68"/>
      <c r="AV172" s="68"/>
      <c r="AW172" s="68"/>
      <c r="AX172" s="68"/>
      <c r="AY172" s="69"/>
      <c r="AZ172" s="67"/>
      <c r="BA172" s="68"/>
      <c r="BB172" s="68"/>
      <c r="BC172" s="68"/>
      <c r="BD172" s="68"/>
      <c r="BE172" s="68"/>
      <c r="BF172" s="69"/>
      <c r="BG172" s="67"/>
      <c r="BH172" s="68"/>
      <c r="BI172" s="68"/>
      <c r="BJ172" s="68"/>
      <c r="BK172" s="68"/>
      <c r="BL172" s="68"/>
      <c r="BM172" s="69"/>
      <c r="BN172" s="67"/>
      <c r="BO172" s="68"/>
      <c r="BP172" s="68"/>
      <c r="BQ172" s="68"/>
      <c r="BR172" s="68"/>
      <c r="BS172" s="68"/>
      <c r="BT172" s="69"/>
      <c r="BU172" s="59"/>
      <c r="BV172" s="59"/>
      <c r="BW172" s="59"/>
      <c r="BX172" s="59"/>
      <c r="BY172" s="59"/>
      <c r="BZ172" s="59"/>
      <c r="CA172" s="59"/>
    </row>
    <row r="173" spans="1:79">
      <c r="A173" s="59"/>
      <c r="B173" s="44" t="str">
        <f t="shared" si="5"/>
        <v/>
      </c>
      <c r="C173" s="67"/>
      <c r="D173" s="68"/>
      <c r="E173" s="68"/>
      <c r="F173" s="68"/>
      <c r="G173" s="68"/>
      <c r="H173" s="68"/>
      <c r="I173" s="69"/>
      <c r="J173" s="67"/>
      <c r="K173" s="68"/>
      <c r="L173" s="68"/>
      <c r="M173" s="68"/>
      <c r="N173" s="68"/>
      <c r="O173" s="68"/>
      <c r="P173" s="69"/>
      <c r="Q173" s="67"/>
      <c r="R173" s="68"/>
      <c r="S173" s="68"/>
      <c r="T173" s="68"/>
      <c r="U173" s="68"/>
      <c r="V173" s="68"/>
      <c r="W173" s="69"/>
      <c r="X173" s="67"/>
      <c r="Y173" s="68"/>
      <c r="Z173" s="68"/>
      <c r="AA173" s="68"/>
      <c r="AB173" s="68"/>
      <c r="AC173" s="68"/>
      <c r="AD173" s="69"/>
      <c r="AE173" s="67"/>
      <c r="AF173" s="68"/>
      <c r="AG173" s="68"/>
      <c r="AH173" s="68"/>
      <c r="AI173" s="68"/>
      <c r="AJ173" s="68"/>
      <c r="AK173" s="69"/>
      <c r="AL173" s="67"/>
      <c r="AM173" s="68"/>
      <c r="AN173" s="68"/>
      <c r="AO173" s="68"/>
      <c r="AP173" s="68"/>
      <c r="AQ173" s="68"/>
      <c r="AR173" s="69"/>
      <c r="AS173" s="67"/>
      <c r="AT173" s="68"/>
      <c r="AU173" s="68"/>
      <c r="AV173" s="68"/>
      <c r="AW173" s="68"/>
      <c r="AX173" s="68"/>
      <c r="AY173" s="69"/>
      <c r="AZ173" s="67"/>
      <c r="BA173" s="68"/>
      <c r="BB173" s="68"/>
      <c r="BC173" s="68"/>
      <c r="BD173" s="68"/>
      <c r="BE173" s="68"/>
      <c r="BF173" s="69"/>
      <c r="BG173" s="67"/>
      <c r="BH173" s="68"/>
      <c r="BI173" s="68"/>
      <c r="BJ173" s="68"/>
      <c r="BK173" s="68"/>
      <c r="BL173" s="68"/>
      <c r="BM173" s="69"/>
      <c r="BN173" s="67"/>
      <c r="BO173" s="68"/>
      <c r="BP173" s="68"/>
      <c r="BQ173" s="68"/>
      <c r="BR173" s="68"/>
      <c r="BS173" s="68"/>
      <c r="BT173" s="69"/>
      <c r="BU173" s="59"/>
      <c r="BV173" s="59"/>
      <c r="BW173" s="59"/>
      <c r="BX173" s="59"/>
      <c r="BY173" s="59"/>
      <c r="BZ173" s="59"/>
      <c r="CA173" s="59"/>
    </row>
    <row r="174" spans="1:79">
      <c r="A174" s="59"/>
      <c r="B174" s="44" t="str">
        <f t="shared" si="5"/>
        <v/>
      </c>
      <c r="C174" s="67"/>
      <c r="D174" s="68"/>
      <c r="E174" s="68"/>
      <c r="F174" s="68"/>
      <c r="G174" s="68"/>
      <c r="H174" s="68"/>
      <c r="I174" s="69"/>
      <c r="J174" s="67"/>
      <c r="K174" s="68"/>
      <c r="L174" s="68"/>
      <c r="M174" s="68"/>
      <c r="N174" s="68"/>
      <c r="O174" s="68"/>
      <c r="P174" s="69"/>
      <c r="Q174" s="67"/>
      <c r="R174" s="68"/>
      <c r="S174" s="68"/>
      <c r="T174" s="68"/>
      <c r="U174" s="68"/>
      <c r="V174" s="68"/>
      <c r="W174" s="69"/>
      <c r="X174" s="67"/>
      <c r="Y174" s="68"/>
      <c r="Z174" s="68"/>
      <c r="AA174" s="68"/>
      <c r="AB174" s="68"/>
      <c r="AC174" s="68"/>
      <c r="AD174" s="69"/>
      <c r="AE174" s="67"/>
      <c r="AF174" s="68"/>
      <c r="AG174" s="68"/>
      <c r="AH174" s="68"/>
      <c r="AI174" s="68"/>
      <c r="AJ174" s="68"/>
      <c r="AK174" s="69"/>
      <c r="AL174" s="67"/>
      <c r="AM174" s="68"/>
      <c r="AN174" s="68"/>
      <c r="AO174" s="68"/>
      <c r="AP174" s="68"/>
      <c r="AQ174" s="68"/>
      <c r="AR174" s="69"/>
      <c r="AS174" s="67"/>
      <c r="AT174" s="68"/>
      <c r="AU174" s="68"/>
      <c r="AV174" s="68"/>
      <c r="AW174" s="68"/>
      <c r="AX174" s="68"/>
      <c r="AY174" s="69"/>
      <c r="AZ174" s="67"/>
      <c r="BA174" s="68"/>
      <c r="BB174" s="68"/>
      <c r="BC174" s="68"/>
      <c r="BD174" s="68"/>
      <c r="BE174" s="68"/>
      <c r="BF174" s="69"/>
      <c r="BG174" s="67"/>
      <c r="BH174" s="68"/>
      <c r="BI174" s="68"/>
      <c r="BJ174" s="68"/>
      <c r="BK174" s="68"/>
      <c r="BL174" s="68"/>
      <c r="BM174" s="69"/>
      <c r="BN174" s="67"/>
      <c r="BO174" s="68"/>
      <c r="BP174" s="68"/>
      <c r="BQ174" s="68"/>
      <c r="BR174" s="68"/>
      <c r="BS174" s="68"/>
      <c r="BT174" s="69"/>
      <c r="BU174" s="59"/>
      <c r="BV174" s="59"/>
      <c r="BW174" s="59"/>
      <c r="BX174" s="59"/>
      <c r="BY174" s="59"/>
      <c r="BZ174" s="59"/>
      <c r="CA174" s="59"/>
    </row>
    <row r="175" spans="1:79">
      <c r="A175" s="59"/>
      <c r="B175" s="44" t="str">
        <f t="shared" si="5"/>
        <v/>
      </c>
      <c r="C175" s="67"/>
      <c r="D175" s="68"/>
      <c r="E175" s="68"/>
      <c r="F175" s="68"/>
      <c r="G175" s="68"/>
      <c r="H175" s="68"/>
      <c r="I175" s="69"/>
      <c r="J175" s="67"/>
      <c r="K175" s="68"/>
      <c r="L175" s="68"/>
      <c r="M175" s="68"/>
      <c r="N175" s="68"/>
      <c r="O175" s="68"/>
      <c r="P175" s="69"/>
      <c r="Q175" s="67"/>
      <c r="R175" s="68"/>
      <c r="S175" s="68"/>
      <c r="T175" s="68"/>
      <c r="U175" s="68"/>
      <c r="V175" s="68"/>
      <c r="W175" s="69"/>
      <c r="X175" s="67"/>
      <c r="Y175" s="68"/>
      <c r="Z175" s="68"/>
      <c r="AA175" s="68"/>
      <c r="AB175" s="68"/>
      <c r="AC175" s="68"/>
      <c r="AD175" s="69"/>
      <c r="AE175" s="67"/>
      <c r="AF175" s="68"/>
      <c r="AG175" s="68"/>
      <c r="AH175" s="68"/>
      <c r="AI175" s="68"/>
      <c r="AJ175" s="68"/>
      <c r="AK175" s="69"/>
      <c r="AL175" s="67"/>
      <c r="AM175" s="68"/>
      <c r="AN175" s="68"/>
      <c r="AO175" s="68"/>
      <c r="AP175" s="68"/>
      <c r="AQ175" s="68"/>
      <c r="AR175" s="69"/>
      <c r="AS175" s="67"/>
      <c r="AT175" s="68"/>
      <c r="AU175" s="68"/>
      <c r="AV175" s="68"/>
      <c r="AW175" s="68"/>
      <c r="AX175" s="68"/>
      <c r="AY175" s="69"/>
      <c r="AZ175" s="67"/>
      <c r="BA175" s="68"/>
      <c r="BB175" s="68"/>
      <c r="BC175" s="68"/>
      <c r="BD175" s="68"/>
      <c r="BE175" s="68"/>
      <c r="BF175" s="69"/>
      <c r="BG175" s="67"/>
      <c r="BH175" s="68"/>
      <c r="BI175" s="68"/>
      <c r="BJ175" s="68"/>
      <c r="BK175" s="68"/>
      <c r="BL175" s="68"/>
      <c r="BM175" s="69"/>
      <c r="BN175" s="67"/>
      <c r="BO175" s="68"/>
      <c r="BP175" s="68"/>
      <c r="BQ175" s="68"/>
      <c r="BR175" s="68"/>
      <c r="BS175" s="68"/>
      <c r="BT175" s="69"/>
      <c r="BU175" s="59"/>
      <c r="BV175" s="59"/>
      <c r="BW175" s="59"/>
      <c r="BX175" s="59"/>
      <c r="BY175" s="59"/>
      <c r="BZ175" s="59"/>
      <c r="CA175" s="59"/>
    </row>
    <row r="176" spans="1:79">
      <c r="A176" s="59"/>
      <c r="B176" s="44" t="str">
        <f t="shared" si="5"/>
        <v/>
      </c>
      <c r="C176" s="67"/>
      <c r="D176" s="68"/>
      <c r="E176" s="68"/>
      <c r="F176" s="68"/>
      <c r="G176" s="68"/>
      <c r="H176" s="68"/>
      <c r="I176" s="69"/>
      <c r="J176" s="67"/>
      <c r="K176" s="68"/>
      <c r="L176" s="68"/>
      <c r="M176" s="68"/>
      <c r="N176" s="68"/>
      <c r="O176" s="68"/>
      <c r="P176" s="69"/>
      <c r="Q176" s="67"/>
      <c r="R176" s="68"/>
      <c r="S176" s="68"/>
      <c r="T176" s="68"/>
      <c r="U176" s="68"/>
      <c r="V176" s="68"/>
      <c r="W176" s="69"/>
      <c r="X176" s="67"/>
      <c r="Y176" s="68"/>
      <c r="Z176" s="68"/>
      <c r="AA176" s="68"/>
      <c r="AB176" s="68"/>
      <c r="AC176" s="68"/>
      <c r="AD176" s="69"/>
      <c r="AE176" s="67"/>
      <c r="AF176" s="68"/>
      <c r="AG176" s="68"/>
      <c r="AH176" s="68"/>
      <c r="AI176" s="68"/>
      <c r="AJ176" s="68"/>
      <c r="AK176" s="69"/>
      <c r="AL176" s="67"/>
      <c r="AM176" s="68"/>
      <c r="AN176" s="68"/>
      <c r="AO176" s="68"/>
      <c r="AP176" s="68"/>
      <c r="AQ176" s="68"/>
      <c r="AR176" s="69"/>
      <c r="AS176" s="67"/>
      <c r="AT176" s="68"/>
      <c r="AU176" s="68"/>
      <c r="AV176" s="68"/>
      <c r="AW176" s="68"/>
      <c r="AX176" s="68"/>
      <c r="AY176" s="69"/>
      <c r="AZ176" s="67"/>
      <c r="BA176" s="68"/>
      <c r="BB176" s="68"/>
      <c r="BC176" s="68"/>
      <c r="BD176" s="68"/>
      <c r="BE176" s="68"/>
      <c r="BF176" s="69"/>
      <c r="BG176" s="67"/>
      <c r="BH176" s="68"/>
      <c r="BI176" s="68"/>
      <c r="BJ176" s="68"/>
      <c r="BK176" s="68"/>
      <c r="BL176" s="68"/>
      <c r="BM176" s="69"/>
      <c r="BN176" s="67"/>
      <c r="BO176" s="68"/>
      <c r="BP176" s="68"/>
      <c r="BQ176" s="68"/>
      <c r="BR176" s="68"/>
      <c r="BS176" s="68"/>
      <c r="BT176" s="69"/>
      <c r="BU176" s="59"/>
      <c r="BV176" s="59"/>
      <c r="BW176" s="59"/>
      <c r="BX176" s="59"/>
      <c r="BY176" s="59"/>
      <c r="BZ176" s="59"/>
      <c r="CA176" s="59"/>
    </row>
    <row r="177" spans="1:79">
      <c r="A177" s="59"/>
      <c r="B177" s="44" t="str">
        <f t="shared" si="5"/>
        <v/>
      </c>
      <c r="C177" s="67"/>
      <c r="D177" s="68"/>
      <c r="E177" s="68"/>
      <c r="F177" s="68"/>
      <c r="G177" s="68"/>
      <c r="H177" s="68"/>
      <c r="I177" s="69"/>
      <c r="J177" s="67"/>
      <c r="K177" s="68"/>
      <c r="L177" s="68"/>
      <c r="M177" s="68"/>
      <c r="N177" s="68"/>
      <c r="O177" s="68"/>
      <c r="P177" s="69"/>
      <c r="Q177" s="67"/>
      <c r="R177" s="68"/>
      <c r="S177" s="68"/>
      <c r="T177" s="68"/>
      <c r="U177" s="68"/>
      <c r="V177" s="68"/>
      <c r="W177" s="69"/>
      <c r="X177" s="67"/>
      <c r="Y177" s="68"/>
      <c r="Z177" s="68"/>
      <c r="AA177" s="68"/>
      <c r="AB177" s="68"/>
      <c r="AC177" s="68"/>
      <c r="AD177" s="69"/>
      <c r="AE177" s="67"/>
      <c r="AF177" s="68"/>
      <c r="AG177" s="68"/>
      <c r="AH177" s="68"/>
      <c r="AI177" s="68"/>
      <c r="AJ177" s="68"/>
      <c r="AK177" s="69"/>
      <c r="AL177" s="67"/>
      <c r="AM177" s="68"/>
      <c r="AN177" s="68"/>
      <c r="AO177" s="68"/>
      <c r="AP177" s="68"/>
      <c r="AQ177" s="68"/>
      <c r="AR177" s="69"/>
      <c r="AS177" s="67"/>
      <c r="AT177" s="68"/>
      <c r="AU177" s="68"/>
      <c r="AV177" s="68"/>
      <c r="AW177" s="68"/>
      <c r="AX177" s="68"/>
      <c r="AY177" s="69"/>
      <c r="AZ177" s="67"/>
      <c r="BA177" s="68"/>
      <c r="BB177" s="68"/>
      <c r="BC177" s="68"/>
      <c r="BD177" s="68"/>
      <c r="BE177" s="68"/>
      <c r="BF177" s="69"/>
      <c r="BG177" s="67"/>
      <c r="BH177" s="68"/>
      <c r="BI177" s="68"/>
      <c r="BJ177" s="68"/>
      <c r="BK177" s="68"/>
      <c r="BL177" s="68"/>
      <c r="BM177" s="69"/>
      <c r="BN177" s="67"/>
      <c r="BO177" s="68"/>
      <c r="BP177" s="68"/>
      <c r="BQ177" s="68"/>
      <c r="BR177" s="68"/>
      <c r="BS177" s="68"/>
      <c r="BT177" s="69"/>
      <c r="BU177" s="59"/>
      <c r="BV177" s="59"/>
      <c r="BW177" s="59"/>
      <c r="BX177" s="59"/>
      <c r="BY177" s="59"/>
      <c r="BZ177" s="59"/>
      <c r="CA177" s="59"/>
    </row>
    <row r="178" spans="1:79">
      <c r="A178" s="59"/>
      <c r="B178" s="44" t="str">
        <f t="shared" si="5"/>
        <v/>
      </c>
      <c r="C178" s="67"/>
      <c r="D178" s="68"/>
      <c r="E178" s="68"/>
      <c r="F178" s="68"/>
      <c r="G178" s="68"/>
      <c r="H178" s="68"/>
      <c r="I178" s="69"/>
      <c r="J178" s="67"/>
      <c r="K178" s="68"/>
      <c r="L178" s="68"/>
      <c r="M178" s="68"/>
      <c r="N178" s="68"/>
      <c r="O178" s="68"/>
      <c r="P178" s="69"/>
      <c r="Q178" s="67"/>
      <c r="R178" s="68"/>
      <c r="S178" s="68"/>
      <c r="T178" s="68"/>
      <c r="U178" s="68"/>
      <c r="V178" s="68"/>
      <c r="W178" s="69"/>
      <c r="X178" s="67"/>
      <c r="Y178" s="68"/>
      <c r="Z178" s="68"/>
      <c r="AA178" s="68"/>
      <c r="AB178" s="68"/>
      <c r="AC178" s="68"/>
      <c r="AD178" s="69"/>
      <c r="AE178" s="67"/>
      <c r="AF178" s="68"/>
      <c r="AG178" s="68"/>
      <c r="AH178" s="68"/>
      <c r="AI178" s="68"/>
      <c r="AJ178" s="68"/>
      <c r="AK178" s="69"/>
      <c r="AL178" s="67"/>
      <c r="AM178" s="68"/>
      <c r="AN178" s="68"/>
      <c r="AO178" s="68"/>
      <c r="AP178" s="68"/>
      <c r="AQ178" s="68"/>
      <c r="AR178" s="69"/>
      <c r="AS178" s="67"/>
      <c r="AT178" s="68"/>
      <c r="AU178" s="68"/>
      <c r="AV178" s="68"/>
      <c r="AW178" s="68"/>
      <c r="AX178" s="68"/>
      <c r="AY178" s="69"/>
      <c r="AZ178" s="67"/>
      <c r="BA178" s="68"/>
      <c r="BB178" s="68"/>
      <c r="BC178" s="68"/>
      <c r="BD178" s="68"/>
      <c r="BE178" s="68"/>
      <c r="BF178" s="69"/>
      <c r="BG178" s="67"/>
      <c r="BH178" s="68"/>
      <c r="BI178" s="68"/>
      <c r="BJ178" s="68"/>
      <c r="BK178" s="68"/>
      <c r="BL178" s="68"/>
      <c r="BM178" s="69"/>
      <c r="BN178" s="67"/>
      <c r="BO178" s="68"/>
      <c r="BP178" s="68"/>
      <c r="BQ178" s="68"/>
      <c r="BR178" s="68"/>
      <c r="BS178" s="68"/>
      <c r="BT178" s="69"/>
      <c r="BU178" s="59"/>
      <c r="BV178" s="59"/>
      <c r="BW178" s="59"/>
      <c r="BX178" s="59"/>
      <c r="BY178" s="59"/>
      <c r="BZ178" s="59"/>
      <c r="CA178" s="59"/>
    </row>
    <row r="179" spans="1:79">
      <c r="A179" s="59"/>
      <c r="B179" s="44" t="str">
        <f t="shared" si="5"/>
        <v/>
      </c>
      <c r="C179" s="67"/>
      <c r="D179" s="68"/>
      <c r="E179" s="68"/>
      <c r="F179" s="68"/>
      <c r="G179" s="68"/>
      <c r="H179" s="68"/>
      <c r="I179" s="69"/>
      <c r="J179" s="67"/>
      <c r="K179" s="68"/>
      <c r="L179" s="68"/>
      <c r="M179" s="68"/>
      <c r="N179" s="68"/>
      <c r="O179" s="68"/>
      <c r="P179" s="69"/>
      <c r="Q179" s="67"/>
      <c r="R179" s="68"/>
      <c r="S179" s="68"/>
      <c r="T179" s="68"/>
      <c r="U179" s="68"/>
      <c r="V179" s="68"/>
      <c r="W179" s="69"/>
      <c r="X179" s="67"/>
      <c r="Y179" s="68"/>
      <c r="Z179" s="68"/>
      <c r="AA179" s="68"/>
      <c r="AB179" s="68"/>
      <c r="AC179" s="68"/>
      <c r="AD179" s="69"/>
      <c r="AE179" s="67"/>
      <c r="AF179" s="68"/>
      <c r="AG179" s="68"/>
      <c r="AH179" s="68"/>
      <c r="AI179" s="68"/>
      <c r="AJ179" s="68"/>
      <c r="AK179" s="69"/>
      <c r="AL179" s="67"/>
      <c r="AM179" s="68"/>
      <c r="AN179" s="68"/>
      <c r="AO179" s="68"/>
      <c r="AP179" s="68"/>
      <c r="AQ179" s="68"/>
      <c r="AR179" s="69"/>
      <c r="AS179" s="67"/>
      <c r="AT179" s="68"/>
      <c r="AU179" s="68"/>
      <c r="AV179" s="68"/>
      <c r="AW179" s="68"/>
      <c r="AX179" s="68"/>
      <c r="AY179" s="69"/>
      <c r="AZ179" s="67"/>
      <c r="BA179" s="68"/>
      <c r="BB179" s="68"/>
      <c r="BC179" s="68"/>
      <c r="BD179" s="68"/>
      <c r="BE179" s="68"/>
      <c r="BF179" s="69"/>
      <c r="BG179" s="67"/>
      <c r="BH179" s="68"/>
      <c r="BI179" s="68"/>
      <c r="BJ179" s="68"/>
      <c r="BK179" s="68"/>
      <c r="BL179" s="68"/>
      <c r="BM179" s="69"/>
      <c r="BN179" s="67"/>
      <c r="BO179" s="68"/>
      <c r="BP179" s="68"/>
      <c r="BQ179" s="68"/>
      <c r="BR179" s="68"/>
      <c r="BS179" s="68"/>
      <c r="BT179" s="69"/>
      <c r="BU179" s="59"/>
      <c r="BV179" s="59"/>
      <c r="BW179" s="59"/>
      <c r="BX179" s="59"/>
      <c r="BY179" s="59"/>
      <c r="BZ179" s="59"/>
      <c r="CA179" s="59"/>
    </row>
    <row r="180" spans="1:79">
      <c r="A180" s="59"/>
      <c r="B180" s="44" t="str">
        <f t="shared" si="5"/>
        <v/>
      </c>
      <c r="C180" s="67"/>
      <c r="D180" s="68"/>
      <c r="E180" s="68"/>
      <c r="F180" s="68"/>
      <c r="G180" s="68"/>
      <c r="H180" s="68"/>
      <c r="I180" s="69"/>
      <c r="J180" s="67"/>
      <c r="K180" s="68"/>
      <c r="L180" s="68"/>
      <c r="M180" s="68"/>
      <c r="N180" s="68"/>
      <c r="O180" s="68"/>
      <c r="P180" s="69"/>
      <c r="Q180" s="67"/>
      <c r="R180" s="68"/>
      <c r="S180" s="68"/>
      <c r="T180" s="68"/>
      <c r="U180" s="68"/>
      <c r="V180" s="68"/>
      <c r="W180" s="69"/>
      <c r="X180" s="67"/>
      <c r="Y180" s="68"/>
      <c r="Z180" s="68"/>
      <c r="AA180" s="68"/>
      <c r="AB180" s="68"/>
      <c r="AC180" s="68"/>
      <c r="AD180" s="69"/>
      <c r="AE180" s="67"/>
      <c r="AF180" s="68"/>
      <c r="AG180" s="68"/>
      <c r="AH180" s="68"/>
      <c r="AI180" s="68"/>
      <c r="AJ180" s="68"/>
      <c r="AK180" s="69"/>
      <c r="AL180" s="67"/>
      <c r="AM180" s="68"/>
      <c r="AN180" s="68"/>
      <c r="AO180" s="68"/>
      <c r="AP180" s="68"/>
      <c r="AQ180" s="68"/>
      <c r="AR180" s="69"/>
      <c r="AS180" s="67"/>
      <c r="AT180" s="68"/>
      <c r="AU180" s="68"/>
      <c r="AV180" s="68"/>
      <c r="AW180" s="68"/>
      <c r="AX180" s="68"/>
      <c r="AY180" s="69"/>
      <c r="AZ180" s="67"/>
      <c r="BA180" s="68"/>
      <c r="BB180" s="68"/>
      <c r="BC180" s="68"/>
      <c r="BD180" s="68"/>
      <c r="BE180" s="68"/>
      <c r="BF180" s="69"/>
      <c r="BG180" s="67"/>
      <c r="BH180" s="68"/>
      <c r="BI180" s="68"/>
      <c r="BJ180" s="68"/>
      <c r="BK180" s="68"/>
      <c r="BL180" s="68"/>
      <c r="BM180" s="69"/>
      <c r="BN180" s="67"/>
      <c r="BO180" s="68"/>
      <c r="BP180" s="68"/>
      <c r="BQ180" s="68"/>
      <c r="BR180" s="68"/>
      <c r="BS180" s="68"/>
      <c r="BT180" s="69"/>
      <c r="BU180" s="59"/>
      <c r="BV180" s="59"/>
      <c r="BW180" s="59"/>
      <c r="BX180" s="59"/>
      <c r="BY180" s="59"/>
      <c r="BZ180" s="59"/>
      <c r="CA180" s="59"/>
    </row>
    <row r="181" spans="1:79">
      <c r="A181" s="59"/>
      <c r="B181" s="44" t="str">
        <f t="shared" si="5"/>
        <v/>
      </c>
      <c r="C181" s="67"/>
      <c r="D181" s="68"/>
      <c r="E181" s="68"/>
      <c r="F181" s="68"/>
      <c r="G181" s="68"/>
      <c r="H181" s="68"/>
      <c r="I181" s="69"/>
      <c r="J181" s="67"/>
      <c r="K181" s="68"/>
      <c r="L181" s="68"/>
      <c r="M181" s="68"/>
      <c r="N181" s="68"/>
      <c r="O181" s="68"/>
      <c r="P181" s="69"/>
      <c r="Q181" s="67"/>
      <c r="R181" s="68"/>
      <c r="S181" s="68"/>
      <c r="T181" s="68"/>
      <c r="U181" s="68"/>
      <c r="V181" s="68"/>
      <c r="W181" s="69"/>
      <c r="X181" s="67"/>
      <c r="Y181" s="68"/>
      <c r="Z181" s="68"/>
      <c r="AA181" s="68"/>
      <c r="AB181" s="68"/>
      <c r="AC181" s="68"/>
      <c r="AD181" s="69"/>
      <c r="AE181" s="67"/>
      <c r="AF181" s="68"/>
      <c r="AG181" s="68"/>
      <c r="AH181" s="68"/>
      <c r="AI181" s="68"/>
      <c r="AJ181" s="68"/>
      <c r="AK181" s="69"/>
      <c r="AL181" s="67"/>
      <c r="AM181" s="68"/>
      <c r="AN181" s="68"/>
      <c r="AO181" s="68"/>
      <c r="AP181" s="68"/>
      <c r="AQ181" s="68"/>
      <c r="AR181" s="69"/>
      <c r="AS181" s="67"/>
      <c r="AT181" s="68"/>
      <c r="AU181" s="68"/>
      <c r="AV181" s="68"/>
      <c r="AW181" s="68"/>
      <c r="AX181" s="68"/>
      <c r="AY181" s="69"/>
      <c r="AZ181" s="67"/>
      <c r="BA181" s="68"/>
      <c r="BB181" s="68"/>
      <c r="BC181" s="68"/>
      <c r="BD181" s="68"/>
      <c r="BE181" s="68"/>
      <c r="BF181" s="69"/>
      <c r="BG181" s="67"/>
      <c r="BH181" s="68"/>
      <c r="BI181" s="68"/>
      <c r="BJ181" s="68"/>
      <c r="BK181" s="68"/>
      <c r="BL181" s="68"/>
      <c r="BM181" s="69"/>
      <c r="BN181" s="67"/>
      <c r="BO181" s="68"/>
      <c r="BP181" s="68"/>
      <c r="BQ181" s="68"/>
      <c r="BR181" s="68"/>
      <c r="BS181" s="68"/>
      <c r="BT181" s="69"/>
      <c r="BU181" s="59"/>
      <c r="BV181" s="59"/>
      <c r="BW181" s="59"/>
      <c r="BX181" s="59"/>
      <c r="BY181" s="59"/>
      <c r="BZ181" s="59"/>
      <c r="CA181" s="59"/>
    </row>
    <row r="182" spans="1:79">
      <c r="A182" s="59"/>
      <c r="B182" s="44" t="str">
        <f t="shared" si="5"/>
        <v/>
      </c>
      <c r="C182" s="67"/>
      <c r="D182" s="68"/>
      <c r="E182" s="68"/>
      <c r="F182" s="68"/>
      <c r="G182" s="68"/>
      <c r="H182" s="68"/>
      <c r="I182" s="69"/>
      <c r="J182" s="67"/>
      <c r="K182" s="68"/>
      <c r="L182" s="68"/>
      <c r="M182" s="68"/>
      <c r="N182" s="68"/>
      <c r="O182" s="68"/>
      <c r="P182" s="69"/>
      <c r="Q182" s="67"/>
      <c r="R182" s="68"/>
      <c r="S182" s="68"/>
      <c r="T182" s="68"/>
      <c r="U182" s="68"/>
      <c r="V182" s="68"/>
      <c r="W182" s="69"/>
      <c r="X182" s="67"/>
      <c r="Y182" s="68"/>
      <c r="Z182" s="68"/>
      <c r="AA182" s="68"/>
      <c r="AB182" s="68"/>
      <c r="AC182" s="68"/>
      <c r="AD182" s="69"/>
      <c r="AE182" s="67"/>
      <c r="AF182" s="68"/>
      <c r="AG182" s="68"/>
      <c r="AH182" s="68"/>
      <c r="AI182" s="68"/>
      <c r="AJ182" s="68"/>
      <c r="AK182" s="69"/>
      <c r="AL182" s="67"/>
      <c r="AM182" s="68"/>
      <c r="AN182" s="68"/>
      <c r="AO182" s="68"/>
      <c r="AP182" s="68"/>
      <c r="AQ182" s="68"/>
      <c r="AR182" s="69"/>
      <c r="AS182" s="67"/>
      <c r="AT182" s="68"/>
      <c r="AU182" s="68"/>
      <c r="AV182" s="68"/>
      <c r="AW182" s="68"/>
      <c r="AX182" s="68"/>
      <c r="AY182" s="69"/>
      <c r="AZ182" s="67"/>
      <c r="BA182" s="68"/>
      <c r="BB182" s="68"/>
      <c r="BC182" s="68"/>
      <c r="BD182" s="68"/>
      <c r="BE182" s="68"/>
      <c r="BF182" s="69"/>
      <c r="BG182" s="67"/>
      <c r="BH182" s="68"/>
      <c r="BI182" s="68"/>
      <c r="BJ182" s="68"/>
      <c r="BK182" s="68"/>
      <c r="BL182" s="68"/>
      <c r="BM182" s="69"/>
      <c r="BN182" s="67"/>
      <c r="BO182" s="68"/>
      <c r="BP182" s="68"/>
      <c r="BQ182" s="68"/>
      <c r="BR182" s="68"/>
      <c r="BS182" s="68"/>
      <c r="BT182" s="69"/>
      <c r="BU182" s="59"/>
      <c r="BV182" s="59"/>
      <c r="BW182" s="59"/>
      <c r="BX182" s="59"/>
      <c r="BY182" s="59"/>
      <c r="BZ182" s="59"/>
      <c r="CA182" s="59"/>
    </row>
    <row r="183" spans="1:79">
      <c r="A183" s="59"/>
      <c r="B183" s="44" t="str">
        <f t="shared" si="5"/>
        <v/>
      </c>
      <c r="C183" s="67"/>
      <c r="D183" s="68"/>
      <c r="E183" s="68"/>
      <c r="F183" s="68"/>
      <c r="G183" s="68"/>
      <c r="H183" s="68"/>
      <c r="I183" s="69"/>
      <c r="J183" s="67"/>
      <c r="K183" s="68"/>
      <c r="L183" s="68"/>
      <c r="M183" s="68"/>
      <c r="N183" s="68"/>
      <c r="O183" s="68"/>
      <c r="P183" s="69"/>
      <c r="Q183" s="67"/>
      <c r="R183" s="68"/>
      <c r="S183" s="68"/>
      <c r="T183" s="68"/>
      <c r="U183" s="68"/>
      <c r="V183" s="68"/>
      <c r="W183" s="69"/>
      <c r="X183" s="67"/>
      <c r="Y183" s="68"/>
      <c r="Z183" s="68"/>
      <c r="AA183" s="68"/>
      <c r="AB183" s="68"/>
      <c r="AC183" s="68"/>
      <c r="AD183" s="69"/>
      <c r="AE183" s="67"/>
      <c r="AF183" s="68"/>
      <c r="AG183" s="68"/>
      <c r="AH183" s="68"/>
      <c r="AI183" s="68"/>
      <c r="AJ183" s="68"/>
      <c r="AK183" s="69"/>
      <c r="AL183" s="67"/>
      <c r="AM183" s="68"/>
      <c r="AN183" s="68"/>
      <c r="AO183" s="68"/>
      <c r="AP183" s="68"/>
      <c r="AQ183" s="68"/>
      <c r="AR183" s="69"/>
      <c r="AS183" s="67"/>
      <c r="AT183" s="68"/>
      <c r="AU183" s="68"/>
      <c r="AV183" s="68"/>
      <c r="AW183" s="68"/>
      <c r="AX183" s="68"/>
      <c r="AY183" s="69"/>
      <c r="AZ183" s="67"/>
      <c r="BA183" s="68"/>
      <c r="BB183" s="68"/>
      <c r="BC183" s="68"/>
      <c r="BD183" s="68"/>
      <c r="BE183" s="68"/>
      <c r="BF183" s="69"/>
      <c r="BG183" s="67"/>
      <c r="BH183" s="68"/>
      <c r="BI183" s="68"/>
      <c r="BJ183" s="68"/>
      <c r="BK183" s="68"/>
      <c r="BL183" s="68"/>
      <c r="BM183" s="69"/>
      <c r="BN183" s="67"/>
      <c r="BO183" s="68"/>
      <c r="BP183" s="68"/>
      <c r="BQ183" s="68"/>
      <c r="BR183" s="68"/>
      <c r="BS183" s="68"/>
      <c r="BT183" s="69"/>
      <c r="BU183" s="59"/>
      <c r="BV183" s="59"/>
      <c r="BW183" s="59"/>
      <c r="BX183" s="59"/>
      <c r="BY183" s="59"/>
      <c r="BZ183" s="59"/>
      <c r="CA183" s="59"/>
    </row>
    <row r="184" spans="1:79">
      <c r="A184" s="59"/>
      <c r="B184" s="44" t="str">
        <f t="shared" si="5"/>
        <v/>
      </c>
      <c r="C184" s="67"/>
      <c r="D184" s="68"/>
      <c r="E184" s="68"/>
      <c r="F184" s="68"/>
      <c r="G184" s="68"/>
      <c r="H184" s="68"/>
      <c r="I184" s="69"/>
      <c r="J184" s="67"/>
      <c r="K184" s="68"/>
      <c r="L184" s="68"/>
      <c r="M184" s="68"/>
      <c r="N184" s="68"/>
      <c r="O184" s="68"/>
      <c r="P184" s="69"/>
      <c r="Q184" s="67"/>
      <c r="R184" s="68"/>
      <c r="S184" s="68"/>
      <c r="T184" s="68"/>
      <c r="U184" s="68"/>
      <c r="V184" s="68"/>
      <c r="W184" s="69"/>
      <c r="X184" s="67"/>
      <c r="Y184" s="68"/>
      <c r="Z184" s="68"/>
      <c r="AA184" s="68"/>
      <c r="AB184" s="68"/>
      <c r="AC184" s="68"/>
      <c r="AD184" s="69"/>
      <c r="AE184" s="67"/>
      <c r="AF184" s="68"/>
      <c r="AG184" s="68"/>
      <c r="AH184" s="68"/>
      <c r="AI184" s="68"/>
      <c r="AJ184" s="68"/>
      <c r="AK184" s="69"/>
      <c r="AL184" s="67"/>
      <c r="AM184" s="68"/>
      <c r="AN184" s="68"/>
      <c r="AO184" s="68"/>
      <c r="AP184" s="68"/>
      <c r="AQ184" s="68"/>
      <c r="AR184" s="69"/>
      <c r="AS184" s="67"/>
      <c r="AT184" s="68"/>
      <c r="AU184" s="68"/>
      <c r="AV184" s="68"/>
      <c r="AW184" s="68"/>
      <c r="AX184" s="68"/>
      <c r="AY184" s="69"/>
      <c r="AZ184" s="67"/>
      <c r="BA184" s="68"/>
      <c r="BB184" s="68"/>
      <c r="BC184" s="68"/>
      <c r="BD184" s="68"/>
      <c r="BE184" s="68"/>
      <c r="BF184" s="69"/>
      <c r="BG184" s="67"/>
      <c r="BH184" s="68"/>
      <c r="BI184" s="68"/>
      <c r="BJ184" s="68"/>
      <c r="BK184" s="68"/>
      <c r="BL184" s="68"/>
      <c r="BM184" s="69"/>
      <c r="BN184" s="67"/>
      <c r="BO184" s="68"/>
      <c r="BP184" s="68"/>
      <c r="BQ184" s="68"/>
      <c r="BR184" s="68"/>
      <c r="BS184" s="68"/>
      <c r="BT184" s="69"/>
      <c r="BU184" s="59"/>
      <c r="BV184" s="59"/>
      <c r="BW184" s="59"/>
      <c r="BX184" s="59"/>
      <c r="BY184" s="59"/>
      <c r="BZ184" s="59"/>
      <c r="CA184" s="59"/>
    </row>
    <row r="185" spans="1:79">
      <c r="A185" s="59"/>
      <c r="B185" s="44" t="str">
        <f t="shared" si="5"/>
        <v/>
      </c>
      <c r="C185" s="67"/>
      <c r="D185" s="68"/>
      <c r="E185" s="68"/>
      <c r="F185" s="68"/>
      <c r="G185" s="68"/>
      <c r="H185" s="68"/>
      <c r="I185" s="69"/>
      <c r="J185" s="67"/>
      <c r="K185" s="68"/>
      <c r="L185" s="68"/>
      <c r="M185" s="68"/>
      <c r="N185" s="68"/>
      <c r="O185" s="68"/>
      <c r="P185" s="69"/>
      <c r="Q185" s="67"/>
      <c r="R185" s="68"/>
      <c r="S185" s="68"/>
      <c r="T185" s="68"/>
      <c r="U185" s="68"/>
      <c r="V185" s="68"/>
      <c r="W185" s="69"/>
      <c r="X185" s="67"/>
      <c r="Y185" s="68"/>
      <c r="Z185" s="68"/>
      <c r="AA185" s="68"/>
      <c r="AB185" s="68"/>
      <c r="AC185" s="68"/>
      <c r="AD185" s="69"/>
      <c r="AE185" s="67"/>
      <c r="AF185" s="68"/>
      <c r="AG185" s="68"/>
      <c r="AH185" s="68"/>
      <c r="AI185" s="68"/>
      <c r="AJ185" s="68"/>
      <c r="AK185" s="69"/>
      <c r="AL185" s="67"/>
      <c r="AM185" s="68"/>
      <c r="AN185" s="68"/>
      <c r="AO185" s="68"/>
      <c r="AP185" s="68"/>
      <c r="AQ185" s="68"/>
      <c r="AR185" s="69"/>
      <c r="AS185" s="67"/>
      <c r="AT185" s="68"/>
      <c r="AU185" s="68"/>
      <c r="AV185" s="68"/>
      <c r="AW185" s="68"/>
      <c r="AX185" s="68"/>
      <c r="AY185" s="69"/>
      <c r="AZ185" s="67"/>
      <c r="BA185" s="68"/>
      <c r="BB185" s="68"/>
      <c r="BC185" s="68"/>
      <c r="BD185" s="68"/>
      <c r="BE185" s="68"/>
      <c r="BF185" s="69"/>
      <c r="BG185" s="67"/>
      <c r="BH185" s="68"/>
      <c r="BI185" s="68"/>
      <c r="BJ185" s="68"/>
      <c r="BK185" s="68"/>
      <c r="BL185" s="68"/>
      <c r="BM185" s="69"/>
      <c r="BN185" s="67"/>
      <c r="BO185" s="68"/>
      <c r="BP185" s="68"/>
      <c r="BQ185" s="68"/>
      <c r="BR185" s="68"/>
      <c r="BS185" s="68"/>
      <c r="BT185" s="69"/>
      <c r="BU185" s="59"/>
      <c r="BV185" s="59"/>
      <c r="BW185" s="59"/>
      <c r="BX185" s="59"/>
      <c r="BY185" s="59"/>
      <c r="BZ185" s="59"/>
      <c r="CA185" s="59"/>
    </row>
    <row r="186" spans="1:79">
      <c r="A186" s="59"/>
      <c r="B186" s="44" t="str">
        <f t="shared" si="5"/>
        <v/>
      </c>
      <c r="C186" s="67"/>
      <c r="D186" s="68"/>
      <c r="E186" s="68"/>
      <c r="F186" s="68"/>
      <c r="G186" s="68"/>
      <c r="H186" s="68"/>
      <c r="I186" s="69"/>
      <c r="J186" s="67"/>
      <c r="K186" s="68"/>
      <c r="L186" s="68"/>
      <c r="M186" s="68"/>
      <c r="N186" s="68"/>
      <c r="O186" s="68"/>
      <c r="P186" s="69"/>
      <c r="Q186" s="67"/>
      <c r="R186" s="68"/>
      <c r="S186" s="68"/>
      <c r="T186" s="68"/>
      <c r="U186" s="68"/>
      <c r="V186" s="68"/>
      <c r="W186" s="69"/>
      <c r="X186" s="67"/>
      <c r="Y186" s="68"/>
      <c r="Z186" s="68"/>
      <c r="AA186" s="68"/>
      <c r="AB186" s="68"/>
      <c r="AC186" s="68"/>
      <c r="AD186" s="69"/>
      <c r="AE186" s="67"/>
      <c r="AF186" s="68"/>
      <c r="AG186" s="68"/>
      <c r="AH186" s="68"/>
      <c r="AI186" s="68"/>
      <c r="AJ186" s="68"/>
      <c r="AK186" s="69"/>
      <c r="AL186" s="67"/>
      <c r="AM186" s="68"/>
      <c r="AN186" s="68"/>
      <c r="AO186" s="68"/>
      <c r="AP186" s="68"/>
      <c r="AQ186" s="68"/>
      <c r="AR186" s="69"/>
      <c r="AS186" s="67"/>
      <c r="AT186" s="68"/>
      <c r="AU186" s="68"/>
      <c r="AV186" s="68"/>
      <c r="AW186" s="68"/>
      <c r="AX186" s="68"/>
      <c r="AY186" s="69"/>
      <c r="AZ186" s="67"/>
      <c r="BA186" s="68"/>
      <c r="BB186" s="68"/>
      <c r="BC186" s="68"/>
      <c r="BD186" s="68"/>
      <c r="BE186" s="68"/>
      <c r="BF186" s="69"/>
      <c r="BG186" s="67"/>
      <c r="BH186" s="68"/>
      <c r="BI186" s="68"/>
      <c r="BJ186" s="68"/>
      <c r="BK186" s="68"/>
      <c r="BL186" s="68"/>
      <c r="BM186" s="69"/>
      <c r="BN186" s="67"/>
      <c r="BO186" s="68"/>
      <c r="BP186" s="68"/>
      <c r="BQ186" s="68"/>
      <c r="BR186" s="68"/>
      <c r="BS186" s="68"/>
      <c r="BT186" s="69"/>
      <c r="BU186" s="59"/>
      <c r="BV186" s="59"/>
      <c r="BW186" s="59"/>
      <c r="BX186" s="59"/>
      <c r="BY186" s="59"/>
      <c r="BZ186" s="59"/>
      <c r="CA186" s="59"/>
    </row>
    <row r="187" spans="1:79">
      <c r="A187" s="59"/>
      <c r="B187" s="44" t="str">
        <f t="shared" si="5"/>
        <v/>
      </c>
      <c r="C187" s="67"/>
      <c r="D187" s="68"/>
      <c r="E187" s="68"/>
      <c r="F187" s="68"/>
      <c r="G187" s="68"/>
      <c r="H187" s="68"/>
      <c r="I187" s="69"/>
      <c r="J187" s="67"/>
      <c r="K187" s="68"/>
      <c r="L187" s="68"/>
      <c r="M187" s="68"/>
      <c r="N187" s="68"/>
      <c r="O187" s="68"/>
      <c r="P187" s="69"/>
      <c r="Q187" s="67"/>
      <c r="R187" s="68"/>
      <c r="S187" s="68"/>
      <c r="T187" s="68"/>
      <c r="U187" s="68"/>
      <c r="V187" s="68"/>
      <c r="W187" s="69"/>
      <c r="X187" s="67"/>
      <c r="Y187" s="68"/>
      <c r="Z187" s="68"/>
      <c r="AA187" s="68"/>
      <c r="AB187" s="68"/>
      <c r="AC187" s="68"/>
      <c r="AD187" s="69"/>
      <c r="AE187" s="67"/>
      <c r="AF187" s="68"/>
      <c r="AG187" s="68"/>
      <c r="AH187" s="68"/>
      <c r="AI187" s="68"/>
      <c r="AJ187" s="68"/>
      <c r="AK187" s="69"/>
      <c r="AL187" s="67"/>
      <c r="AM187" s="68"/>
      <c r="AN187" s="68"/>
      <c r="AO187" s="68"/>
      <c r="AP187" s="68"/>
      <c r="AQ187" s="68"/>
      <c r="AR187" s="69"/>
      <c r="AS187" s="67"/>
      <c r="AT187" s="68"/>
      <c r="AU187" s="68"/>
      <c r="AV187" s="68"/>
      <c r="AW187" s="68"/>
      <c r="AX187" s="68"/>
      <c r="AY187" s="69"/>
      <c r="AZ187" s="67"/>
      <c r="BA187" s="68"/>
      <c r="BB187" s="68"/>
      <c r="BC187" s="68"/>
      <c r="BD187" s="68"/>
      <c r="BE187" s="68"/>
      <c r="BF187" s="69"/>
      <c r="BG187" s="67"/>
      <c r="BH187" s="68"/>
      <c r="BI187" s="68"/>
      <c r="BJ187" s="68"/>
      <c r="BK187" s="68"/>
      <c r="BL187" s="68"/>
      <c r="BM187" s="69"/>
      <c r="BN187" s="67"/>
      <c r="BO187" s="68"/>
      <c r="BP187" s="68"/>
      <c r="BQ187" s="68"/>
      <c r="BR187" s="68"/>
      <c r="BS187" s="68"/>
      <c r="BT187" s="69"/>
      <c r="BU187" s="59"/>
      <c r="BV187" s="59"/>
      <c r="BW187" s="59"/>
      <c r="BX187" s="59"/>
      <c r="BY187" s="59"/>
      <c r="BZ187" s="59"/>
      <c r="CA187" s="59"/>
    </row>
    <row r="188" spans="1:79">
      <c r="A188" s="59"/>
      <c r="B188" s="44" t="str">
        <f t="shared" si="5"/>
        <v/>
      </c>
      <c r="C188" s="67"/>
      <c r="D188" s="68"/>
      <c r="E188" s="68"/>
      <c r="F188" s="68"/>
      <c r="G188" s="68"/>
      <c r="H188" s="68"/>
      <c r="I188" s="69"/>
      <c r="J188" s="67"/>
      <c r="K188" s="68"/>
      <c r="L188" s="68"/>
      <c r="M188" s="68"/>
      <c r="N188" s="68"/>
      <c r="O188" s="68"/>
      <c r="P188" s="69"/>
      <c r="Q188" s="67"/>
      <c r="R188" s="68"/>
      <c r="S188" s="68"/>
      <c r="T188" s="68"/>
      <c r="U188" s="68"/>
      <c r="V188" s="68"/>
      <c r="W188" s="69"/>
      <c r="X188" s="67"/>
      <c r="Y188" s="68"/>
      <c r="Z188" s="68"/>
      <c r="AA188" s="68"/>
      <c r="AB188" s="68"/>
      <c r="AC188" s="68"/>
      <c r="AD188" s="69"/>
      <c r="AE188" s="67"/>
      <c r="AF188" s="68"/>
      <c r="AG188" s="68"/>
      <c r="AH188" s="68"/>
      <c r="AI188" s="68"/>
      <c r="AJ188" s="68"/>
      <c r="AK188" s="69"/>
      <c r="AL188" s="67"/>
      <c r="AM188" s="68"/>
      <c r="AN188" s="68"/>
      <c r="AO188" s="68"/>
      <c r="AP188" s="68"/>
      <c r="AQ188" s="68"/>
      <c r="AR188" s="69"/>
      <c r="AS188" s="67"/>
      <c r="AT188" s="68"/>
      <c r="AU188" s="68"/>
      <c r="AV188" s="68"/>
      <c r="AW188" s="68"/>
      <c r="AX188" s="68"/>
      <c r="AY188" s="69"/>
      <c r="AZ188" s="67"/>
      <c r="BA188" s="68"/>
      <c r="BB188" s="68"/>
      <c r="BC188" s="68"/>
      <c r="BD188" s="68"/>
      <c r="BE188" s="68"/>
      <c r="BF188" s="69"/>
      <c r="BG188" s="67"/>
      <c r="BH188" s="68"/>
      <c r="BI188" s="68"/>
      <c r="BJ188" s="68"/>
      <c r="BK188" s="68"/>
      <c r="BL188" s="68"/>
      <c r="BM188" s="69"/>
      <c r="BN188" s="67"/>
      <c r="BO188" s="68"/>
      <c r="BP188" s="68"/>
      <c r="BQ188" s="68"/>
      <c r="BR188" s="68"/>
      <c r="BS188" s="68"/>
      <c r="BT188" s="69"/>
      <c r="BU188" s="59"/>
      <c r="BV188" s="59"/>
      <c r="BW188" s="59"/>
      <c r="BX188" s="59"/>
      <c r="BY188" s="59"/>
      <c r="BZ188" s="59"/>
      <c r="CA188" s="59"/>
    </row>
    <row r="189" spans="1:79">
      <c r="A189" s="59"/>
      <c r="B189" s="44" t="str">
        <f t="shared" si="5"/>
        <v/>
      </c>
      <c r="C189" s="67"/>
      <c r="D189" s="68"/>
      <c r="E189" s="68"/>
      <c r="F189" s="68"/>
      <c r="G189" s="68"/>
      <c r="H189" s="68"/>
      <c r="I189" s="69"/>
      <c r="J189" s="67"/>
      <c r="K189" s="68"/>
      <c r="L189" s="68"/>
      <c r="M189" s="68"/>
      <c r="N189" s="68"/>
      <c r="O189" s="68"/>
      <c r="P189" s="69"/>
      <c r="Q189" s="67"/>
      <c r="R189" s="68"/>
      <c r="S189" s="68"/>
      <c r="T189" s="68"/>
      <c r="U189" s="68"/>
      <c r="V189" s="68"/>
      <c r="W189" s="69"/>
      <c r="X189" s="67"/>
      <c r="Y189" s="68"/>
      <c r="Z189" s="68"/>
      <c r="AA189" s="68"/>
      <c r="AB189" s="68"/>
      <c r="AC189" s="68"/>
      <c r="AD189" s="69"/>
      <c r="AE189" s="67"/>
      <c r="AF189" s="68"/>
      <c r="AG189" s="68"/>
      <c r="AH189" s="68"/>
      <c r="AI189" s="68"/>
      <c r="AJ189" s="68"/>
      <c r="AK189" s="69"/>
      <c r="AL189" s="67"/>
      <c r="AM189" s="68"/>
      <c r="AN189" s="68"/>
      <c r="AO189" s="68"/>
      <c r="AP189" s="68"/>
      <c r="AQ189" s="68"/>
      <c r="AR189" s="69"/>
      <c r="AS189" s="67"/>
      <c r="AT189" s="68"/>
      <c r="AU189" s="68"/>
      <c r="AV189" s="68"/>
      <c r="AW189" s="68"/>
      <c r="AX189" s="68"/>
      <c r="AY189" s="69"/>
      <c r="AZ189" s="67"/>
      <c r="BA189" s="68"/>
      <c r="BB189" s="68"/>
      <c r="BC189" s="68"/>
      <c r="BD189" s="68"/>
      <c r="BE189" s="68"/>
      <c r="BF189" s="69"/>
      <c r="BG189" s="67"/>
      <c r="BH189" s="68"/>
      <c r="BI189" s="68"/>
      <c r="BJ189" s="68"/>
      <c r="BK189" s="68"/>
      <c r="BL189" s="68"/>
      <c r="BM189" s="69"/>
      <c r="BN189" s="67"/>
      <c r="BO189" s="68"/>
      <c r="BP189" s="68"/>
      <c r="BQ189" s="68"/>
      <c r="BR189" s="68"/>
      <c r="BS189" s="68"/>
      <c r="BT189" s="69"/>
      <c r="BU189" s="59"/>
      <c r="BV189" s="59"/>
      <c r="BW189" s="59"/>
      <c r="BX189" s="59"/>
      <c r="BY189" s="59"/>
      <c r="BZ189" s="59"/>
      <c r="CA189" s="59"/>
    </row>
    <row r="190" spans="1:79">
      <c r="A190" s="59"/>
      <c r="B190" s="44" t="str">
        <f t="shared" si="5"/>
        <v/>
      </c>
      <c r="C190" s="67"/>
      <c r="D190" s="68"/>
      <c r="E190" s="68"/>
      <c r="F190" s="68"/>
      <c r="G190" s="68"/>
      <c r="H190" s="68"/>
      <c r="I190" s="69"/>
      <c r="J190" s="67"/>
      <c r="K190" s="68"/>
      <c r="L190" s="68"/>
      <c r="M190" s="68"/>
      <c r="N190" s="68"/>
      <c r="O190" s="68"/>
      <c r="P190" s="69"/>
      <c r="Q190" s="67"/>
      <c r="R190" s="68"/>
      <c r="S190" s="68"/>
      <c r="T190" s="68"/>
      <c r="U190" s="68"/>
      <c r="V190" s="68"/>
      <c r="W190" s="69"/>
      <c r="X190" s="67"/>
      <c r="Y190" s="68"/>
      <c r="Z190" s="68"/>
      <c r="AA190" s="68"/>
      <c r="AB190" s="68"/>
      <c r="AC190" s="68"/>
      <c r="AD190" s="69"/>
      <c r="AE190" s="67"/>
      <c r="AF190" s="68"/>
      <c r="AG190" s="68"/>
      <c r="AH190" s="68"/>
      <c r="AI190" s="68"/>
      <c r="AJ190" s="68"/>
      <c r="AK190" s="69"/>
      <c r="AL190" s="67"/>
      <c r="AM190" s="68"/>
      <c r="AN190" s="68"/>
      <c r="AO190" s="68"/>
      <c r="AP190" s="68"/>
      <c r="AQ190" s="68"/>
      <c r="AR190" s="69"/>
      <c r="AS190" s="67"/>
      <c r="AT190" s="68"/>
      <c r="AU190" s="68"/>
      <c r="AV190" s="68"/>
      <c r="AW190" s="68"/>
      <c r="AX190" s="68"/>
      <c r="AY190" s="69"/>
      <c r="AZ190" s="67"/>
      <c r="BA190" s="68"/>
      <c r="BB190" s="68"/>
      <c r="BC190" s="68"/>
      <c r="BD190" s="68"/>
      <c r="BE190" s="68"/>
      <c r="BF190" s="69"/>
      <c r="BG190" s="67"/>
      <c r="BH190" s="68"/>
      <c r="BI190" s="68"/>
      <c r="BJ190" s="68"/>
      <c r="BK190" s="68"/>
      <c r="BL190" s="68"/>
      <c r="BM190" s="69"/>
      <c r="BN190" s="67"/>
      <c r="BO190" s="68"/>
      <c r="BP190" s="68"/>
      <c r="BQ190" s="68"/>
      <c r="BR190" s="68"/>
      <c r="BS190" s="68"/>
      <c r="BT190" s="69"/>
      <c r="BU190" s="59"/>
      <c r="BV190" s="59"/>
      <c r="BW190" s="59"/>
      <c r="BX190" s="59"/>
      <c r="BY190" s="59"/>
      <c r="BZ190" s="59"/>
      <c r="CA190" s="59"/>
    </row>
    <row r="191" spans="1:79">
      <c r="A191" s="59"/>
      <c r="B191" s="44" t="str">
        <f t="shared" si="5"/>
        <v/>
      </c>
      <c r="C191" s="67"/>
      <c r="D191" s="68"/>
      <c r="E191" s="68"/>
      <c r="F191" s="68"/>
      <c r="G191" s="68"/>
      <c r="H191" s="68"/>
      <c r="I191" s="69"/>
      <c r="J191" s="67"/>
      <c r="K191" s="68"/>
      <c r="L191" s="68"/>
      <c r="M191" s="68"/>
      <c r="N191" s="68"/>
      <c r="O191" s="68"/>
      <c r="P191" s="69"/>
      <c r="Q191" s="67"/>
      <c r="R191" s="68"/>
      <c r="S191" s="68"/>
      <c r="T191" s="68"/>
      <c r="U191" s="68"/>
      <c r="V191" s="68"/>
      <c r="W191" s="69"/>
      <c r="X191" s="67"/>
      <c r="Y191" s="68"/>
      <c r="Z191" s="68"/>
      <c r="AA191" s="68"/>
      <c r="AB191" s="68"/>
      <c r="AC191" s="68"/>
      <c r="AD191" s="69"/>
      <c r="AE191" s="67"/>
      <c r="AF191" s="68"/>
      <c r="AG191" s="68"/>
      <c r="AH191" s="68"/>
      <c r="AI191" s="68"/>
      <c r="AJ191" s="68"/>
      <c r="AK191" s="69"/>
      <c r="AL191" s="67"/>
      <c r="AM191" s="68"/>
      <c r="AN191" s="68"/>
      <c r="AO191" s="68"/>
      <c r="AP191" s="68"/>
      <c r="AQ191" s="68"/>
      <c r="AR191" s="69"/>
      <c r="AS191" s="67"/>
      <c r="AT191" s="68"/>
      <c r="AU191" s="68"/>
      <c r="AV191" s="68"/>
      <c r="AW191" s="68"/>
      <c r="AX191" s="68"/>
      <c r="AY191" s="69"/>
      <c r="AZ191" s="67"/>
      <c r="BA191" s="68"/>
      <c r="BB191" s="68"/>
      <c r="BC191" s="68"/>
      <c r="BD191" s="68"/>
      <c r="BE191" s="68"/>
      <c r="BF191" s="69"/>
      <c r="BG191" s="67"/>
      <c r="BH191" s="68"/>
      <c r="BI191" s="68"/>
      <c r="BJ191" s="68"/>
      <c r="BK191" s="68"/>
      <c r="BL191" s="68"/>
      <c r="BM191" s="69"/>
      <c r="BN191" s="67"/>
      <c r="BO191" s="68"/>
      <c r="BP191" s="68"/>
      <c r="BQ191" s="68"/>
      <c r="BR191" s="68"/>
      <c r="BS191" s="68"/>
      <c r="BT191" s="69"/>
      <c r="BU191" s="59"/>
      <c r="BV191" s="59"/>
      <c r="BW191" s="59"/>
      <c r="BX191" s="59"/>
      <c r="BY191" s="59"/>
      <c r="BZ191" s="59"/>
      <c r="CA191" s="59"/>
    </row>
    <row r="192" spans="1:79">
      <c r="A192" s="59"/>
      <c r="B192" s="44" t="str">
        <f t="shared" si="5"/>
        <v/>
      </c>
      <c r="C192" s="67"/>
      <c r="D192" s="68"/>
      <c r="E192" s="68"/>
      <c r="F192" s="68"/>
      <c r="G192" s="68"/>
      <c r="H192" s="68"/>
      <c r="I192" s="69"/>
      <c r="J192" s="67"/>
      <c r="K192" s="68"/>
      <c r="L192" s="68"/>
      <c r="M192" s="68"/>
      <c r="N192" s="68"/>
      <c r="O192" s="68"/>
      <c r="P192" s="69"/>
      <c r="Q192" s="67"/>
      <c r="R192" s="68"/>
      <c r="S192" s="68"/>
      <c r="T192" s="68"/>
      <c r="U192" s="68"/>
      <c r="V192" s="68"/>
      <c r="W192" s="69"/>
      <c r="X192" s="67"/>
      <c r="Y192" s="68"/>
      <c r="Z192" s="68"/>
      <c r="AA192" s="68"/>
      <c r="AB192" s="68"/>
      <c r="AC192" s="68"/>
      <c r="AD192" s="69"/>
      <c r="AE192" s="67"/>
      <c r="AF192" s="68"/>
      <c r="AG192" s="68"/>
      <c r="AH192" s="68"/>
      <c r="AI192" s="68"/>
      <c r="AJ192" s="68"/>
      <c r="AK192" s="69"/>
      <c r="AL192" s="67"/>
      <c r="AM192" s="68"/>
      <c r="AN192" s="68"/>
      <c r="AO192" s="68"/>
      <c r="AP192" s="68"/>
      <c r="AQ192" s="68"/>
      <c r="AR192" s="69"/>
      <c r="AS192" s="67"/>
      <c r="AT192" s="68"/>
      <c r="AU192" s="68"/>
      <c r="AV192" s="68"/>
      <c r="AW192" s="68"/>
      <c r="AX192" s="68"/>
      <c r="AY192" s="69"/>
      <c r="AZ192" s="67"/>
      <c r="BA192" s="68"/>
      <c r="BB192" s="68"/>
      <c r="BC192" s="68"/>
      <c r="BD192" s="68"/>
      <c r="BE192" s="68"/>
      <c r="BF192" s="69"/>
      <c r="BG192" s="67"/>
      <c r="BH192" s="68"/>
      <c r="BI192" s="68"/>
      <c r="BJ192" s="68"/>
      <c r="BK192" s="68"/>
      <c r="BL192" s="68"/>
      <c r="BM192" s="69"/>
      <c r="BN192" s="67"/>
      <c r="BO192" s="68"/>
      <c r="BP192" s="68"/>
      <c r="BQ192" s="68"/>
      <c r="BR192" s="68"/>
      <c r="BS192" s="68"/>
      <c r="BT192" s="69"/>
      <c r="BU192" s="59"/>
      <c r="BV192" s="59"/>
      <c r="BW192" s="59"/>
      <c r="BX192" s="59"/>
      <c r="BY192" s="59"/>
      <c r="BZ192" s="59"/>
      <c r="CA192" s="59"/>
    </row>
    <row r="193" spans="1:79">
      <c r="A193" s="59"/>
      <c r="B193" s="44" t="str">
        <f t="shared" si="5"/>
        <v/>
      </c>
      <c r="C193" s="67"/>
      <c r="D193" s="68"/>
      <c r="E193" s="68"/>
      <c r="F193" s="68"/>
      <c r="G193" s="68"/>
      <c r="H193" s="68"/>
      <c r="I193" s="69"/>
      <c r="J193" s="67"/>
      <c r="K193" s="68"/>
      <c r="L193" s="68"/>
      <c r="M193" s="68"/>
      <c r="N193" s="68"/>
      <c r="O193" s="68"/>
      <c r="P193" s="69"/>
      <c r="Q193" s="67"/>
      <c r="R193" s="68"/>
      <c r="S193" s="68"/>
      <c r="T193" s="68"/>
      <c r="U193" s="68"/>
      <c r="V193" s="68"/>
      <c r="W193" s="69"/>
      <c r="X193" s="67"/>
      <c r="Y193" s="68"/>
      <c r="Z193" s="68"/>
      <c r="AA193" s="68"/>
      <c r="AB193" s="68"/>
      <c r="AC193" s="68"/>
      <c r="AD193" s="69"/>
      <c r="AE193" s="67"/>
      <c r="AF193" s="68"/>
      <c r="AG193" s="68"/>
      <c r="AH193" s="68"/>
      <c r="AI193" s="68"/>
      <c r="AJ193" s="68"/>
      <c r="AK193" s="69"/>
      <c r="AL193" s="67"/>
      <c r="AM193" s="68"/>
      <c r="AN193" s="68"/>
      <c r="AO193" s="68"/>
      <c r="AP193" s="68"/>
      <c r="AQ193" s="68"/>
      <c r="AR193" s="69"/>
      <c r="AS193" s="67"/>
      <c r="AT193" s="68"/>
      <c r="AU193" s="68"/>
      <c r="AV193" s="68"/>
      <c r="AW193" s="68"/>
      <c r="AX193" s="68"/>
      <c r="AY193" s="69"/>
      <c r="AZ193" s="67"/>
      <c r="BA193" s="68"/>
      <c r="BB193" s="68"/>
      <c r="BC193" s="68"/>
      <c r="BD193" s="68"/>
      <c r="BE193" s="68"/>
      <c r="BF193" s="69"/>
      <c r="BG193" s="67"/>
      <c r="BH193" s="68"/>
      <c r="BI193" s="68"/>
      <c r="BJ193" s="68"/>
      <c r="BK193" s="68"/>
      <c r="BL193" s="68"/>
      <c r="BM193" s="69"/>
      <c r="BN193" s="67"/>
      <c r="BO193" s="68"/>
      <c r="BP193" s="68"/>
      <c r="BQ193" s="68"/>
      <c r="BR193" s="68"/>
      <c r="BS193" s="68"/>
      <c r="BT193" s="69"/>
      <c r="BU193" s="59"/>
      <c r="BV193" s="59"/>
      <c r="BW193" s="59"/>
      <c r="BX193" s="59"/>
      <c r="BY193" s="59"/>
      <c r="BZ193" s="59"/>
      <c r="CA193" s="59"/>
    </row>
    <row r="194" spans="1:79">
      <c r="A194" s="59"/>
      <c r="B194" s="44" t="str">
        <f t="shared" si="5"/>
        <v/>
      </c>
      <c r="C194" s="67"/>
      <c r="D194" s="68"/>
      <c r="E194" s="68"/>
      <c r="F194" s="68"/>
      <c r="G194" s="68"/>
      <c r="H194" s="68"/>
      <c r="I194" s="69"/>
      <c r="J194" s="67"/>
      <c r="K194" s="68"/>
      <c r="L194" s="68"/>
      <c r="M194" s="68"/>
      <c r="N194" s="68"/>
      <c r="O194" s="68"/>
      <c r="P194" s="69"/>
      <c r="Q194" s="67"/>
      <c r="R194" s="68"/>
      <c r="S194" s="68"/>
      <c r="T194" s="68"/>
      <c r="U194" s="68"/>
      <c r="V194" s="68"/>
      <c r="W194" s="69"/>
      <c r="X194" s="67"/>
      <c r="Y194" s="68"/>
      <c r="Z194" s="68"/>
      <c r="AA194" s="68"/>
      <c r="AB194" s="68"/>
      <c r="AC194" s="68"/>
      <c r="AD194" s="69"/>
      <c r="AE194" s="67"/>
      <c r="AF194" s="68"/>
      <c r="AG194" s="68"/>
      <c r="AH194" s="68"/>
      <c r="AI194" s="68"/>
      <c r="AJ194" s="68"/>
      <c r="AK194" s="69"/>
      <c r="AL194" s="67"/>
      <c r="AM194" s="68"/>
      <c r="AN194" s="68"/>
      <c r="AO194" s="68"/>
      <c r="AP194" s="68"/>
      <c r="AQ194" s="68"/>
      <c r="AR194" s="69"/>
      <c r="AS194" s="67"/>
      <c r="AT194" s="68"/>
      <c r="AU194" s="68"/>
      <c r="AV194" s="68"/>
      <c r="AW194" s="68"/>
      <c r="AX194" s="68"/>
      <c r="AY194" s="69"/>
      <c r="AZ194" s="67"/>
      <c r="BA194" s="68"/>
      <c r="BB194" s="68"/>
      <c r="BC194" s="68"/>
      <c r="BD194" s="68"/>
      <c r="BE194" s="68"/>
      <c r="BF194" s="69"/>
      <c r="BG194" s="67"/>
      <c r="BH194" s="68"/>
      <c r="BI194" s="68"/>
      <c r="BJ194" s="68"/>
      <c r="BK194" s="68"/>
      <c r="BL194" s="68"/>
      <c r="BM194" s="69"/>
      <c r="BN194" s="67"/>
      <c r="BO194" s="68"/>
      <c r="BP194" s="68"/>
      <c r="BQ194" s="68"/>
      <c r="BR194" s="68"/>
      <c r="BS194" s="68"/>
      <c r="BT194" s="69"/>
      <c r="BU194" s="59"/>
      <c r="BV194" s="59"/>
      <c r="BW194" s="59"/>
      <c r="BX194" s="59"/>
      <c r="BY194" s="59"/>
      <c r="BZ194" s="59"/>
      <c r="CA194" s="59"/>
    </row>
    <row r="195" spans="1:79">
      <c r="A195" s="59"/>
      <c r="B195" s="44" t="str">
        <f t="shared" si="5"/>
        <v/>
      </c>
      <c r="C195" s="67"/>
      <c r="D195" s="68"/>
      <c r="E195" s="68"/>
      <c r="F195" s="68"/>
      <c r="G195" s="68"/>
      <c r="H195" s="68"/>
      <c r="I195" s="69"/>
      <c r="J195" s="67"/>
      <c r="K195" s="68"/>
      <c r="L195" s="68"/>
      <c r="M195" s="68"/>
      <c r="N195" s="68"/>
      <c r="O195" s="68"/>
      <c r="P195" s="69"/>
      <c r="Q195" s="67"/>
      <c r="R195" s="68"/>
      <c r="S195" s="68"/>
      <c r="T195" s="68"/>
      <c r="U195" s="68"/>
      <c r="V195" s="68"/>
      <c r="W195" s="69"/>
      <c r="X195" s="67"/>
      <c r="Y195" s="68"/>
      <c r="Z195" s="68"/>
      <c r="AA195" s="68"/>
      <c r="AB195" s="68"/>
      <c r="AC195" s="68"/>
      <c r="AD195" s="69"/>
      <c r="AE195" s="67"/>
      <c r="AF195" s="68"/>
      <c r="AG195" s="68"/>
      <c r="AH195" s="68"/>
      <c r="AI195" s="68"/>
      <c r="AJ195" s="68"/>
      <c r="AK195" s="69"/>
      <c r="AL195" s="67"/>
      <c r="AM195" s="68"/>
      <c r="AN195" s="68"/>
      <c r="AO195" s="68"/>
      <c r="AP195" s="68"/>
      <c r="AQ195" s="68"/>
      <c r="AR195" s="69"/>
      <c r="AS195" s="67"/>
      <c r="AT195" s="68"/>
      <c r="AU195" s="68"/>
      <c r="AV195" s="68"/>
      <c r="AW195" s="68"/>
      <c r="AX195" s="68"/>
      <c r="AY195" s="69"/>
      <c r="AZ195" s="67"/>
      <c r="BA195" s="68"/>
      <c r="BB195" s="68"/>
      <c r="BC195" s="68"/>
      <c r="BD195" s="68"/>
      <c r="BE195" s="68"/>
      <c r="BF195" s="69"/>
      <c r="BG195" s="67"/>
      <c r="BH195" s="68"/>
      <c r="BI195" s="68"/>
      <c r="BJ195" s="68"/>
      <c r="BK195" s="68"/>
      <c r="BL195" s="68"/>
      <c r="BM195" s="69"/>
      <c r="BN195" s="67"/>
      <c r="BO195" s="68"/>
      <c r="BP195" s="68"/>
      <c r="BQ195" s="68"/>
      <c r="BR195" s="68"/>
      <c r="BS195" s="68"/>
      <c r="BT195" s="69"/>
      <c r="BU195" s="59"/>
      <c r="BV195" s="59"/>
      <c r="BW195" s="59"/>
      <c r="BX195" s="59"/>
      <c r="BY195" s="59"/>
      <c r="BZ195" s="59"/>
      <c r="CA195" s="59"/>
    </row>
    <row r="196" spans="1:79">
      <c r="A196" s="59"/>
      <c r="B196" s="44" t="str">
        <f t="shared" si="5"/>
        <v/>
      </c>
      <c r="C196" s="67"/>
      <c r="D196" s="68"/>
      <c r="E196" s="68"/>
      <c r="F196" s="68"/>
      <c r="G196" s="68"/>
      <c r="H196" s="68"/>
      <c r="I196" s="69"/>
      <c r="J196" s="67"/>
      <c r="K196" s="68"/>
      <c r="L196" s="68"/>
      <c r="M196" s="68"/>
      <c r="N196" s="68"/>
      <c r="O196" s="68"/>
      <c r="P196" s="69"/>
      <c r="Q196" s="67"/>
      <c r="R196" s="68"/>
      <c r="S196" s="68"/>
      <c r="T196" s="68"/>
      <c r="U196" s="68"/>
      <c r="V196" s="68"/>
      <c r="W196" s="69"/>
      <c r="X196" s="67"/>
      <c r="Y196" s="68"/>
      <c r="Z196" s="68"/>
      <c r="AA196" s="68"/>
      <c r="AB196" s="68"/>
      <c r="AC196" s="68"/>
      <c r="AD196" s="69"/>
      <c r="AE196" s="67"/>
      <c r="AF196" s="68"/>
      <c r="AG196" s="68"/>
      <c r="AH196" s="68"/>
      <c r="AI196" s="68"/>
      <c r="AJ196" s="68"/>
      <c r="AK196" s="69"/>
      <c r="AL196" s="67"/>
      <c r="AM196" s="68"/>
      <c r="AN196" s="68"/>
      <c r="AO196" s="68"/>
      <c r="AP196" s="68"/>
      <c r="AQ196" s="68"/>
      <c r="AR196" s="69"/>
      <c r="AS196" s="67"/>
      <c r="AT196" s="68"/>
      <c r="AU196" s="68"/>
      <c r="AV196" s="68"/>
      <c r="AW196" s="68"/>
      <c r="AX196" s="68"/>
      <c r="AY196" s="69"/>
      <c r="AZ196" s="67"/>
      <c r="BA196" s="68"/>
      <c r="BB196" s="68"/>
      <c r="BC196" s="68"/>
      <c r="BD196" s="68"/>
      <c r="BE196" s="68"/>
      <c r="BF196" s="69"/>
      <c r="BG196" s="67"/>
      <c r="BH196" s="68"/>
      <c r="BI196" s="68"/>
      <c r="BJ196" s="68"/>
      <c r="BK196" s="68"/>
      <c r="BL196" s="68"/>
      <c r="BM196" s="69"/>
      <c r="BN196" s="67"/>
      <c r="BO196" s="68"/>
      <c r="BP196" s="68"/>
      <c r="BQ196" s="68"/>
      <c r="BR196" s="68"/>
      <c r="BS196" s="68"/>
      <c r="BT196" s="69"/>
      <c r="BU196" s="59"/>
      <c r="BV196" s="59"/>
      <c r="BW196" s="59"/>
      <c r="BX196" s="59"/>
      <c r="BY196" s="59"/>
      <c r="BZ196" s="59"/>
      <c r="CA196" s="59"/>
    </row>
    <row r="197" spans="1:79">
      <c r="A197" s="59"/>
      <c r="B197" s="44" t="str">
        <f t="shared" si="5"/>
        <v/>
      </c>
      <c r="C197" s="67"/>
      <c r="D197" s="68"/>
      <c r="E197" s="68"/>
      <c r="F197" s="68"/>
      <c r="G197" s="68"/>
      <c r="H197" s="68"/>
      <c r="I197" s="69"/>
      <c r="J197" s="67"/>
      <c r="K197" s="68"/>
      <c r="L197" s="68"/>
      <c r="M197" s="68"/>
      <c r="N197" s="68"/>
      <c r="O197" s="68"/>
      <c r="P197" s="69"/>
      <c r="Q197" s="67"/>
      <c r="R197" s="68"/>
      <c r="S197" s="68"/>
      <c r="T197" s="68"/>
      <c r="U197" s="68"/>
      <c r="V197" s="68"/>
      <c r="W197" s="69"/>
      <c r="X197" s="67"/>
      <c r="Y197" s="68"/>
      <c r="Z197" s="68"/>
      <c r="AA197" s="68"/>
      <c r="AB197" s="68"/>
      <c r="AC197" s="68"/>
      <c r="AD197" s="69"/>
      <c r="AE197" s="67"/>
      <c r="AF197" s="68"/>
      <c r="AG197" s="68"/>
      <c r="AH197" s="68"/>
      <c r="AI197" s="68"/>
      <c r="AJ197" s="68"/>
      <c r="AK197" s="69"/>
      <c r="AL197" s="67"/>
      <c r="AM197" s="68"/>
      <c r="AN197" s="68"/>
      <c r="AO197" s="68"/>
      <c r="AP197" s="68"/>
      <c r="AQ197" s="68"/>
      <c r="AR197" s="69"/>
      <c r="AS197" s="67"/>
      <c r="AT197" s="68"/>
      <c r="AU197" s="68"/>
      <c r="AV197" s="68"/>
      <c r="AW197" s="68"/>
      <c r="AX197" s="68"/>
      <c r="AY197" s="69"/>
      <c r="AZ197" s="67"/>
      <c r="BA197" s="68"/>
      <c r="BB197" s="68"/>
      <c r="BC197" s="68"/>
      <c r="BD197" s="68"/>
      <c r="BE197" s="68"/>
      <c r="BF197" s="69"/>
      <c r="BG197" s="67"/>
      <c r="BH197" s="68"/>
      <c r="BI197" s="68"/>
      <c r="BJ197" s="68"/>
      <c r="BK197" s="68"/>
      <c r="BL197" s="68"/>
      <c r="BM197" s="69"/>
      <c r="BN197" s="67"/>
      <c r="BO197" s="68"/>
      <c r="BP197" s="68"/>
      <c r="BQ197" s="68"/>
      <c r="BR197" s="68"/>
      <c r="BS197" s="68"/>
      <c r="BT197" s="69"/>
      <c r="BU197" s="59"/>
      <c r="BV197" s="59"/>
      <c r="BW197" s="59"/>
      <c r="BX197" s="59"/>
      <c r="BY197" s="59"/>
      <c r="BZ197" s="59"/>
      <c r="CA197" s="59"/>
    </row>
    <row r="198" spans="1:79">
      <c r="A198" s="59"/>
      <c r="B198" s="44" t="str">
        <f t="shared" si="5"/>
        <v/>
      </c>
      <c r="C198" s="67"/>
      <c r="D198" s="68"/>
      <c r="E198" s="68"/>
      <c r="F198" s="68"/>
      <c r="G198" s="68"/>
      <c r="H198" s="68"/>
      <c r="I198" s="69"/>
      <c r="J198" s="67"/>
      <c r="K198" s="68"/>
      <c r="L198" s="68"/>
      <c r="M198" s="68"/>
      <c r="N198" s="68"/>
      <c r="O198" s="68"/>
      <c r="P198" s="69"/>
      <c r="Q198" s="67"/>
      <c r="R198" s="68"/>
      <c r="S198" s="68"/>
      <c r="T198" s="68"/>
      <c r="U198" s="68"/>
      <c r="V198" s="68"/>
      <c r="W198" s="69"/>
      <c r="X198" s="67"/>
      <c r="Y198" s="68"/>
      <c r="Z198" s="68"/>
      <c r="AA198" s="68"/>
      <c r="AB198" s="68"/>
      <c r="AC198" s="68"/>
      <c r="AD198" s="69"/>
      <c r="AE198" s="67"/>
      <c r="AF198" s="68"/>
      <c r="AG198" s="68"/>
      <c r="AH198" s="68"/>
      <c r="AI198" s="68"/>
      <c r="AJ198" s="68"/>
      <c r="AK198" s="69"/>
      <c r="AL198" s="67"/>
      <c r="AM198" s="68"/>
      <c r="AN198" s="68"/>
      <c r="AO198" s="68"/>
      <c r="AP198" s="68"/>
      <c r="AQ198" s="68"/>
      <c r="AR198" s="69"/>
      <c r="AS198" s="67"/>
      <c r="AT198" s="68"/>
      <c r="AU198" s="68"/>
      <c r="AV198" s="68"/>
      <c r="AW198" s="68"/>
      <c r="AX198" s="68"/>
      <c r="AY198" s="69"/>
      <c r="AZ198" s="67"/>
      <c r="BA198" s="68"/>
      <c r="BB198" s="68"/>
      <c r="BC198" s="68"/>
      <c r="BD198" s="68"/>
      <c r="BE198" s="68"/>
      <c r="BF198" s="69"/>
      <c r="BG198" s="67"/>
      <c r="BH198" s="68"/>
      <c r="BI198" s="68"/>
      <c r="BJ198" s="68"/>
      <c r="BK198" s="68"/>
      <c r="BL198" s="68"/>
      <c r="BM198" s="69"/>
      <c r="BN198" s="67"/>
      <c r="BO198" s="68"/>
      <c r="BP198" s="68"/>
      <c r="BQ198" s="68"/>
      <c r="BR198" s="68"/>
      <c r="BS198" s="68"/>
      <c r="BT198" s="69"/>
      <c r="BU198" s="59"/>
      <c r="BV198" s="59"/>
      <c r="BW198" s="59"/>
      <c r="BX198" s="59"/>
      <c r="BY198" s="59"/>
      <c r="BZ198" s="59"/>
      <c r="CA198" s="59"/>
    </row>
    <row r="199" spans="1:79">
      <c r="A199" s="59"/>
      <c r="B199" s="44" t="str">
        <f t="shared" si="5"/>
        <v/>
      </c>
      <c r="C199" s="67"/>
      <c r="D199" s="68"/>
      <c r="E199" s="68"/>
      <c r="F199" s="68"/>
      <c r="G199" s="68"/>
      <c r="H199" s="68"/>
      <c r="I199" s="69"/>
      <c r="J199" s="67"/>
      <c r="K199" s="68"/>
      <c r="L199" s="68"/>
      <c r="M199" s="68"/>
      <c r="N199" s="68"/>
      <c r="O199" s="68"/>
      <c r="P199" s="69"/>
      <c r="Q199" s="67"/>
      <c r="R199" s="68"/>
      <c r="S199" s="68"/>
      <c r="T199" s="68"/>
      <c r="U199" s="68"/>
      <c r="V199" s="68"/>
      <c r="W199" s="69"/>
      <c r="X199" s="67"/>
      <c r="Y199" s="68"/>
      <c r="Z199" s="68"/>
      <c r="AA199" s="68"/>
      <c r="AB199" s="68"/>
      <c r="AC199" s="68"/>
      <c r="AD199" s="69"/>
      <c r="AE199" s="67"/>
      <c r="AF199" s="68"/>
      <c r="AG199" s="68"/>
      <c r="AH199" s="68"/>
      <c r="AI199" s="68"/>
      <c r="AJ199" s="68"/>
      <c r="AK199" s="69"/>
      <c r="AL199" s="67"/>
      <c r="AM199" s="68"/>
      <c r="AN199" s="68"/>
      <c r="AO199" s="68"/>
      <c r="AP199" s="68"/>
      <c r="AQ199" s="68"/>
      <c r="AR199" s="69"/>
      <c r="AS199" s="67"/>
      <c r="AT199" s="68"/>
      <c r="AU199" s="68"/>
      <c r="AV199" s="68"/>
      <c r="AW199" s="68"/>
      <c r="AX199" s="68"/>
      <c r="AY199" s="69"/>
      <c r="AZ199" s="67"/>
      <c r="BA199" s="68"/>
      <c r="BB199" s="68"/>
      <c r="BC199" s="68"/>
      <c r="BD199" s="68"/>
      <c r="BE199" s="68"/>
      <c r="BF199" s="69"/>
      <c r="BG199" s="67"/>
      <c r="BH199" s="68"/>
      <c r="BI199" s="68"/>
      <c r="BJ199" s="68"/>
      <c r="BK199" s="68"/>
      <c r="BL199" s="68"/>
      <c r="BM199" s="69"/>
      <c r="BN199" s="67"/>
      <c r="BO199" s="68"/>
      <c r="BP199" s="68"/>
      <c r="BQ199" s="68"/>
      <c r="BR199" s="68"/>
      <c r="BS199" s="68"/>
      <c r="BT199" s="69"/>
      <c r="BU199" s="59"/>
      <c r="BV199" s="59"/>
      <c r="BW199" s="59"/>
      <c r="BX199" s="59"/>
      <c r="BY199" s="59"/>
      <c r="BZ199" s="59"/>
      <c r="CA199" s="59"/>
    </row>
    <row r="200" spans="1:79">
      <c r="A200" s="59"/>
      <c r="B200" s="44" t="str">
        <f t="shared" si="5"/>
        <v/>
      </c>
      <c r="C200" s="67"/>
      <c r="D200" s="68"/>
      <c r="E200" s="68"/>
      <c r="F200" s="68"/>
      <c r="G200" s="68"/>
      <c r="H200" s="68"/>
      <c r="I200" s="69"/>
      <c r="J200" s="67"/>
      <c r="K200" s="68"/>
      <c r="L200" s="68"/>
      <c r="M200" s="68"/>
      <c r="N200" s="68"/>
      <c r="O200" s="68"/>
      <c r="P200" s="69"/>
      <c r="Q200" s="67"/>
      <c r="R200" s="68"/>
      <c r="S200" s="68"/>
      <c r="T200" s="68"/>
      <c r="U200" s="68"/>
      <c r="V200" s="68"/>
      <c r="W200" s="69"/>
      <c r="X200" s="67"/>
      <c r="Y200" s="68"/>
      <c r="Z200" s="68"/>
      <c r="AA200" s="68"/>
      <c r="AB200" s="68"/>
      <c r="AC200" s="68"/>
      <c r="AD200" s="69"/>
      <c r="AE200" s="67"/>
      <c r="AF200" s="68"/>
      <c r="AG200" s="68"/>
      <c r="AH200" s="68"/>
      <c r="AI200" s="68"/>
      <c r="AJ200" s="68"/>
      <c r="AK200" s="69"/>
      <c r="AL200" s="67"/>
      <c r="AM200" s="68"/>
      <c r="AN200" s="68"/>
      <c r="AO200" s="68"/>
      <c r="AP200" s="68"/>
      <c r="AQ200" s="68"/>
      <c r="AR200" s="69"/>
      <c r="AS200" s="67"/>
      <c r="AT200" s="68"/>
      <c r="AU200" s="68"/>
      <c r="AV200" s="68"/>
      <c r="AW200" s="68"/>
      <c r="AX200" s="68"/>
      <c r="AY200" s="69"/>
      <c r="AZ200" s="67"/>
      <c r="BA200" s="68"/>
      <c r="BB200" s="68"/>
      <c r="BC200" s="68"/>
      <c r="BD200" s="68"/>
      <c r="BE200" s="68"/>
      <c r="BF200" s="69"/>
      <c r="BG200" s="67"/>
      <c r="BH200" s="68"/>
      <c r="BI200" s="68"/>
      <c r="BJ200" s="68"/>
      <c r="BK200" s="68"/>
      <c r="BL200" s="68"/>
      <c r="BM200" s="69"/>
      <c r="BN200" s="67"/>
      <c r="BO200" s="68"/>
      <c r="BP200" s="68"/>
      <c r="BQ200" s="68"/>
      <c r="BR200" s="68"/>
      <c r="BS200" s="68"/>
      <c r="BT200" s="69"/>
      <c r="BU200" s="59"/>
      <c r="BV200" s="59"/>
      <c r="BW200" s="59"/>
      <c r="BX200" s="59"/>
      <c r="BY200" s="59"/>
      <c r="BZ200" s="59"/>
      <c r="CA200" s="59"/>
    </row>
    <row r="201" spans="1:79">
      <c r="A201" s="59"/>
      <c r="B201" s="44" t="str">
        <f t="shared" si="5"/>
        <v/>
      </c>
      <c r="C201" s="67"/>
      <c r="D201" s="68"/>
      <c r="E201" s="68"/>
      <c r="F201" s="68"/>
      <c r="G201" s="68"/>
      <c r="H201" s="68"/>
      <c r="I201" s="69"/>
      <c r="J201" s="67"/>
      <c r="K201" s="68"/>
      <c r="L201" s="68"/>
      <c r="M201" s="68"/>
      <c r="N201" s="68"/>
      <c r="O201" s="68"/>
      <c r="P201" s="69"/>
      <c r="Q201" s="67"/>
      <c r="R201" s="68"/>
      <c r="S201" s="68"/>
      <c r="T201" s="68"/>
      <c r="U201" s="68"/>
      <c r="V201" s="68"/>
      <c r="W201" s="69"/>
      <c r="X201" s="67"/>
      <c r="Y201" s="68"/>
      <c r="Z201" s="68"/>
      <c r="AA201" s="68"/>
      <c r="AB201" s="68"/>
      <c r="AC201" s="68"/>
      <c r="AD201" s="69"/>
      <c r="AE201" s="67"/>
      <c r="AF201" s="68"/>
      <c r="AG201" s="68"/>
      <c r="AH201" s="68"/>
      <c r="AI201" s="68"/>
      <c r="AJ201" s="68"/>
      <c r="AK201" s="69"/>
      <c r="AL201" s="67"/>
      <c r="AM201" s="68"/>
      <c r="AN201" s="68"/>
      <c r="AO201" s="68"/>
      <c r="AP201" s="68"/>
      <c r="AQ201" s="68"/>
      <c r="AR201" s="69"/>
      <c r="AS201" s="67"/>
      <c r="AT201" s="68"/>
      <c r="AU201" s="68"/>
      <c r="AV201" s="68"/>
      <c r="AW201" s="68"/>
      <c r="AX201" s="68"/>
      <c r="AY201" s="69"/>
      <c r="AZ201" s="67"/>
      <c r="BA201" s="68"/>
      <c r="BB201" s="68"/>
      <c r="BC201" s="68"/>
      <c r="BD201" s="68"/>
      <c r="BE201" s="68"/>
      <c r="BF201" s="69"/>
      <c r="BG201" s="67"/>
      <c r="BH201" s="68"/>
      <c r="BI201" s="68"/>
      <c r="BJ201" s="68"/>
      <c r="BK201" s="68"/>
      <c r="BL201" s="68"/>
      <c r="BM201" s="69"/>
      <c r="BN201" s="67"/>
      <c r="BO201" s="68"/>
      <c r="BP201" s="68"/>
      <c r="BQ201" s="68"/>
      <c r="BR201" s="68"/>
      <c r="BS201" s="68"/>
      <c r="BT201" s="69"/>
      <c r="BU201" s="59"/>
      <c r="BV201" s="59"/>
      <c r="BW201" s="59"/>
      <c r="BX201" s="59"/>
      <c r="BY201" s="59"/>
      <c r="BZ201" s="59"/>
      <c r="CA201" s="59"/>
    </row>
    <row r="202" spans="1:79">
      <c r="A202" s="59"/>
      <c r="B202" s="44" t="str">
        <f t="shared" si="5"/>
        <v/>
      </c>
      <c r="C202" s="67"/>
      <c r="D202" s="68"/>
      <c r="E202" s="68"/>
      <c r="F202" s="68"/>
      <c r="G202" s="68"/>
      <c r="H202" s="68"/>
      <c r="I202" s="69"/>
      <c r="J202" s="67"/>
      <c r="K202" s="68"/>
      <c r="L202" s="68"/>
      <c r="M202" s="68"/>
      <c r="N202" s="68"/>
      <c r="O202" s="68"/>
      <c r="P202" s="69"/>
      <c r="Q202" s="67"/>
      <c r="R202" s="68"/>
      <c r="S202" s="68"/>
      <c r="T202" s="68"/>
      <c r="U202" s="68"/>
      <c r="V202" s="68"/>
      <c r="W202" s="69"/>
      <c r="X202" s="67"/>
      <c r="Y202" s="68"/>
      <c r="Z202" s="68"/>
      <c r="AA202" s="68"/>
      <c r="AB202" s="68"/>
      <c r="AC202" s="68"/>
      <c r="AD202" s="69"/>
      <c r="AE202" s="67"/>
      <c r="AF202" s="68"/>
      <c r="AG202" s="68"/>
      <c r="AH202" s="68"/>
      <c r="AI202" s="68"/>
      <c r="AJ202" s="68"/>
      <c r="AK202" s="69"/>
      <c r="AL202" s="67"/>
      <c r="AM202" s="68"/>
      <c r="AN202" s="68"/>
      <c r="AO202" s="68"/>
      <c r="AP202" s="68"/>
      <c r="AQ202" s="68"/>
      <c r="AR202" s="69"/>
      <c r="AS202" s="67"/>
      <c r="AT202" s="68"/>
      <c r="AU202" s="68"/>
      <c r="AV202" s="68"/>
      <c r="AW202" s="68"/>
      <c r="AX202" s="68"/>
      <c r="AY202" s="69"/>
      <c r="AZ202" s="67"/>
      <c r="BA202" s="68"/>
      <c r="BB202" s="68"/>
      <c r="BC202" s="68"/>
      <c r="BD202" s="68"/>
      <c r="BE202" s="68"/>
      <c r="BF202" s="69"/>
      <c r="BG202" s="67"/>
      <c r="BH202" s="68"/>
      <c r="BI202" s="68"/>
      <c r="BJ202" s="68"/>
      <c r="BK202" s="68"/>
      <c r="BL202" s="68"/>
      <c r="BM202" s="69"/>
      <c r="BN202" s="67"/>
      <c r="BO202" s="68"/>
      <c r="BP202" s="68"/>
      <c r="BQ202" s="68"/>
      <c r="BR202" s="68"/>
      <c r="BS202" s="68"/>
      <c r="BT202" s="69"/>
      <c r="BU202" s="59"/>
      <c r="BV202" s="59"/>
      <c r="BW202" s="59"/>
      <c r="BX202" s="59"/>
      <c r="BY202" s="59"/>
      <c r="BZ202" s="59"/>
      <c r="CA202" s="59"/>
    </row>
    <row r="203" spans="1:79">
      <c r="A203" s="59"/>
      <c r="B203" s="44" t="str">
        <f t="shared" ref="B203:B210" si="6">IF(Start_year+ROW(B203)-ROW($B$11)&gt;End_year,"",Start_year+ROW(B203)-ROW($B$11))</f>
        <v/>
      </c>
      <c r="C203" s="67"/>
      <c r="D203" s="68"/>
      <c r="E203" s="68"/>
      <c r="F203" s="68"/>
      <c r="G203" s="68"/>
      <c r="H203" s="68"/>
      <c r="I203" s="69"/>
      <c r="J203" s="67"/>
      <c r="K203" s="68"/>
      <c r="L203" s="68"/>
      <c r="M203" s="68"/>
      <c r="N203" s="68"/>
      <c r="O203" s="68"/>
      <c r="P203" s="69"/>
      <c r="Q203" s="67"/>
      <c r="R203" s="68"/>
      <c r="S203" s="68"/>
      <c r="T203" s="68"/>
      <c r="U203" s="68"/>
      <c r="V203" s="68"/>
      <c r="W203" s="69"/>
      <c r="X203" s="67"/>
      <c r="Y203" s="68"/>
      <c r="Z203" s="68"/>
      <c r="AA203" s="68"/>
      <c r="AB203" s="68"/>
      <c r="AC203" s="68"/>
      <c r="AD203" s="69"/>
      <c r="AE203" s="67"/>
      <c r="AF203" s="68"/>
      <c r="AG203" s="68"/>
      <c r="AH203" s="68"/>
      <c r="AI203" s="68"/>
      <c r="AJ203" s="68"/>
      <c r="AK203" s="69"/>
      <c r="AL203" s="67"/>
      <c r="AM203" s="68"/>
      <c r="AN203" s="68"/>
      <c r="AO203" s="68"/>
      <c r="AP203" s="68"/>
      <c r="AQ203" s="68"/>
      <c r="AR203" s="69"/>
      <c r="AS203" s="67"/>
      <c r="AT203" s="68"/>
      <c r="AU203" s="68"/>
      <c r="AV203" s="68"/>
      <c r="AW203" s="68"/>
      <c r="AX203" s="68"/>
      <c r="AY203" s="69"/>
      <c r="AZ203" s="67"/>
      <c r="BA203" s="68"/>
      <c r="BB203" s="68"/>
      <c r="BC203" s="68"/>
      <c r="BD203" s="68"/>
      <c r="BE203" s="68"/>
      <c r="BF203" s="69"/>
      <c r="BG203" s="67"/>
      <c r="BH203" s="68"/>
      <c r="BI203" s="68"/>
      <c r="BJ203" s="68"/>
      <c r="BK203" s="68"/>
      <c r="BL203" s="68"/>
      <c r="BM203" s="69"/>
      <c r="BN203" s="67"/>
      <c r="BO203" s="68"/>
      <c r="BP203" s="68"/>
      <c r="BQ203" s="68"/>
      <c r="BR203" s="68"/>
      <c r="BS203" s="68"/>
      <c r="BT203" s="69"/>
      <c r="BU203" s="59"/>
      <c r="BV203" s="59"/>
      <c r="BW203" s="59"/>
      <c r="BX203" s="59"/>
      <c r="BY203" s="59"/>
      <c r="BZ203" s="59"/>
      <c r="CA203" s="59"/>
    </row>
    <row r="204" spans="1:79">
      <c r="A204" s="59"/>
      <c r="B204" s="44" t="str">
        <f t="shared" si="6"/>
        <v/>
      </c>
      <c r="C204" s="67"/>
      <c r="D204" s="68"/>
      <c r="E204" s="68"/>
      <c r="F204" s="68"/>
      <c r="G204" s="68"/>
      <c r="H204" s="68"/>
      <c r="I204" s="69"/>
      <c r="J204" s="67"/>
      <c r="K204" s="68"/>
      <c r="L204" s="68"/>
      <c r="M204" s="68"/>
      <c r="N204" s="68"/>
      <c r="O204" s="68"/>
      <c r="P204" s="69"/>
      <c r="Q204" s="67"/>
      <c r="R204" s="68"/>
      <c r="S204" s="68"/>
      <c r="T204" s="68"/>
      <c r="U204" s="68"/>
      <c r="V204" s="68"/>
      <c r="W204" s="69"/>
      <c r="X204" s="67"/>
      <c r="Y204" s="68"/>
      <c r="Z204" s="68"/>
      <c r="AA204" s="68"/>
      <c r="AB204" s="68"/>
      <c r="AC204" s="68"/>
      <c r="AD204" s="69"/>
      <c r="AE204" s="67"/>
      <c r="AF204" s="68"/>
      <c r="AG204" s="68"/>
      <c r="AH204" s="68"/>
      <c r="AI204" s="68"/>
      <c r="AJ204" s="68"/>
      <c r="AK204" s="69"/>
      <c r="AL204" s="67"/>
      <c r="AM204" s="68"/>
      <c r="AN204" s="68"/>
      <c r="AO204" s="68"/>
      <c r="AP204" s="68"/>
      <c r="AQ204" s="68"/>
      <c r="AR204" s="69"/>
      <c r="AS204" s="67"/>
      <c r="AT204" s="68"/>
      <c r="AU204" s="68"/>
      <c r="AV204" s="68"/>
      <c r="AW204" s="68"/>
      <c r="AX204" s="68"/>
      <c r="AY204" s="69"/>
      <c r="AZ204" s="67"/>
      <c r="BA204" s="68"/>
      <c r="BB204" s="68"/>
      <c r="BC204" s="68"/>
      <c r="BD204" s="68"/>
      <c r="BE204" s="68"/>
      <c r="BF204" s="69"/>
      <c r="BG204" s="67"/>
      <c r="BH204" s="68"/>
      <c r="BI204" s="68"/>
      <c r="BJ204" s="68"/>
      <c r="BK204" s="68"/>
      <c r="BL204" s="68"/>
      <c r="BM204" s="69"/>
      <c r="BN204" s="67"/>
      <c r="BO204" s="68"/>
      <c r="BP204" s="68"/>
      <c r="BQ204" s="68"/>
      <c r="BR204" s="68"/>
      <c r="BS204" s="68"/>
      <c r="BT204" s="69"/>
      <c r="BU204" s="59"/>
      <c r="BV204" s="59"/>
      <c r="BW204" s="59"/>
      <c r="BX204" s="59"/>
      <c r="BY204" s="59"/>
      <c r="BZ204" s="59"/>
      <c r="CA204" s="59"/>
    </row>
    <row r="205" spans="1:79">
      <c r="A205" s="59"/>
      <c r="B205" s="44" t="str">
        <f t="shared" si="6"/>
        <v/>
      </c>
      <c r="C205" s="67"/>
      <c r="D205" s="68"/>
      <c r="E205" s="68"/>
      <c r="F205" s="68"/>
      <c r="G205" s="68"/>
      <c r="H205" s="68"/>
      <c r="I205" s="69"/>
      <c r="J205" s="67"/>
      <c r="K205" s="68"/>
      <c r="L205" s="68"/>
      <c r="M205" s="68"/>
      <c r="N205" s="68"/>
      <c r="O205" s="68"/>
      <c r="P205" s="69"/>
      <c r="Q205" s="67"/>
      <c r="R205" s="68"/>
      <c r="S205" s="68"/>
      <c r="T205" s="68"/>
      <c r="U205" s="68"/>
      <c r="V205" s="68"/>
      <c r="W205" s="69"/>
      <c r="X205" s="67"/>
      <c r="Y205" s="68"/>
      <c r="Z205" s="68"/>
      <c r="AA205" s="68"/>
      <c r="AB205" s="68"/>
      <c r="AC205" s="68"/>
      <c r="AD205" s="69"/>
      <c r="AE205" s="67"/>
      <c r="AF205" s="68"/>
      <c r="AG205" s="68"/>
      <c r="AH205" s="68"/>
      <c r="AI205" s="68"/>
      <c r="AJ205" s="68"/>
      <c r="AK205" s="69"/>
      <c r="AL205" s="67"/>
      <c r="AM205" s="68"/>
      <c r="AN205" s="68"/>
      <c r="AO205" s="68"/>
      <c r="AP205" s="68"/>
      <c r="AQ205" s="68"/>
      <c r="AR205" s="69"/>
      <c r="AS205" s="67"/>
      <c r="AT205" s="68"/>
      <c r="AU205" s="68"/>
      <c r="AV205" s="68"/>
      <c r="AW205" s="68"/>
      <c r="AX205" s="68"/>
      <c r="AY205" s="69"/>
      <c r="AZ205" s="67"/>
      <c r="BA205" s="68"/>
      <c r="BB205" s="68"/>
      <c r="BC205" s="68"/>
      <c r="BD205" s="68"/>
      <c r="BE205" s="68"/>
      <c r="BF205" s="69"/>
      <c r="BG205" s="67"/>
      <c r="BH205" s="68"/>
      <c r="BI205" s="68"/>
      <c r="BJ205" s="68"/>
      <c r="BK205" s="68"/>
      <c r="BL205" s="68"/>
      <c r="BM205" s="69"/>
      <c r="BN205" s="67"/>
      <c r="BO205" s="68"/>
      <c r="BP205" s="68"/>
      <c r="BQ205" s="68"/>
      <c r="BR205" s="68"/>
      <c r="BS205" s="68"/>
      <c r="BT205" s="69"/>
      <c r="BU205" s="59"/>
      <c r="BV205" s="59"/>
      <c r="BW205" s="59"/>
      <c r="BX205" s="59"/>
      <c r="BY205" s="59"/>
      <c r="BZ205" s="59"/>
      <c r="CA205" s="59"/>
    </row>
    <row r="206" spans="1:79">
      <c r="A206" s="59"/>
      <c r="B206" s="44" t="str">
        <f t="shared" si="6"/>
        <v/>
      </c>
      <c r="C206" s="67"/>
      <c r="D206" s="68"/>
      <c r="E206" s="68"/>
      <c r="F206" s="68"/>
      <c r="G206" s="68"/>
      <c r="H206" s="68"/>
      <c r="I206" s="69"/>
      <c r="J206" s="67"/>
      <c r="K206" s="68"/>
      <c r="L206" s="68"/>
      <c r="M206" s="68"/>
      <c r="N206" s="68"/>
      <c r="O206" s="68"/>
      <c r="P206" s="69"/>
      <c r="Q206" s="67"/>
      <c r="R206" s="68"/>
      <c r="S206" s="68"/>
      <c r="T206" s="68"/>
      <c r="U206" s="68"/>
      <c r="V206" s="68"/>
      <c r="W206" s="69"/>
      <c r="X206" s="67"/>
      <c r="Y206" s="68"/>
      <c r="Z206" s="68"/>
      <c r="AA206" s="68"/>
      <c r="AB206" s="68"/>
      <c r="AC206" s="68"/>
      <c r="AD206" s="69"/>
      <c r="AE206" s="67"/>
      <c r="AF206" s="68"/>
      <c r="AG206" s="68"/>
      <c r="AH206" s="68"/>
      <c r="AI206" s="68"/>
      <c r="AJ206" s="68"/>
      <c r="AK206" s="69"/>
      <c r="AL206" s="67"/>
      <c r="AM206" s="68"/>
      <c r="AN206" s="68"/>
      <c r="AO206" s="68"/>
      <c r="AP206" s="68"/>
      <c r="AQ206" s="68"/>
      <c r="AR206" s="69"/>
      <c r="AS206" s="67"/>
      <c r="AT206" s="68"/>
      <c r="AU206" s="68"/>
      <c r="AV206" s="68"/>
      <c r="AW206" s="68"/>
      <c r="AX206" s="68"/>
      <c r="AY206" s="69"/>
      <c r="AZ206" s="67"/>
      <c r="BA206" s="68"/>
      <c r="BB206" s="68"/>
      <c r="BC206" s="68"/>
      <c r="BD206" s="68"/>
      <c r="BE206" s="68"/>
      <c r="BF206" s="69"/>
      <c r="BG206" s="67"/>
      <c r="BH206" s="68"/>
      <c r="BI206" s="68"/>
      <c r="BJ206" s="68"/>
      <c r="BK206" s="68"/>
      <c r="BL206" s="68"/>
      <c r="BM206" s="69"/>
      <c r="BN206" s="67"/>
      <c r="BO206" s="68"/>
      <c r="BP206" s="68"/>
      <c r="BQ206" s="68"/>
      <c r="BR206" s="68"/>
      <c r="BS206" s="68"/>
      <c r="BT206" s="69"/>
      <c r="BU206" s="59"/>
      <c r="BV206" s="59"/>
      <c r="BW206" s="59"/>
      <c r="BX206" s="59"/>
      <c r="BY206" s="59"/>
      <c r="BZ206" s="59"/>
      <c r="CA206" s="59"/>
    </row>
    <row r="207" spans="1:79">
      <c r="A207" s="59"/>
      <c r="B207" s="44" t="str">
        <f t="shared" si="6"/>
        <v/>
      </c>
      <c r="C207" s="67"/>
      <c r="D207" s="68"/>
      <c r="E207" s="68"/>
      <c r="F207" s="68"/>
      <c r="G207" s="68"/>
      <c r="H207" s="68"/>
      <c r="I207" s="69"/>
      <c r="J207" s="67"/>
      <c r="K207" s="68"/>
      <c r="L207" s="68"/>
      <c r="M207" s="68"/>
      <c r="N207" s="68"/>
      <c r="O207" s="68"/>
      <c r="P207" s="69"/>
      <c r="Q207" s="67"/>
      <c r="R207" s="68"/>
      <c r="S207" s="68"/>
      <c r="T207" s="68"/>
      <c r="U207" s="68"/>
      <c r="V207" s="68"/>
      <c r="W207" s="69"/>
      <c r="X207" s="67"/>
      <c r="Y207" s="68"/>
      <c r="Z207" s="68"/>
      <c r="AA207" s="68"/>
      <c r="AB207" s="68"/>
      <c r="AC207" s="68"/>
      <c r="AD207" s="69"/>
      <c r="AE207" s="67"/>
      <c r="AF207" s="68"/>
      <c r="AG207" s="68"/>
      <c r="AH207" s="68"/>
      <c r="AI207" s="68"/>
      <c r="AJ207" s="68"/>
      <c r="AK207" s="69"/>
      <c r="AL207" s="67"/>
      <c r="AM207" s="68"/>
      <c r="AN207" s="68"/>
      <c r="AO207" s="68"/>
      <c r="AP207" s="68"/>
      <c r="AQ207" s="68"/>
      <c r="AR207" s="69"/>
      <c r="AS207" s="67"/>
      <c r="AT207" s="68"/>
      <c r="AU207" s="68"/>
      <c r="AV207" s="68"/>
      <c r="AW207" s="68"/>
      <c r="AX207" s="68"/>
      <c r="AY207" s="69"/>
      <c r="AZ207" s="67"/>
      <c r="BA207" s="68"/>
      <c r="BB207" s="68"/>
      <c r="BC207" s="68"/>
      <c r="BD207" s="68"/>
      <c r="BE207" s="68"/>
      <c r="BF207" s="69"/>
      <c r="BG207" s="67"/>
      <c r="BH207" s="68"/>
      <c r="BI207" s="68"/>
      <c r="BJ207" s="68"/>
      <c r="BK207" s="68"/>
      <c r="BL207" s="68"/>
      <c r="BM207" s="69"/>
      <c r="BN207" s="67"/>
      <c r="BO207" s="68"/>
      <c r="BP207" s="68"/>
      <c r="BQ207" s="68"/>
      <c r="BR207" s="68"/>
      <c r="BS207" s="68"/>
      <c r="BT207" s="69"/>
      <c r="BU207" s="59"/>
      <c r="BV207" s="59"/>
      <c r="BW207" s="59"/>
      <c r="BX207" s="59"/>
      <c r="BY207" s="59"/>
      <c r="BZ207" s="59"/>
      <c r="CA207" s="59"/>
    </row>
    <row r="208" spans="1:79">
      <c r="A208" s="59"/>
      <c r="B208" s="44" t="str">
        <f t="shared" si="6"/>
        <v/>
      </c>
      <c r="C208" s="67"/>
      <c r="D208" s="68"/>
      <c r="E208" s="68"/>
      <c r="F208" s="68"/>
      <c r="G208" s="68"/>
      <c r="H208" s="68"/>
      <c r="I208" s="69"/>
      <c r="J208" s="67"/>
      <c r="K208" s="68"/>
      <c r="L208" s="68"/>
      <c r="M208" s="68"/>
      <c r="N208" s="68"/>
      <c r="O208" s="68"/>
      <c r="P208" s="69"/>
      <c r="Q208" s="67"/>
      <c r="R208" s="68"/>
      <c r="S208" s="68"/>
      <c r="T208" s="68"/>
      <c r="U208" s="68"/>
      <c r="V208" s="68"/>
      <c r="W208" s="69"/>
      <c r="X208" s="67"/>
      <c r="Y208" s="68"/>
      <c r="Z208" s="68"/>
      <c r="AA208" s="68"/>
      <c r="AB208" s="68"/>
      <c r="AC208" s="68"/>
      <c r="AD208" s="69"/>
      <c r="AE208" s="67"/>
      <c r="AF208" s="68"/>
      <c r="AG208" s="68"/>
      <c r="AH208" s="68"/>
      <c r="AI208" s="68"/>
      <c r="AJ208" s="68"/>
      <c r="AK208" s="69"/>
      <c r="AL208" s="67"/>
      <c r="AM208" s="68"/>
      <c r="AN208" s="68"/>
      <c r="AO208" s="68"/>
      <c r="AP208" s="68"/>
      <c r="AQ208" s="68"/>
      <c r="AR208" s="69"/>
      <c r="AS208" s="67"/>
      <c r="AT208" s="68"/>
      <c r="AU208" s="68"/>
      <c r="AV208" s="68"/>
      <c r="AW208" s="68"/>
      <c r="AX208" s="68"/>
      <c r="AY208" s="69"/>
      <c r="AZ208" s="67"/>
      <c r="BA208" s="68"/>
      <c r="BB208" s="68"/>
      <c r="BC208" s="68"/>
      <c r="BD208" s="68"/>
      <c r="BE208" s="68"/>
      <c r="BF208" s="69"/>
      <c r="BG208" s="67"/>
      <c r="BH208" s="68"/>
      <c r="BI208" s="68"/>
      <c r="BJ208" s="68"/>
      <c r="BK208" s="68"/>
      <c r="BL208" s="68"/>
      <c r="BM208" s="69"/>
      <c r="BN208" s="67"/>
      <c r="BO208" s="68"/>
      <c r="BP208" s="68"/>
      <c r="BQ208" s="68"/>
      <c r="BR208" s="68"/>
      <c r="BS208" s="68"/>
      <c r="BT208" s="69"/>
      <c r="BU208" s="59"/>
      <c r="BV208" s="59"/>
      <c r="BW208" s="59"/>
      <c r="BX208" s="59"/>
      <c r="BY208" s="59"/>
      <c r="BZ208" s="59"/>
      <c r="CA208" s="59"/>
    </row>
    <row r="209" spans="1:79">
      <c r="A209" s="59"/>
      <c r="B209" s="44" t="str">
        <f t="shared" si="6"/>
        <v/>
      </c>
      <c r="C209" s="67"/>
      <c r="D209" s="68"/>
      <c r="E209" s="68"/>
      <c r="F209" s="68"/>
      <c r="G209" s="68"/>
      <c r="H209" s="68"/>
      <c r="I209" s="69"/>
      <c r="J209" s="67"/>
      <c r="K209" s="68"/>
      <c r="L209" s="68"/>
      <c r="M209" s="68"/>
      <c r="N209" s="68"/>
      <c r="O209" s="68"/>
      <c r="P209" s="69"/>
      <c r="Q209" s="67"/>
      <c r="R209" s="68"/>
      <c r="S209" s="68"/>
      <c r="T209" s="68"/>
      <c r="U209" s="68"/>
      <c r="V209" s="68"/>
      <c r="W209" s="69"/>
      <c r="X209" s="67"/>
      <c r="Y209" s="68"/>
      <c r="Z209" s="68"/>
      <c r="AA209" s="68"/>
      <c r="AB209" s="68"/>
      <c r="AC209" s="68"/>
      <c r="AD209" s="69"/>
      <c r="AE209" s="67"/>
      <c r="AF209" s="68"/>
      <c r="AG209" s="68"/>
      <c r="AH209" s="68"/>
      <c r="AI209" s="68"/>
      <c r="AJ209" s="68"/>
      <c r="AK209" s="69"/>
      <c r="AL209" s="67"/>
      <c r="AM209" s="68"/>
      <c r="AN209" s="68"/>
      <c r="AO209" s="68"/>
      <c r="AP209" s="68"/>
      <c r="AQ209" s="68"/>
      <c r="AR209" s="69"/>
      <c r="AS209" s="67"/>
      <c r="AT209" s="68"/>
      <c r="AU209" s="68"/>
      <c r="AV209" s="68"/>
      <c r="AW209" s="68"/>
      <c r="AX209" s="68"/>
      <c r="AY209" s="69"/>
      <c r="AZ209" s="67"/>
      <c r="BA209" s="68"/>
      <c r="BB209" s="68"/>
      <c r="BC209" s="68"/>
      <c r="BD209" s="68"/>
      <c r="BE209" s="68"/>
      <c r="BF209" s="69"/>
      <c r="BG209" s="67"/>
      <c r="BH209" s="68"/>
      <c r="BI209" s="68"/>
      <c r="BJ209" s="68"/>
      <c r="BK209" s="68"/>
      <c r="BL209" s="68"/>
      <c r="BM209" s="69"/>
      <c r="BN209" s="67"/>
      <c r="BO209" s="68"/>
      <c r="BP209" s="68"/>
      <c r="BQ209" s="68"/>
      <c r="BR209" s="68"/>
      <c r="BS209" s="68"/>
      <c r="BT209" s="69"/>
      <c r="BU209" s="59"/>
      <c r="BV209" s="59"/>
      <c r="BW209" s="59"/>
      <c r="BX209" s="59"/>
      <c r="BY209" s="59"/>
      <c r="BZ209" s="59"/>
      <c r="CA209" s="59"/>
    </row>
    <row r="210" spans="1:79">
      <c r="A210" s="59"/>
      <c r="B210" s="44" t="str">
        <f t="shared" si="6"/>
        <v/>
      </c>
      <c r="C210" s="67"/>
      <c r="D210" s="68"/>
      <c r="E210" s="68"/>
      <c r="F210" s="68"/>
      <c r="G210" s="68"/>
      <c r="H210" s="68"/>
      <c r="I210" s="69"/>
      <c r="J210" s="67"/>
      <c r="K210" s="68"/>
      <c r="L210" s="68"/>
      <c r="M210" s="68"/>
      <c r="N210" s="68"/>
      <c r="O210" s="68"/>
      <c r="P210" s="69"/>
      <c r="Q210" s="67"/>
      <c r="R210" s="68"/>
      <c r="S210" s="68"/>
      <c r="T210" s="68"/>
      <c r="U210" s="68"/>
      <c r="V210" s="68"/>
      <c r="W210" s="69"/>
      <c r="X210" s="67"/>
      <c r="Y210" s="68"/>
      <c r="Z210" s="68"/>
      <c r="AA210" s="68"/>
      <c r="AB210" s="68"/>
      <c r="AC210" s="68"/>
      <c r="AD210" s="69"/>
      <c r="AE210" s="67"/>
      <c r="AF210" s="68"/>
      <c r="AG210" s="68"/>
      <c r="AH210" s="68"/>
      <c r="AI210" s="68"/>
      <c r="AJ210" s="68"/>
      <c r="AK210" s="69"/>
      <c r="AL210" s="67"/>
      <c r="AM210" s="68"/>
      <c r="AN210" s="68"/>
      <c r="AO210" s="68"/>
      <c r="AP210" s="68"/>
      <c r="AQ210" s="68"/>
      <c r="AR210" s="69"/>
      <c r="AS210" s="67"/>
      <c r="AT210" s="68"/>
      <c r="AU210" s="68"/>
      <c r="AV210" s="68"/>
      <c r="AW210" s="68"/>
      <c r="AX210" s="68"/>
      <c r="AY210" s="69"/>
      <c r="AZ210" s="67"/>
      <c r="BA210" s="68"/>
      <c r="BB210" s="68"/>
      <c r="BC210" s="68"/>
      <c r="BD210" s="68"/>
      <c r="BE210" s="68"/>
      <c r="BF210" s="69"/>
      <c r="BG210" s="67"/>
      <c r="BH210" s="68"/>
      <c r="BI210" s="68"/>
      <c r="BJ210" s="68"/>
      <c r="BK210" s="68"/>
      <c r="BL210" s="68"/>
      <c r="BM210" s="69"/>
      <c r="BN210" s="67"/>
      <c r="BO210" s="68"/>
      <c r="BP210" s="68"/>
      <c r="BQ210" s="68"/>
      <c r="BR210" s="68"/>
      <c r="BS210" s="68"/>
      <c r="BT210" s="69"/>
      <c r="BU210" s="59"/>
      <c r="BV210" s="59"/>
      <c r="BW210" s="59"/>
      <c r="BX210" s="59"/>
      <c r="BY210" s="59"/>
      <c r="BZ210" s="59"/>
      <c r="CA210" s="59"/>
    </row>
    <row r="211" spans="1:79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9"/>
      <c r="BX211" s="59"/>
      <c r="BY211" s="59"/>
      <c r="BZ211" s="59"/>
      <c r="CA211" s="59"/>
    </row>
    <row r="212" spans="1:79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</row>
    <row r="213" spans="1:79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59"/>
      <c r="BW213" s="59"/>
      <c r="BX213" s="59"/>
      <c r="BY213" s="59"/>
      <c r="BZ213" s="59"/>
      <c r="CA213" s="59"/>
    </row>
    <row r="214" spans="1:79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59"/>
      <c r="BW214" s="59"/>
      <c r="BX214" s="59"/>
      <c r="BY214" s="59"/>
      <c r="BZ214" s="59"/>
      <c r="CA214" s="59"/>
    </row>
    <row r="215" spans="1:79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</row>
    <row r="216" spans="1:79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9"/>
      <c r="BX216" s="59"/>
      <c r="BY216" s="59"/>
      <c r="BZ216" s="59"/>
      <c r="CA216" s="59"/>
    </row>
  </sheetData>
  <sheetProtection algorithmName="SHA-512" hashValue="ZNd78Mr921ZFgblSC0+218Wu3SpRDTP5PdXksYuJIKGaaf6DXn95+s9rgOfgYoQaoDHGMS0FBC7thMvcHJK5gw==" saltValue="7ltlDQ4jLXjlhyuJVdkCfQ==" spinCount="100000" sheet="1" objects="1" scenarios="1"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81E2"/>
  </sheetPr>
  <dimension ref="A1:AO215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J1" sqref="J1"/>
    </sheetView>
  </sheetViews>
  <sheetFormatPr defaultColWidth="8.73046875" defaultRowHeight="13.15"/>
  <cols>
    <col min="1" max="16384" width="8.73046875" style="1"/>
  </cols>
  <sheetData>
    <row r="1" spans="1:41" ht="25.5" customHeight="1">
      <c r="A1" s="38" t="s">
        <v>382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</row>
    <row r="2" spans="1:4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</row>
    <row r="3" spans="1:4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</row>
    <row r="4" spans="1:41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</row>
    <row r="5" spans="1:41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</row>
    <row r="6" spans="1:41" hidden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</row>
    <row r="7" spans="1:41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</row>
    <row r="8" spans="1:41" ht="15" customHeight="1">
      <c r="A8" s="39"/>
      <c r="B8" s="40" t="s">
        <v>23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</row>
    <row r="9" spans="1:41" ht="15" customHeight="1" thickBot="1">
      <c r="A9" s="39"/>
      <c r="B9" s="39"/>
      <c r="C9" s="59" t="str">
        <f>"Application1: "&amp;Products!D10</f>
        <v xml:space="preserve">Application1: </v>
      </c>
      <c r="D9" s="59"/>
      <c r="E9" s="59"/>
      <c r="F9" s="59"/>
      <c r="G9" s="59"/>
      <c r="H9" s="59"/>
      <c r="I9" s="59"/>
      <c r="J9" s="59" t="str">
        <f>"Application2: "&amp;Products!E10</f>
        <v xml:space="preserve">Application2: </v>
      </c>
      <c r="K9" s="59"/>
      <c r="L9" s="59"/>
      <c r="M9" s="59"/>
      <c r="N9" s="59"/>
      <c r="O9" s="59"/>
      <c r="P9" s="59"/>
      <c r="Q9" s="59" t="str">
        <f>"Application3: "&amp;Products!F10</f>
        <v xml:space="preserve">Application3: </v>
      </c>
      <c r="R9" s="59"/>
      <c r="S9" s="59"/>
      <c r="T9" s="59"/>
      <c r="U9" s="59"/>
      <c r="V9" s="59"/>
      <c r="W9" s="59"/>
      <c r="X9" s="59" t="str">
        <f>"Application4: "&amp;Products!G10</f>
        <v xml:space="preserve">Application4: </v>
      </c>
      <c r="Y9" s="59"/>
      <c r="Z9" s="59"/>
      <c r="AA9" s="59"/>
      <c r="AB9" s="59"/>
      <c r="AC9" s="59"/>
      <c r="AD9" s="59"/>
      <c r="AE9" s="59" t="str">
        <f>"Application5: "&amp;Products!H10</f>
        <v xml:space="preserve">Application5: </v>
      </c>
      <c r="AF9" s="44"/>
      <c r="AG9" s="44"/>
      <c r="AH9" s="44"/>
      <c r="AI9" s="44"/>
      <c r="AJ9" s="44"/>
      <c r="AK9" s="44"/>
      <c r="AL9" s="39"/>
      <c r="AM9" s="39"/>
      <c r="AN9" s="39"/>
      <c r="AO9" s="39"/>
    </row>
    <row r="10" spans="1:41" ht="15" customHeight="1">
      <c r="A10" s="39"/>
      <c r="B10" s="4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7" t="s">
        <v>261</v>
      </c>
      <c r="AL10" s="46"/>
      <c r="AM10" s="39"/>
      <c r="AN10" s="39"/>
      <c r="AO10" s="39"/>
    </row>
    <row r="11" spans="1:41" ht="15" customHeight="1">
      <c r="A11" s="39"/>
      <c r="B11" s="60" t="s">
        <v>22</v>
      </c>
      <c r="C11" s="67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9"/>
      <c r="AL11" s="46"/>
      <c r="AM11" s="39"/>
      <c r="AN11" s="39"/>
      <c r="AO11" s="39"/>
    </row>
    <row r="12" spans="1:41" ht="15" customHeight="1">
      <c r="A12" s="39"/>
      <c r="B12" s="45">
        <f t="shared" ref="B12:B75" si="0">IF(Start_year+ROW(B14)-ROW($B$14)&gt;End_year,"",Start_year+ROW(B14)-ROW($B$14))</f>
        <v>1930</v>
      </c>
      <c r="C12" s="67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  <c r="AL12" s="46"/>
      <c r="AM12" s="39"/>
      <c r="AN12" s="39"/>
      <c r="AO12" s="39"/>
    </row>
    <row r="13" spans="1:41" ht="15" customHeight="1">
      <c r="A13" s="39"/>
      <c r="B13" s="45">
        <f t="shared" si="0"/>
        <v>1931</v>
      </c>
      <c r="C13" s="67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46"/>
      <c r="AM13" s="39"/>
      <c r="AN13" s="39"/>
      <c r="AO13" s="39"/>
    </row>
    <row r="14" spans="1:41" ht="15" customHeight="1">
      <c r="A14" s="39"/>
      <c r="B14" s="45">
        <f t="shared" si="0"/>
        <v>1932</v>
      </c>
      <c r="C14" s="67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46"/>
      <c r="AM14" s="39"/>
      <c r="AN14" s="39"/>
      <c r="AO14" s="39"/>
    </row>
    <row r="15" spans="1:41" ht="15" customHeight="1">
      <c r="A15" s="39"/>
      <c r="B15" s="45">
        <f t="shared" si="0"/>
        <v>1933</v>
      </c>
      <c r="C15" s="67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46"/>
      <c r="AM15" s="39"/>
      <c r="AN15" s="39"/>
      <c r="AO15" s="39"/>
    </row>
    <row r="16" spans="1:41" ht="15" customHeight="1">
      <c r="A16" s="39"/>
      <c r="B16" s="45">
        <f t="shared" si="0"/>
        <v>1934</v>
      </c>
      <c r="C16" s="67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46"/>
      <c r="AM16" s="39"/>
      <c r="AN16" s="39"/>
      <c r="AO16" s="39"/>
    </row>
    <row r="17" spans="1:41" ht="15" customHeight="1">
      <c r="A17" s="39"/>
      <c r="B17" s="45">
        <f t="shared" si="0"/>
        <v>1935</v>
      </c>
      <c r="C17" s="6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46"/>
      <c r="AM17" s="39"/>
      <c r="AN17" s="39"/>
      <c r="AO17" s="39"/>
    </row>
    <row r="18" spans="1:41" ht="15" customHeight="1">
      <c r="A18" s="39"/>
      <c r="B18" s="45">
        <f t="shared" si="0"/>
        <v>1936</v>
      </c>
      <c r="C18" s="67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46"/>
      <c r="AM18" s="39"/>
      <c r="AN18" s="39"/>
      <c r="AO18" s="39"/>
    </row>
    <row r="19" spans="1:41" ht="15" customHeight="1">
      <c r="A19" s="39"/>
      <c r="B19" s="45">
        <f t="shared" si="0"/>
        <v>1937</v>
      </c>
      <c r="C19" s="67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9"/>
      <c r="AL19" s="46"/>
      <c r="AM19" s="39"/>
      <c r="AN19" s="39"/>
      <c r="AO19" s="39"/>
    </row>
    <row r="20" spans="1:41" ht="15" customHeight="1">
      <c r="A20" s="39"/>
      <c r="B20" s="45">
        <f t="shared" si="0"/>
        <v>1938</v>
      </c>
      <c r="C20" s="67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9"/>
      <c r="AL20" s="46"/>
      <c r="AM20" s="39"/>
      <c r="AN20" s="39"/>
      <c r="AO20" s="39"/>
    </row>
    <row r="21" spans="1:41" ht="15" customHeight="1">
      <c r="A21" s="39"/>
      <c r="B21" s="45">
        <f t="shared" si="0"/>
        <v>1939</v>
      </c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9"/>
      <c r="AL21" s="46"/>
      <c r="AM21" s="39"/>
      <c r="AN21" s="39"/>
      <c r="AO21" s="39"/>
    </row>
    <row r="22" spans="1:41" ht="15" customHeight="1">
      <c r="A22" s="39"/>
      <c r="B22" s="45">
        <f t="shared" si="0"/>
        <v>1940</v>
      </c>
      <c r="C22" s="67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9"/>
      <c r="AL22" s="46"/>
      <c r="AM22" s="39"/>
      <c r="AN22" s="39"/>
      <c r="AO22" s="39"/>
    </row>
    <row r="23" spans="1:41" ht="15" customHeight="1">
      <c r="A23" s="39"/>
      <c r="B23" s="45">
        <f t="shared" si="0"/>
        <v>1941</v>
      </c>
      <c r="C23" s="67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9"/>
      <c r="AL23" s="46"/>
      <c r="AM23" s="39"/>
      <c r="AN23" s="39"/>
      <c r="AO23" s="39"/>
    </row>
    <row r="24" spans="1:41" ht="15" customHeight="1">
      <c r="A24" s="39"/>
      <c r="B24" s="45">
        <f t="shared" si="0"/>
        <v>1942</v>
      </c>
      <c r="C24" s="67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9"/>
      <c r="AL24" s="46"/>
      <c r="AM24" s="39"/>
      <c r="AN24" s="39"/>
      <c r="AO24" s="39"/>
    </row>
    <row r="25" spans="1:41" ht="15" customHeight="1">
      <c r="A25" s="39"/>
      <c r="B25" s="45">
        <f t="shared" si="0"/>
        <v>1943</v>
      </c>
      <c r="C25" s="67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9"/>
      <c r="AL25" s="46"/>
      <c r="AM25" s="39"/>
      <c r="AN25" s="39"/>
      <c r="AO25" s="39"/>
    </row>
    <row r="26" spans="1:41" ht="15" customHeight="1">
      <c r="A26" s="39"/>
      <c r="B26" s="45">
        <f t="shared" si="0"/>
        <v>1944</v>
      </c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9"/>
      <c r="AL26" s="46"/>
      <c r="AM26" s="39"/>
      <c r="AN26" s="39"/>
      <c r="AO26" s="39"/>
    </row>
    <row r="27" spans="1:41" ht="15" customHeight="1">
      <c r="A27" s="39"/>
      <c r="B27" s="45">
        <f t="shared" si="0"/>
        <v>1945</v>
      </c>
      <c r="C27" s="67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9"/>
      <c r="AL27" s="46"/>
      <c r="AM27" s="39"/>
      <c r="AN27" s="39"/>
      <c r="AO27" s="39"/>
    </row>
    <row r="28" spans="1:41" ht="15" customHeight="1">
      <c r="A28" s="39"/>
      <c r="B28" s="45">
        <f t="shared" si="0"/>
        <v>1946</v>
      </c>
      <c r="C28" s="67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9"/>
      <c r="AL28" s="46"/>
      <c r="AM28" s="39"/>
      <c r="AN28" s="39"/>
      <c r="AO28" s="39"/>
    </row>
    <row r="29" spans="1:41" ht="15" customHeight="1">
      <c r="A29" s="39"/>
      <c r="B29" s="45">
        <f t="shared" si="0"/>
        <v>1947</v>
      </c>
      <c r="C29" s="67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9"/>
      <c r="AL29" s="46"/>
      <c r="AM29" s="39"/>
      <c r="AN29" s="39"/>
      <c r="AO29" s="39"/>
    </row>
    <row r="30" spans="1:41" ht="15" customHeight="1">
      <c r="A30" s="39"/>
      <c r="B30" s="45">
        <f t="shared" si="0"/>
        <v>1948</v>
      </c>
      <c r="C30" s="67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9"/>
      <c r="AL30" s="46"/>
      <c r="AM30" s="39"/>
      <c r="AN30" s="39"/>
      <c r="AO30" s="39"/>
    </row>
    <row r="31" spans="1:41" ht="15" customHeight="1">
      <c r="A31" s="39"/>
      <c r="B31" s="45">
        <f t="shared" si="0"/>
        <v>1949</v>
      </c>
      <c r="C31" s="67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9"/>
      <c r="AL31" s="46"/>
      <c r="AM31" s="39"/>
      <c r="AN31" s="39"/>
      <c r="AO31" s="39"/>
    </row>
    <row r="32" spans="1:41" ht="15" customHeight="1">
      <c r="A32" s="39"/>
      <c r="B32" s="45">
        <f t="shared" si="0"/>
        <v>1950</v>
      </c>
      <c r="C32" s="67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9"/>
      <c r="AL32" s="46"/>
      <c r="AM32" s="39"/>
      <c r="AN32" s="39"/>
      <c r="AO32" s="39"/>
    </row>
    <row r="33" spans="1:41" ht="15" customHeight="1">
      <c r="A33" s="39"/>
      <c r="B33" s="45">
        <f t="shared" si="0"/>
        <v>1951</v>
      </c>
      <c r="C33" s="67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9"/>
      <c r="AL33" s="46"/>
      <c r="AM33" s="39"/>
      <c r="AN33" s="39"/>
      <c r="AO33" s="39"/>
    </row>
    <row r="34" spans="1:41" ht="15" customHeight="1">
      <c r="A34" s="39"/>
      <c r="B34" s="45">
        <f t="shared" si="0"/>
        <v>1952</v>
      </c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9"/>
      <c r="AL34" s="46"/>
      <c r="AM34" s="39"/>
      <c r="AN34" s="39"/>
      <c r="AO34" s="39"/>
    </row>
    <row r="35" spans="1:41" ht="15" customHeight="1">
      <c r="A35" s="39"/>
      <c r="B35" s="45">
        <f t="shared" si="0"/>
        <v>1953</v>
      </c>
      <c r="C35" s="67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9"/>
      <c r="AL35" s="46"/>
      <c r="AM35" s="39"/>
      <c r="AN35" s="39"/>
      <c r="AO35" s="39"/>
    </row>
    <row r="36" spans="1:41" ht="15" customHeight="1">
      <c r="A36" s="39"/>
      <c r="B36" s="45">
        <f t="shared" si="0"/>
        <v>1954</v>
      </c>
      <c r="C36" s="67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9"/>
      <c r="AL36" s="46"/>
      <c r="AM36" s="39"/>
      <c r="AN36" s="39"/>
      <c r="AO36" s="39"/>
    </row>
    <row r="37" spans="1:41" ht="15" customHeight="1">
      <c r="A37" s="39"/>
      <c r="B37" s="45">
        <f t="shared" si="0"/>
        <v>1955</v>
      </c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9"/>
      <c r="AL37" s="46"/>
      <c r="AM37" s="39"/>
      <c r="AN37" s="39"/>
      <c r="AO37" s="39"/>
    </row>
    <row r="38" spans="1:41" ht="15" customHeight="1">
      <c r="A38" s="39"/>
      <c r="B38" s="45">
        <f t="shared" si="0"/>
        <v>1956</v>
      </c>
      <c r="C38" s="67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9"/>
      <c r="AL38" s="46"/>
      <c r="AM38" s="39"/>
      <c r="AN38" s="39"/>
      <c r="AO38" s="39"/>
    </row>
    <row r="39" spans="1:41" ht="15" customHeight="1">
      <c r="A39" s="39"/>
      <c r="B39" s="45">
        <f t="shared" si="0"/>
        <v>1957</v>
      </c>
      <c r="C39" s="67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9"/>
      <c r="AL39" s="46"/>
      <c r="AM39" s="39"/>
      <c r="AN39" s="39"/>
      <c r="AO39" s="39"/>
    </row>
    <row r="40" spans="1:41" ht="15" customHeight="1">
      <c r="A40" s="39"/>
      <c r="B40" s="45">
        <f t="shared" si="0"/>
        <v>1958</v>
      </c>
      <c r="C40" s="67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9"/>
      <c r="AL40" s="46"/>
      <c r="AM40" s="39"/>
      <c r="AN40" s="39"/>
      <c r="AO40" s="39"/>
    </row>
    <row r="41" spans="1:41" ht="15" customHeight="1">
      <c r="A41" s="39"/>
      <c r="B41" s="45">
        <f t="shared" si="0"/>
        <v>1959</v>
      </c>
      <c r="C41" s="67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9"/>
      <c r="AL41" s="46"/>
      <c r="AM41" s="39"/>
      <c r="AN41" s="39"/>
      <c r="AO41" s="39"/>
    </row>
    <row r="42" spans="1:41" ht="15" customHeight="1">
      <c r="A42" s="39"/>
      <c r="B42" s="45">
        <f t="shared" si="0"/>
        <v>1960</v>
      </c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9"/>
      <c r="AL42" s="46"/>
      <c r="AM42" s="39"/>
      <c r="AN42" s="39"/>
      <c r="AO42" s="39"/>
    </row>
    <row r="43" spans="1:41" ht="15" customHeight="1">
      <c r="A43" s="39"/>
      <c r="B43" s="45">
        <f t="shared" si="0"/>
        <v>1961</v>
      </c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9"/>
      <c r="AL43" s="46"/>
      <c r="AM43" s="39"/>
      <c r="AN43" s="39"/>
      <c r="AO43" s="39"/>
    </row>
    <row r="44" spans="1:41" ht="15" customHeight="1">
      <c r="A44" s="39"/>
      <c r="B44" s="45">
        <f t="shared" si="0"/>
        <v>1962</v>
      </c>
      <c r="C44" s="67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9"/>
      <c r="AL44" s="46"/>
      <c r="AM44" s="39"/>
      <c r="AN44" s="39"/>
      <c r="AO44" s="39"/>
    </row>
    <row r="45" spans="1:41" ht="15" customHeight="1">
      <c r="A45" s="39"/>
      <c r="B45" s="45">
        <f t="shared" si="0"/>
        <v>1963</v>
      </c>
      <c r="C45" s="67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9"/>
      <c r="AL45" s="46"/>
      <c r="AM45" s="39"/>
      <c r="AN45" s="39"/>
      <c r="AO45" s="39"/>
    </row>
    <row r="46" spans="1:41" ht="15" customHeight="1">
      <c r="A46" s="39"/>
      <c r="B46" s="45">
        <f t="shared" si="0"/>
        <v>1964</v>
      </c>
      <c r="C46" s="67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9"/>
      <c r="AL46" s="46"/>
      <c r="AM46" s="39"/>
      <c r="AN46" s="39"/>
      <c r="AO46" s="39"/>
    </row>
    <row r="47" spans="1:41" ht="15" customHeight="1">
      <c r="A47" s="39"/>
      <c r="B47" s="45">
        <f t="shared" si="0"/>
        <v>1965</v>
      </c>
      <c r="C47" s="67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9"/>
      <c r="AL47" s="46"/>
      <c r="AM47" s="39"/>
      <c r="AN47" s="39"/>
      <c r="AO47" s="39"/>
    </row>
    <row r="48" spans="1:41" ht="15" customHeight="1">
      <c r="A48" s="39"/>
      <c r="B48" s="45">
        <f t="shared" si="0"/>
        <v>1966</v>
      </c>
      <c r="C48" s="67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9"/>
      <c r="AL48" s="46"/>
      <c r="AM48" s="39"/>
      <c r="AN48" s="39"/>
      <c r="AO48" s="39"/>
    </row>
    <row r="49" spans="1:41" ht="15" customHeight="1">
      <c r="A49" s="39"/>
      <c r="B49" s="45">
        <f t="shared" si="0"/>
        <v>1967</v>
      </c>
      <c r="C49" s="67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9"/>
      <c r="AL49" s="46"/>
      <c r="AM49" s="39"/>
      <c r="AN49" s="39"/>
      <c r="AO49" s="39"/>
    </row>
    <row r="50" spans="1:41" ht="15" customHeight="1">
      <c r="A50" s="39"/>
      <c r="B50" s="45">
        <f t="shared" si="0"/>
        <v>1968</v>
      </c>
      <c r="C50" s="67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9"/>
      <c r="AL50" s="46"/>
      <c r="AM50" s="39"/>
      <c r="AN50" s="39"/>
      <c r="AO50" s="39"/>
    </row>
    <row r="51" spans="1:41" ht="15" customHeight="1">
      <c r="A51" s="39"/>
      <c r="B51" s="45">
        <f t="shared" si="0"/>
        <v>1969</v>
      </c>
      <c r="C51" s="67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9"/>
      <c r="AL51" s="46"/>
      <c r="AM51" s="39"/>
      <c r="AN51" s="39"/>
      <c r="AO51" s="39"/>
    </row>
    <row r="52" spans="1:41" ht="15" customHeight="1">
      <c r="A52" s="39"/>
      <c r="B52" s="45">
        <f t="shared" si="0"/>
        <v>1970</v>
      </c>
      <c r="C52" s="67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9"/>
      <c r="AL52" s="46"/>
      <c r="AM52" s="39"/>
      <c r="AN52" s="39"/>
      <c r="AO52" s="39"/>
    </row>
    <row r="53" spans="1:41" ht="15" customHeight="1">
      <c r="A53" s="39"/>
      <c r="B53" s="45">
        <f t="shared" si="0"/>
        <v>1971</v>
      </c>
      <c r="C53" s="67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9"/>
      <c r="AL53" s="46"/>
      <c r="AM53" s="39"/>
      <c r="AN53" s="39"/>
      <c r="AO53" s="39"/>
    </row>
    <row r="54" spans="1:41" ht="15" customHeight="1">
      <c r="A54" s="39"/>
      <c r="B54" s="45">
        <f t="shared" si="0"/>
        <v>1972</v>
      </c>
      <c r="C54" s="67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9"/>
      <c r="AL54" s="46"/>
      <c r="AM54" s="39"/>
      <c r="AN54" s="39"/>
      <c r="AO54" s="39"/>
    </row>
    <row r="55" spans="1:41" ht="15" customHeight="1">
      <c r="A55" s="39"/>
      <c r="B55" s="45">
        <f t="shared" si="0"/>
        <v>1973</v>
      </c>
      <c r="C55" s="67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9"/>
      <c r="AL55" s="46"/>
      <c r="AM55" s="39"/>
      <c r="AN55" s="39"/>
      <c r="AO55" s="39"/>
    </row>
    <row r="56" spans="1:41" ht="15" customHeight="1">
      <c r="A56" s="39"/>
      <c r="B56" s="45">
        <f t="shared" si="0"/>
        <v>1974</v>
      </c>
      <c r="C56" s="67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9"/>
      <c r="AL56" s="46"/>
      <c r="AM56" s="39"/>
      <c r="AN56" s="39"/>
      <c r="AO56" s="39"/>
    </row>
    <row r="57" spans="1:41" ht="15" customHeight="1">
      <c r="A57" s="39"/>
      <c r="B57" s="45">
        <f t="shared" si="0"/>
        <v>1975</v>
      </c>
      <c r="C57" s="67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9"/>
      <c r="AL57" s="46"/>
      <c r="AM57" s="39"/>
      <c r="AN57" s="39"/>
      <c r="AO57" s="39"/>
    </row>
    <row r="58" spans="1:41" ht="15" customHeight="1">
      <c r="A58" s="39"/>
      <c r="B58" s="45">
        <f t="shared" si="0"/>
        <v>1976</v>
      </c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9"/>
      <c r="AL58" s="46"/>
      <c r="AM58" s="39"/>
      <c r="AN58" s="39"/>
      <c r="AO58" s="39"/>
    </row>
    <row r="59" spans="1:41" ht="15" customHeight="1">
      <c r="A59" s="39"/>
      <c r="B59" s="45">
        <f t="shared" si="0"/>
        <v>1977</v>
      </c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9"/>
      <c r="AL59" s="46"/>
      <c r="AM59" s="39"/>
      <c r="AN59" s="39"/>
      <c r="AO59" s="39"/>
    </row>
    <row r="60" spans="1:41" ht="15" customHeight="1">
      <c r="A60" s="39"/>
      <c r="B60" s="45">
        <f t="shared" si="0"/>
        <v>1978</v>
      </c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9"/>
      <c r="AL60" s="46"/>
      <c r="AM60" s="39"/>
      <c r="AN60" s="39"/>
      <c r="AO60" s="39"/>
    </row>
    <row r="61" spans="1:41" ht="15" customHeight="1">
      <c r="A61" s="39"/>
      <c r="B61" s="45">
        <f t="shared" si="0"/>
        <v>1979</v>
      </c>
      <c r="C61" s="67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9"/>
      <c r="AL61" s="46"/>
      <c r="AM61" s="39"/>
      <c r="AN61" s="39"/>
      <c r="AO61" s="39"/>
    </row>
    <row r="62" spans="1:41" ht="15" customHeight="1">
      <c r="A62" s="39"/>
      <c r="B62" s="45">
        <f t="shared" si="0"/>
        <v>1980</v>
      </c>
      <c r="C62" s="67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9"/>
      <c r="AL62" s="46"/>
      <c r="AM62" s="39"/>
      <c r="AN62" s="39"/>
      <c r="AO62" s="39"/>
    </row>
    <row r="63" spans="1:41" ht="15" customHeight="1">
      <c r="A63" s="39"/>
      <c r="B63" s="45" t="str">
        <f t="shared" si="0"/>
        <v/>
      </c>
      <c r="C63" s="67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9"/>
      <c r="AL63" s="46"/>
      <c r="AM63" s="39"/>
      <c r="AN63" s="39"/>
      <c r="AO63" s="39"/>
    </row>
    <row r="64" spans="1:41" ht="15" customHeight="1">
      <c r="A64" s="39"/>
      <c r="B64" s="45" t="str">
        <f t="shared" si="0"/>
        <v/>
      </c>
      <c r="C64" s="67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9"/>
      <c r="AL64" s="46"/>
      <c r="AM64" s="39"/>
      <c r="AN64" s="39"/>
      <c r="AO64" s="39"/>
    </row>
    <row r="65" spans="1:41" ht="15" customHeight="1">
      <c r="A65" s="39"/>
      <c r="B65" s="45" t="str">
        <f t="shared" si="0"/>
        <v/>
      </c>
      <c r="C65" s="67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9"/>
      <c r="AL65" s="46"/>
      <c r="AM65" s="39"/>
      <c r="AN65" s="39"/>
      <c r="AO65" s="39"/>
    </row>
    <row r="66" spans="1:41" ht="15" customHeight="1">
      <c r="A66" s="39"/>
      <c r="B66" s="45" t="str">
        <f t="shared" si="0"/>
        <v/>
      </c>
      <c r="C66" s="67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9"/>
      <c r="AL66" s="46"/>
      <c r="AM66" s="39"/>
      <c r="AN66" s="39"/>
      <c r="AO66" s="39"/>
    </row>
    <row r="67" spans="1:41" ht="15" customHeight="1">
      <c r="A67" s="39"/>
      <c r="B67" s="45" t="str">
        <f t="shared" si="0"/>
        <v/>
      </c>
      <c r="C67" s="67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9"/>
      <c r="AL67" s="46"/>
      <c r="AM67" s="39"/>
      <c r="AN67" s="39"/>
      <c r="AO67" s="39"/>
    </row>
    <row r="68" spans="1:41" ht="15" customHeight="1">
      <c r="A68" s="39"/>
      <c r="B68" s="45" t="str">
        <f t="shared" si="0"/>
        <v/>
      </c>
      <c r="C68" s="67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9"/>
      <c r="AL68" s="46"/>
      <c r="AM68" s="39"/>
      <c r="AN68" s="39"/>
      <c r="AO68" s="39"/>
    </row>
    <row r="69" spans="1:41" ht="15" customHeight="1">
      <c r="A69" s="39"/>
      <c r="B69" s="45" t="str">
        <f t="shared" si="0"/>
        <v/>
      </c>
      <c r="C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9"/>
      <c r="AL69" s="46"/>
      <c r="AM69" s="39"/>
      <c r="AN69" s="39"/>
      <c r="AO69" s="39"/>
    </row>
    <row r="70" spans="1:41" ht="15" customHeight="1">
      <c r="A70" s="39"/>
      <c r="B70" s="45" t="str">
        <f t="shared" si="0"/>
        <v/>
      </c>
      <c r="C70" s="67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9"/>
      <c r="AL70" s="46"/>
      <c r="AM70" s="39"/>
      <c r="AN70" s="39"/>
      <c r="AO70" s="39"/>
    </row>
    <row r="71" spans="1:41" ht="15" customHeight="1">
      <c r="A71" s="39"/>
      <c r="B71" s="45" t="str">
        <f t="shared" si="0"/>
        <v/>
      </c>
      <c r="C71" s="67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9"/>
      <c r="AL71" s="46"/>
      <c r="AM71" s="39"/>
      <c r="AN71" s="39"/>
      <c r="AO71" s="39"/>
    </row>
    <row r="72" spans="1:41" ht="15" customHeight="1">
      <c r="A72" s="39"/>
      <c r="B72" s="45" t="str">
        <f t="shared" si="0"/>
        <v/>
      </c>
      <c r="C72" s="67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9"/>
      <c r="AL72" s="46"/>
      <c r="AM72" s="39"/>
      <c r="AN72" s="39"/>
      <c r="AO72" s="39"/>
    </row>
    <row r="73" spans="1:41" ht="15" customHeight="1">
      <c r="A73" s="39"/>
      <c r="B73" s="45" t="str">
        <f t="shared" si="0"/>
        <v/>
      </c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9"/>
      <c r="AL73" s="46"/>
      <c r="AM73" s="39"/>
      <c r="AN73" s="39"/>
      <c r="AO73" s="39"/>
    </row>
    <row r="74" spans="1:41" ht="15" customHeight="1">
      <c r="A74" s="39"/>
      <c r="B74" s="45" t="str">
        <f t="shared" si="0"/>
        <v/>
      </c>
      <c r="C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9"/>
      <c r="AL74" s="46"/>
      <c r="AM74" s="39"/>
      <c r="AN74" s="39"/>
      <c r="AO74" s="39"/>
    </row>
    <row r="75" spans="1:41" ht="15" customHeight="1">
      <c r="A75" s="39"/>
      <c r="B75" s="45" t="str">
        <f t="shared" si="0"/>
        <v/>
      </c>
      <c r="C75" s="67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9"/>
      <c r="AL75" s="46"/>
      <c r="AM75" s="39"/>
      <c r="AN75" s="39"/>
      <c r="AO75" s="39"/>
    </row>
    <row r="76" spans="1:41" ht="15" customHeight="1">
      <c r="A76" s="39"/>
      <c r="B76" s="45" t="str">
        <f t="shared" ref="B76:B139" si="1">IF(Start_year+ROW(B78)-ROW($B$14)&gt;End_year,"",Start_year+ROW(B78)-ROW($B$14))</f>
        <v/>
      </c>
      <c r="C76" s="67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9"/>
      <c r="AL76" s="46"/>
      <c r="AM76" s="39"/>
      <c r="AN76" s="39"/>
      <c r="AO76" s="39"/>
    </row>
    <row r="77" spans="1:41" ht="15" customHeight="1">
      <c r="A77" s="39"/>
      <c r="B77" s="45" t="str">
        <f t="shared" si="1"/>
        <v/>
      </c>
      <c r="C77" s="67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9"/>
      <c r="AL77" s="46"/>
      <c r="AM77" s="39"/>
      <c r="AN77" s="39"/>
      <c r="AO77" s="39"/>
    </row>
    <row r="78" spans="1:41" ht="15" customHeight="1">
      <c r="A78" s="39"/>
      <c r="B78" s="45" t="str">
        <f t="shared" si="1"/>
        <v/>
      </c>
      <c r="C78" s="67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9"/>
      <c r="AL78" s="46"/>
      <c r="AM78" s="39"/>
      <c r="AN78" s="39"/>
      <c r="AO78" s="39"/>
    </row>
    <row r="79" spans="1:41" ht="15" customHeight="1">
      <c r="A79" s="39"/>
      <c r="B79" s="45" t="str">
        <f t="shared" si="1"/>
        <v/>
      </c>
      <c r="C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9"/>
      <c r="AL79" s="46"/>
      <c r="AM79" s="39"/>
      <c r="AN79" s="39"/>
      <c r="AO79" s="39"/>
    </row>
    <row r="80" spans="1:41" ht="15" customHeight="1">
      <c r="A80" s="39"/>
      <c r="B80" s="45" t="str">
        <f t="shared" si="1"/>
        <v/>
      </c>
      <c r="C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9"/>
      <c r="AL80" s="46"/>
      <c r="AM80" s="39"/>
      <c r="AN80" s="39"/>
      <c r="AO80" s="39"/>
    </row>
    <row r="81" spans="1:41" ht="15" customHeight="1">
      <c r="A81" s="39"/>
      <c r="B81" s="45" t="str">
        <f t="shared" si="1"/>
        <v/>
      </c>
      <c r="C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9"/>
      <c r="AL81" s="46"/>
      <c r="AM81" s="39"/>
      <c r="AN81" s="39"/>
      <c r="AO81" s="39"/>
    </row>
    <row r="82" spans="1:41" ht="15" customHeight="1">
      <c r="A82" s="39"/>
      <c r="B82" s="45" t="str">
        <f t="shared" si="1"/>
        <v/>
      </c>
      <c r="C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9"/>
      <c r="AL82" s="46"/>
      <c r="AM82" s="39"/>
      <c r="AN82" s="39"/>
      <c r="AO82" s="39"/>
    </row>
    <row r="83" spans="1:41" ht="15" customHeight="1">
      <c r="A83" s="39"/>
      <c r="B83" s="45" t="str">
        <f t="shared" si="1"/>
        <v/>
      </c>
      <c r="C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9"/>
      <c r="AL83" s="46"/>
      <c r="AM83" s="39"/>
      <c r="AN83" s="39"/>
      <c r="AO83" s="39"/>
    </row>
    <row r="84" spans="1:41" ht="15" customHeight="1">
      <c r="A84" s="39"/>
      <c r="B84" s="45" t="str">
        <f t="shared" si="1"/>
        <v/>
      </c>
      <c r="C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9"/>
      <c r="AL84" s="46"/>
      <c r="AM84" s="39"/>
      <c r="AN84" s="39"/>
      <c r="AO84" s="39"/>
    </row>
    <row r="85" spans="1:41" ht="15" customHeight="1">
      <c r="A85" s="39"/>
      <c r="B85" s="45" t="str">
        <f t="shared" si="1"/>
        <v/>
      </c>
      <c r="C85" s="67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9"/>
      <c r="AL85" s="46"/>
      <c r="AM85" s="39"/>
      <c r="AN85" s="39"/>
      <c r="AO85" s="39"/>
    </row>
    <row r="86" spans="1:41" ht="15" customHeight="1">
      <c r="A86" s="39"/>
      <c r="B86" s="45" t="str">
        <f t="shared" si="1"/>
        <v/>
      </c>
      <c r="C86" s="67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9"/>
      <c r="AL86" s="46"/>
      <c r="AM86" s="39"/>
      <c r="AN86" s="39"/>
      <c r="AO86" s="39"/>
    </row>
    <row r="87" spans="1:41" ht="15" customHeight="1">
      <c r="A87" s="39"/>
      <c r="B87" s="45" t="str">
        <f t="shared" si="1"/>
        <v/>
      </c>
      <c r="C87" s="67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9"/>
      <c r="AL87" s="46"/>
      <c r="AM87" s="39"/>
      <c r="AN87" s="39"/>
      <c r="AO87" s="39"/>
    </row>
    <row r="88" spans="1:41" ht="15" customHeight="1">
      <c r="A88" s="39"/>
      <c r="B88" s="45" t="str">
        <f t="shared" si="1"/>
        <v/>
      </c>
      <c r="C88" s="67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9"/>
      <c r="AL88" s="46"/>
      <c r="AM88" s="39"/>
      <c r="AN88" s="39"/>
      <c r="AO88" s="39"/>
    </row>
    <row r="89" spans="1:41" ht="15" customHeight="1">
      <c r="A89" s="39"/>
      <c r="B89" s="45" t="str">
        <f t="shared" si="1"/>
        <v/>
      </c>
      <c r="C89" s="67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9"/>
      <c r="AL89" s="46"/>
      <c r="AM89" s="39"/>
      <c r="AN89" s="39"/>
      <c r="AO89" s="39"/>
    </row>
    <row r="90" spans="1:41" ht="15" customHeight="1">
      <c r="A90" s="39"/>
      <c r="B90" s="45" t="str">
        <f t="shared" si="1"/>
        <v/>
      </c>
      <c r="C90" s="67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9"/>
      <c r="AL90" s="46"/>
      <c r="AM90" s="39"/>
      <c r="AN90" s="39"/>
      <c r="AO90" s="39"/>
    </row>
    <row r="91" spans="1:41" ht="15" customHeight="1">
      <c r="A91" s="39"/>
      <c r="B91" s="45" t="str">
        <f t="shared" si="1"/>
        <v/>
      </c>
      <c r="C91" s="67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9"/>
      <c r="AL91" s="46"/>
      <c r="AM91" s="39"/>
      <c r="AN91" s="39"/>
      <c r="AO91" s="39"/>
    </row>
    <row r="92" spans="1:41" ht="15" customHeight="1">
      <c r="A92" s="39"/>
      <c r="B92" s="45" t="str">
        <f t="shared" si="1"/>
        <v/>
      </c>
      <c r="C92" s="67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9"/>
      <c r="AL92" s="46"/>
      <c r="AM92" s="39"/>
      <c r="AN92" s="39"/>
      <c r="AO92" s="39"/>
    </row>
    <row r="93" spans="1:41" ht="15" customHeight="1">
      <c r="A93" s="39"/>
      <c r="B93" s="45" t="str">
        <f t="shared" si="1"/>
        <v/>
      </c>
      <c r="C93" s="67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9"/>
      <c r="AL93" s="46"/>
      <c r="AM93" s="39"/>
      <c r="AN93" s="39"/>
      <c r="AO93" s="39"/>
    </row>
    <row r="94" spans="1:41" ht="15" customHeight="1">
      <c r="A94" s="39"/>
      <c r="B94" s="45" t="str">
        <f t="shared" si="1"/>
        <v/>
      </c>
      <c r="C94" s="67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9"/>
      <c r="AL94" s="46"/>
      <c r="AM94" s="39"/>
      <c r="AN94" s="39"/>
      <c r="AO94" s="39"/>
    </row>
    <row r="95" spans="1:41" ht="15" customHeight="1">
      <c r="A95" s="39"/>
      <c r="B95" s="45" t="str">
        <f t="shared" si="1"/>
        <v/>
      </c>
      <c r="C95" s="67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9"/>
      <c r="AL95" s="46"/>
      <c r="AM95" s="39"/>
      <c r="AN95" s="39"/>
      <c r="AO95" s="39"/>
    </row>
    <row r="96" spans="1:41" ht="15" customHeight="1">
      <c r="A96" s="39"/>
      <c r="B96" s="45" t="str">
        <f t="shared" si="1"/>
        <v/>
      </c>
      <c r="C96" s="67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9"/>
      <c r="AL96" s="46"/>
      <c r="AM96" s="39"/>
      <c r="AN96" s="39"/>
      <c r="AO96" s="39"/>
    </row>
    <row r="97" spans="1:41" ht="15" customHeight="1">
      <c r="A97" s="39"/>
      <c r="B97" s="45" t="str">
        <f t="shared" si="1"/>
        <v/>
      </c>
      <c r="C97" s="67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9"/>
      <c r="AL97" s="46"/>
      <c r="AM97" s="39"/>
      <c r="AN97" s="39"/>
      <c r="AO97" s="39"/>
    </row>
    <row r="98" spans="1:41" ht="15" customHeight="1">
      <c r="A98" s="39"/>
      <c r="B98" s="45" t="str">
        <f t="shared" si="1"/>
        <v/>
      </c>
      <c r="C98" s="67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9"/>
      <c r="AL98" s="46"/>
      <c r="AM98" s="39"/>
      <c r="AN98" s="39"/>
      <c r="AO98" s="39"/>
    </row>
    <row r="99" spans="1:41" ht="15" customHeight="1">
      <c r="A99" s="39"/>
      <c r="B99" s="45" t="str">
        <f t="shared" si="1"/>
        <v/>
      </c>
      <c r="C99" s="67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9"/>
      <c r="AL99" s="46"/>
      <c r="AM99" s="39"/>
      <c r="AN99" s="39"/>
      <c r="AO99" s="39"/>
    </row>
    <row r="100" spans="1:41" ht="15" customHeight="1">
      <c r="A100" s="39"/>
      <c r="B100" s="45" t="str">
        <f t="shared" si="1"/>
        <v/>
      </c>
      <c r="C100" s="67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9"/>
      <c r="AL100" s="46"/>
      <c r="AM100" s="39"/>
      <c r="AN100" s="39"/>
      <c r="AO100" s="39"/>
    </row>
    <row r="101" spans="1:41" ht="15" customHeight="1">
      <c r="A101" s="39"/>
      <c r="B101" s="45" t="str">
        <f t="shared" si="1"/>
        <v/>
      </c>
      <c r="C101" s="67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9"/>
      <c r="AL101" s="46"/>
      <c r="AM101" s="39"/>
      <c r="AN101" s="39"/>
      <c r="AO101" s="39"/>
    </row>
    <row r="102" spans="1:41" ht="15" customHeight="1">
      <c r="A102" s="39"/>
      <c r="B102" s="45" t="str">
        <f t="shared" si="1"/>
        <v/>
      </c>
      <c r="C102" s="67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9"/>
      <c r="AL102" s="46"/>
      <c r="AM102" s="39"/>
      <c r="AN102" s="39"/>
      <c r="AO102" s="39"/>
    </row>
    <row r="103" spans="1:41" ht="15" customHeight="1">
      <c r="A103" s="39"/>
      <c r="B103" s="45" t="str">
        <f t="shared" si="1"/>
        <v/>
      </c>
      <c r="C103" s="67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9"/>
      <c r="AL103" s="46"/>
      <c r="AM103" s="39"/>
      <c r="AN103" s="39"/>
      <c r="AO103" s="39"/>
    </row>
    <row r="104" spans="1:41" ht="15" customHeight="1">
      <c r="A104" s="39"/>
      <c r="B104" s="45" t="str">
        <f t="shared" si="1"/>
        <v/>
      </c>
      <c r="C104" s="67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9"/>
      <c r="AL104" s="46"/>
      <c r="AM104" s="39"/>
      <c r="AN104" s="39"/>
      <c r="AO104" s="39"/>
    </row>
    <row r="105" spans="1:41" ht="15" customHeight="1">
      <c r="A105" s="39"/>
      <c r="B105" s="45" t="str">
        <f t="shared" si="1"/>
        <v/>
      </c>
      <c r="C105" s="67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9"/>
      <c r="AL105" s="46"/>
      <c r="AM105" s="39"/>
      <c r="AN105" s="39"/>
      <c r="AO105" s="39"/>
    </row>
    <row r="106" spans="1:41" ht="15" customHeight="1">
      <c r="A106" s="39"/>
      <c r="B106" s="45" t="str">
        <f t="shared" si="1"/>
        <v/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9"/>
      <c r="AL106" s="46"/>
      <c r="AM106" s="39"/>
      <c r="AN106" s="39"/>
      <c r="AO106" s="39"/>
    </row>
    <row r="107" spans="1:41" ht="15" customHeight="1">
      <c r="A107" s="39"/>
      <c r="B107" s="45" t="str">
        <f t="shared" si="1"/>
        <v/>
      </c>
      <c r="C107" s="67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9"/>
      <c r="AL107" s="46"/>
      <c r="AM107" s="39"/>
      <c r="AN107" s="39"/>
      <c r="AO107" s="39"/>
    </row>
    <row r="108" spans="1:41" ht="15" customHeight="1">
      <c r="A108" s="39"/>
      <c r="B108" s="45" t="str">
        <f t="shared" si="1"/>
        <v/>
      </c>
      <c r="C108" s="67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9"/>
      <c r="AL108" s="46"/>
      <c r="AM108" s="39"/>
      <c r="AN108" s="39"/>
      <c r="AO108" s="39"/>
    </row>
    <row r="109" spans="1:41" ht="15" customHeight="1">
      <c r="A109" s="39"/>
      <c r="B109" s="45" t="str">
        <f t="shared" si="1"/>
        <v/>
      </c>
      <c r="C109" s="67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9"/>
      <c r="AL109" s="46"/>
      <c r="AM109" s="39"/>
      <c r="AN109" s="39"/>
      <c r="AO109" s="39"/>
    </row>
    <row r="110" spans="1:41" ht="15" customHeight="1">
      <c r="A110" s="39"/>
      <c r="B110" s="45" t="str">
        <f t="shared" si="1"/>
        <v/>
      </c>
      <c r="C110" s="67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9"/>
      <c r="AL110" s="46"/>
      <c r="AM110" s="39"/>
      <c r="AN110" s="39"/>
      <c r="AO110" s="39"/>
    </row>
    <row r="111" spans="1:41" ht="15" customHeight="1">
      <c r="A111" s="39"/>
      <c r="B111" s="45" t="str">
        <f t="shared" si="1"/>
        <v/>
      </c>
      <c r="C111" s="67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9"/>
      <c r="AL111" s="46"/>
      <c r="AM111" s="39"/>
      <c r="AN111" s="39"/>
      <c r="AO111" s="39"/>
    </row>
    <row r="112" spans="1:41" ht="15" customHeight="1">
      <c r="A112" s="39"/>
      <c r="B112" s="45" t="str">
        <f t="shared" si="1"/>
        <v/>
      </c>
      <c r="C112" s="67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9"/>
      <c r="AL112" s="46"/>
      <c r="AM112" s="39"/>
      <c r="AN112" s="39"/>
      <c r="AO112" s="39"/>
    </row>
    <row r="113" spans="1:41" ht="15" customHeight="1">
      <c r="A113" s="39"/>
      <c r="B113" s="45" t="str">
        <f t="shared" si="1"/>
        <v/>
      </c>
      <c r="C113" s="67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9"/>
      <c r="AL113" s="46"/>
      <c r="AM113" s="39"/>
      <c r="AN113" s="39"/>
      <c r="AO113" s="39"/>
    </row>
    <row r="114" spans="1:41" ht="15" customHeight="1">
      <c r="A114" s="39"/>
      <c r="B114" s="45" t="str">
        <f t="shared" si="1"/>
        <v/>
      </c>
      <c r="C114" s="67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9"/>
      <c r="AL114" s="46"/>
      <c r="AM114" s="39"/>
      <c r="AN114" s="39"/>
      <c r="AO114" s="39"/>
    </row>
    <row r="115" spans="1:41" ht="15" customHeight="1">
      <c r="A115" s="39"/>
      <c r="B115" s="45" t="str">
        <f t="shared" si="1"/>
        <v/>
      </c>
      <c r="C115" s="67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9"/>
      <c r="AL115" s="46"/>
      <c r="AM115" s="39"/>
      <c r="AN115" s="39"/>
      <c r="AO115" s="39"/>
    </row>
    <row r="116" spans="1:41" ht="15" customHeight="1">
      <c r="A116" s="39"/>
      <c r="B116" s="45" t="str">
        <f t="shared" si="1"/>
        <v/>
      </c>
      <c r="C116" s="67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9"/>
      <c r="AL116" s="46"/>
      <c r="AM116" s="39"/>
      <c r="AN116" s="39"/>
      <c r="AO116" s="39"/>
    </row>
    <row r="117" spans="1:41" ht="15" customHeight="1">
      <c r="A117" s="39"/>
      <c r="B117" s="45" t="str">
        <f t="shared" si="1"/>
        <v/>
      </c>
      <c r="C117" s="67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9"/>
      <c r="AL117" s="46"/>
      <c r="AM117" s="39"/>
      <c r="AN117" s="39"/>
      <c r="AO117" s="39"/>
    </row>
    <row r="118" spans="1:41" ht="15" customHeight="1">
      <c r="A118" s="39"/>
      <c r="B118" s="45" t="str">
        <f t="shared" si="1"/>
        <v/>
      </c>
      <c r="C118" s="67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9"/>
      <c r="AL118" s="46"/>
      <c r="AM118" s="39"/>
      <c r="AN118" s="39"/>
      <c r="AO118" s="39"/>
    </row>
    <row r="119" spans="1:41" ht="15" customHeight="1">
      <c r="A119" s="39"/>
      <c r="B119" s="45" t="str">
        <f t="shared" si="1"/>
        <v/>
      </c>
      <c r="C119" s="67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9"/>
      <c r="AL119" s="46"/>
      <c r="AM119" s="39"/>
      <c r="AN119" s="39"/>
      <c r="AO119" s="39"/>
    </row>
    <row r="120" spans="1:41" ht="15" customHeight="1">
      <c r="A120" s="39"/>
      <c r="B120" s="45" t="str">
        <f t="shared" si="1"/>
        <v/>
      </c>
      <c r="C120" s="67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9"/>
      <c r="AL120" s="46"/>
      <c r="AM120" s="39"/>
      <c r="AN120" s="39"/>
      <c r="AO120" s="39"/>
    </row>
    <row r="121" spans="1:41" ht="15" customHeight="1">
      <c r="A121" s="39"/>
      <c r="B121" s="45" t="str">
        <f t="shared" si="1"/>
        <v/>
      </c>
      <c r="C121" s="67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9"/>
      <c r="AL121" s="46"/>
      <c r="AM121" s="39"/>
      <c r="AN121" s="39"/>
      <c r="AO121" s="39"/>
    </row>
    <row r="122" spans="1:41" ht="15" customHeight="1">
      <c r="A122" s="39"/>
      <c r="B122" s="45" t="str">
        <f t="shared" si="1"/>
        <v/>
      </c>
      <c r="C122" s="67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9"/>
      <c r="AL122" s="46"/>
      <c r="AM122" s="39"/>
      <c r="AN122" s="39"/>
      <c r="AO122" s="39"/>
    </row>
    <row r="123" spans="1:41" ht="15" customHeight="1">
      <c r="A123" s="39"/>
      <c r="B123" s="45" t="str">
        <f t="shared" si="1"/>
        <v/>
      </c>
      <c r="C123" s="67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9"/>
      <c r="AL123" s="46"/>
      <c r="AM123" s="39"/>
      <c r="AN123" s="39"/>
      <c r="AO123" s="39"/>
    </row>
    <row r="124" spans="1:41" ht="15" customHeight="1">
      <c r="A124" s="39"/>
      <c r="B124" s="45" t="str">
        <f t="shared" si="1"/>
        <v/>
      </c>
      <c r="C124" s="67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9"/>
      <c r="AL124" s="46"/>
      <c r="AM124" s="39"/>
      <c r="AN124" s="39"/>
      <c r="AO124" s="39"/>
    </row>
    <row r="125" spans="1:41" ht="15" customHeight="1">
      <c r="A125" s="39"/>
      <c r="B125" s="45" t="str">
        <f t="shared" si="1"/>
        <v/>
      </c>
      <c r="C125" s="67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9"/>
      <c r="AL125" s="46"/>
      <c r="AM125" s="39"/>
      <c r="AN125" s="39"/>
      <c r="AO125" s="39"/>
    </row>
    <row r="126" spans="1:41" ht="15" customHeight="1">
      <c r="A126" s="39"/>
      <c r="B126" s="45" t="str">
        <f t="shared" si="1"/>
        <v/>
      </c>
      <c r="C126" s="67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9"/>
      <c r="AL126" s="46"/>
      <c r="AM126" s="39"/>
      <c r="AN126" s="39"/>
      <c r="AO126" s="39"/>
    </row>
    <row r="127" spans="1:41" ht="15" customHeight="1">
      <c r="A127" s="39"/>
      <c r="B127" s="45" t="str">
        <f t="shared" si="1"/>
        <v/>
      </c>
      <c r="C127" s="67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9"/>
      <c r="AL127" s="46"/>
      <c r="AM127" s="39"/>
      <c r="AN127" s="39"/>
      <c r="AO127" s="39"/>
    </row>
    <row r="128" spans="1:41" ht="15" customHeight="1">
      <c r="A128" s="39"/>
      <c r="B128" s="45" t="str">
        <f t="shared" si="1"/>
        <v/>
      </c>
      <c r="C128" s="67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9"/>
      <c r="AL128" s="46"/>
      <c r="AM128" s="39"/>
      <c r="AN128" s="39"/>
      <c r="AO128" s="39"/>
    </row>
    <row r="129" spans="1:41" ht="15" customHeight="1">
      <c r="A129" s="39"/>
      <c r="B129" s="45" t="str">
        <f t="shared" si="1"/>
        <v/>
      </c>
      <c r="C129" s="67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9"/>
      <c r="AL129" s="46"/>
      <c r="AM129" s="39"/>
      <c r="AN129" s="39"/>
      <c r="AO129" s="39"/>
    </row>
    <row r="130" spans="1:41" ht="15" customHeight="1">
      <c r="A130" s="39"/>
      <c r="B130" s="45" t="str">
        <f t="shared" si="1"/>
        <v/>
      </c>
      <c r="C130" s="67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9"/>
      <c r="AL130" s="46"/>
      <c r="AM130" s="39"/>
      <c r="AN130" s="39"/>
      <c r="AO130" s="39"/>
    </row>
    <row r="131" spans="1:41" ht="15" customHeight="1">
      <c r="A131" s="39"/>
      <c r="B131" s="45" t="str">
        <f t="shared" si="1"/>
        <v/>
      </c>
      <c r="C131" s="67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9"/>
      <c r="AL131" s="46"/>
      <c r="AM131" s="39"/>
      <c r="AN131" s="39"/>
      <c r="AO131" s="39"/>
    </row>
    <row r="132" spans="1:41" ht="15" customHeight="1">
      <c r="A132" s="39"/>
      <c r="B132" s="45" t="str">
        <f t="shared" si="1"/>
        <v/>
      </c>
      <c r="C132" s="67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9"/>
      <c r="AL132" s="46"/>
      <c r="AM132" s="39"/>
      <c r="AN132" s="39"/>
      <c r="AO132" s="39"/>
    </row>
    <row r="133" spans="1:41" ht="15" customHeight="1">
      <c r="A133" s="39"/>
      <c r="B133" s="45" t="str">
        <f t="shared" si="1"/>
        <v/>
      </c>
      <c r="C133" s="67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9"/>
      <c r="AL133" s="46"/>
      <c r="AM133" s="39"/>
      <c r="AN133" s="39"/>
      <c r="AO133" s="39"/>
    </row>
    <row r="134" spans="1:41" ht="15" customHeight="1">
      <c r="A134" s="39"/>
      <c r="B134" s="45" t="str">
        <f t="shared" si="1"/>
        <v/>
      </c>
      <c r="C134" s="67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9"/>
      <c r="AL134" s="46"/>
      <c r="AM134" s="39"/>
      <c r="AN134" s="39"/>
      <c r="AO134" s="39"/>
    </row>
    <row r="135" spans="1:41" ht="15" customHeight="1">
      <c r="A135" s="39"/>
      <c r="B135" s="45" t="str">
        <f t="shared" si="1"/>
        <v/>
      </c>
      <c r="C135" s="67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9"/>
      <c r="AL135" s="46"/>
      <c r="AM135" s="39"/>
      <c r="AN135" s="39"/>
      <c r="AO135" s="39"/>
    </row>
    <row r="136" spans="1:41" ht="15" customHeight="1">
      <c r="A136" s="39"/>
      <c r="B136" s="45" t="str">
        <f t="shared" si="1"/>
        <v/>
      </c>
      <c r="C136" s="67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9"/>
      <c r="AL136" s="46"/>
      <c r="AM136" s="39"/>
      <c r="AN136" s="39"/>
      <c r="AO136" s="39"/>
    </row>
    <row r="137" spans="1:41" ht="15" customHeight="1">
      <c r="A137" s="39"/>
      <c r="B137" s="45" t="str">
        <f t="shared" si="1"/>
        <v/>
      </c>
      <c r="C137" s="6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9"/>
      <c r="AL137" s="46"/>
      <c r="AM137" s="39"/>
      <c r="AN137" s="39"/>
      <c r="AO137" s="39"/>
    </row>
    <row r="138" spans="1:41" ht="15" customHeight="1">
      <c r="A138" s="39"/>
      <c r="B138" s="45" t="str">
        <f t="shared" si="1"/>
        <v/>
      </c>
      <c r="C138" s="67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9"/>
      <c r="AL138" s="46"/>
      <c r="AM138" s="39"/>
      <c r="AN138" s="39"/>
      <c r="AO138" s="39"/>
    </row>
    <row r="139" spans="1:41" ht="15" customHeight="1">
      <c r="A139" s="39"/>
      <c r="B139" s="45" t="str">
        <f t="shared" si="1"/>
        <v/>
      </c>
      <c r="C139" s="67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9"/>
      <c r="AL139" s="46"/>
      <c r="AM139" s="39"/>
      <c r="AN139" s="39"/>
      <c r="AO139" s="39"/>
    </row>
    <row r="140" spans="1:41" ht="15" customHeight="1">
      <c r="A140" s="39"/>
      <c r="B140" s="45" t="str">
        <f t="shared" ref="B140:B203" si="2">IF(Start_year+ROW(B142)-ROW($B$14)&gt;End_year,"",Start_year+ROW(B142)-ROW($B$14))</f>
        <v/>
      </c>
      <c r="C140" s="67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9"/>
      <c r="AL140" s="46"/>
      <c r="AM140" s="39"/>
      <c r="AN140" s="39"/>
      <c r="AO140" s="39"/>
    </row>
    <row r="141" spans="1:41" ht="15" customHeight="1">
      <c r="A141" s="39"/>
      <c r="B141" s="45" t="str">
        <f t="shared" si="2"/>
        <v/>
      </c>
      <c r="C141" s="67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9"/>
      <c r="AL141" s="46"/>
      <c r="AM141" s="39"/>
      <c r="AN141" s="39"/>
      <c r="AO141" s="39"/>
    </row>
    <row r="142" spans="1:41" ht="15" customHeight="1">
      <c r="A142" s="39"/>
      <c r="B142" s="45" t="str">
        <f t="shared" si="2"/>
        <v/>
      </c>
      <c r="C142" s="67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9"/>
      <c r="AL142" s="46"/>
      <c r="AM142" s="39"/>
      <c r="AN142" s="39"/>
      <c r="AO142" s="39"/>
    </row>
    <row r="143" spans="1:41" ht="15" customHeight="1">
      <c r="A143" s="39"/>
      <c r="B143" s="45" t="str">
        <f t="shared" si="2"/>
        <v/>
      </c>
      <c r="C143" s="67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9"/>
      <c r="AL143" s="46"/>
      <c r="AM143" s="39"/>
      <c r="AN143" s="39"/>
      <c r="AO143" s="39"/>
    </row>
    <row r="144" spans="1:41" ht="15" customHeight="1">
      <c r="A144" s="39"/>
      <c r="B144" s="45" t="str">
        <f t="shared" si="2"/>
        <v/>
      </c>
      <c r="C144" s="67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9"/>
      <c r="AL144" s="46"/>
      <c r="AM144" s="39"/>
      <c r="AN144" s="39"/>
      <c r="AO144" s="39"/>
    </row>
    <row r="145" spans="1:41" ht="15" customHeight="1">
      <c r="A145" s="39"/>
      <c r="B145" s="45" t="str">
        <f t="shared" si="2"/>
        <v/>
      </c>
      <c r="C145" s="67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9"/>
      <c r="AL145" s="46"/>
      <c r="AM145" s="39"/>
      <c r="AN145" s="39"/>
      <c r="AO145" s="39"/>
    </row>
    <row r="146" spans="1:41" ht="15" customHeight="1">
      <c r="A146" s="39"/>
      <c r="B146" s="45" t="str">
        <f t="shared" si="2"/>
        <v/>
      </c>
      <c r="C146" s="67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9"/>
      <c r="AL146" s="46"/>
      <c r="AM146" s="39"/>
      <c r="AN146" s="39"/>
      <c r="AO146" s="39"/>
    </row>
    <row r="147" spans="1:41" ht="15" customHeight="1">
      <c r="A147" s="39"/>
      <c r="B147" s="45" t="str">
        <f t="shared" si="2"/>
        <v/>
      </c>
      <c r="C147" s="67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9"/>
      <c r="AL147" s="46"/>
      <c r="AM147" s="39"/>
      <c r="AN147" s="39"/>
      <c r="AO147" s="39"/>
    </row>
    <row r="148" spans="1:41" ht="15" customHeight="1">
      <c r="A148" s="39"/>
      <c r="B148" s="45" t="str">
        <f t="shared" si="2"/>
        <v/>
      </c>
      <c r="C148" s="67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9"/>
      <c r="AL148" s="46"/>
      <c r="AM148" s="39"/>
      <c r="AN148" s="39"/>
      <c r="AO148" s="39"/>
    </row>
    <row r="149" spans="1:41" ht="15" customHeight="1">
      <c r="A149" s="39"/>
      <c r="B149" s="45" t="str">
        <f t="shared" si="2"/>
        <v/>
      </c>
      <c r="C149" s="67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9"/>
      <c r="AL149" s="46"/>
      <c r="AM149" s="39"/>
      <c r="AN149" s="39"/>
      <c r="AO149" s="39"/>
    </row>
    <row r="150" spans="1:41" ht="15" customHeight="1">
      <c r="A150" s="39"/>
      <c r="B150" s="45" t="str">
        <f t="shared" si="2"/>
        <v/>
      </c>
      <c r="C150" s="67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9"/>
      <c r="AL150" s="46"/>
      <c r="AM150" s="39"/>
      <c r="AN150" s="39"/>
      <c r="AO150" s="39"/>
    </row>
    <row r="151" spans="1:41" ht="15" customHeight="1">
      <c r="A151" s="39"/>
      <c r="B151" s="45" t="str">
        <f t="shared" si="2"/>
        <v/>
      </c>
      <c r="C151" s="67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9"/>
      <c r="AL151" s="46"/>
      <c r="AM151" s="39"/>
      <c r="AN151" s="39"/>
      <c r="AO151" s="39"/>
    </row>
    <row r="152" spans="1:41" ht="15" customHeight="1">
      <c r="A152" s="39"/>
      <c r="B152" s="45" t="str">
        <f t="shared" si="2"/>
        <v/>
      </c>
      <c r="C152" s="67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9"/>
      <c r="AL152" s="46"/>
      <c r="AM152" s="39"/>
      <c r="AN152" s="39"/>
      <c r="AO152" s="39"/>
    </row>
    <row r="153" spans="1:41" ht="15" customHeight="1">
      <c r="A153" s="39"/>
      <c r="B153" s="45" t="str">
        <f t="shared" si="2"/>
        <v/>
      </c>
      <c r="C153" s="67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9"/>
      <c r="AL153" s="46"/>
      <c r="AM153" s="39"/>
      <c r="AN153" s="39"/>
      <c r="AO153" s="39"/>
    </row>
    <row r="154" spans="1:41" ht="15" customHeight="1">
      <c r="A154" s="39"/>
      <c r="B154" s="45" t="str">
        <f t="shared" si="2"/>
        <v/>
      </c>
      <c r="C154" s="67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9"/>
      <c r="AL154" s="46"/>
      <c r="AM154" s="39"/>
      <c r="AN154" s="39"/>
      <c r="AO154" s="39"/>
    </row>
    <row r="155" spans="1:41" ht="15" customHeight="1">
      <c r="A155" s="39"/>
      <c r="B155" s="45" t="str">
        <f t="shared" si="2"/>
        <v/>
      </c>
      <c r="C155" s="67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9"/>
      <c r="AL155" s="46"/>
      <c r="AM155" s="39"/>
      <c r="AN155" s="39"/>
      <c r="AO155" s="39"/>
    </row>
    <row r="156" spans="1:41" ht="15" customHeight="1">
      <c r="A156" s="39"/>
      <c r="B156" s="45" t="str">
        <f t="shared" si="2"/>
        <v/>
      </c>
      <c r="C156" s="67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9"/>
      <c r="AL156" s="46"/>
      <c r="AM156" s="39"/>
      <c r="AN156" s="39"/>
      <c r="AO156" s="39"/>
    </row>
    <row r="157" spans="1:41" ht="15" customHeight="1">
      <c r="A157" s="39"/>
      <c r="B157" s="45" t="str">
        <f t="shared" si="2"/>
        <v/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9"/>
      <c r="AL157" s="46"/>
      <c r="AM157" s="39"/>
      <c r="AN157" s="39"/>
      <c r="AO157" s="39"/>
    </row>
    <row r="158" spans="1:41" ht="15" customHeight="1">
      <c r="A158" s="39"/>
      <c r="B158" s="45" t="str">
        <f t="shared" si="2"/>
        <v/>
      </c>
      <c r="C158" s="67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9"/>
      <c r="AL158" s="46"/>
      <c r="AM158" s="39"/>
      <c r="AN158" s="39"/>
      <c r="AO158" s="39"/>
    </row>
    <row r="159" spans="1:41" ht="15" customHeight="1">
      <c r="A159" s="39"/>
      <c r="B159" s="45" t="str">
        <f t="shared" si="2"/>
        <v/>
      </c>
      <c r="C159" s="67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9"/>
      <c r="AL159" s="46"/>
      <c r="AM159" s="39"/>
      <c r="AN159" s="39"/>
      <c r="AO159" s="39"/>
    </row>
    <row r="160" spans="1:41" ht="15" customHeight="1">
      <c r="A160" s="39"/>
      <c r="B160" s="45" t="str">
        <f t="shared" si="2"/>
        <v/>
      </c>
      <c r="C160" s="67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9"/>
      <c r="AL160" s="46"/>
      <c r="AM160" s="39"/>
      <c r="AN160" s="39"/>
      <c r="AO160" s="39"/>
    </row>
    <row r="161" spans="1:41" ht="15" customHeight="1">
      <c r="A161" s="39"/>
      <c r="B161" s="45" t="str">
        <f t="shared" si="2"/>
        <v/>
      </c>
      <c r="C161" s="67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9"/>
      <c r="AL161" s="46"/>
      <c r="AM161" s="39"/>
      <c r="AN161" s="39"/>
      <c r="AO161" s="39"/>
    </row>
    <row r="162" spans="1:41" ht="15" customHeight="1">
      <c r="A162" s="39"/>
      <c r="B162" s="45" t="str">
        <f t="shared" si="2"/>
        <v/>
      </c>
      <c r="C162" s="67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9"/>
      <c r="AL162" s="46"/>
      <c r="AM162" s="39"/>
      <c r="AN162" s="39"/>
      <c r="AO162" s="39"/>
    </row>
    <row r="163" spans="1:41" ht="15" customHeight="1">
      <c r="A163" s="39"/>
      <c r="B163" s="45" t="str">
        <f t="shared" si="2"/>
        <v/>
      </c>
      <c r="C163" s="67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9"/>
      <c r="AL163" s="46"/>
      <c r="AM163" s="39"/>
      <c r="AN163" s="39"/>
      <c r="AO163" s="39"/>
    </row>
    <row r="164" spans="1:41" ht="15" customHeight="1">
      <c r="A164" s="39"/>
      <c r="B164" s="45" t="str">
        <f t="shared" si="2"/>
        <v/>
      </c>
      <c r="C164" s="67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9"/>
      <c r="AL164" s="46"/>
      <c r="AM164" s="39"/>
      <c r="AN164" s="39"/>
      <c r="AO164" s="39"/>
    </row>
    <row r="165" spans="1:41" ht="15" customHeight="1">
      <c r="A165" s="39"/>
      <c r="B165" s="45" t="str">
        <f t="shared" si="2"/>
        <v/>
      </c>
      <c r="C165" s="67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9"/>
      <c r="AL165" s="46"/>
      <c r="AM165" s="39"/>
      <c r="AN165" s="39"/>
      <c r="AO165" s="39"/>
    </row>
    <row r="166" spans="1:41" ht="15" customHeight="1">
      <c r="A166" s="39"/>
      <c r="B166" s="45" t="str">
        <f t="shared" si="2"/>
        <v/>
      </c>
      <c r="C166" s="67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9"/>
      <c r="AL166" s="46"/>
      <c r="AM166" s="39"/>
      <c r="AN166" s="39"/>
      <c r="AO166" s="39"/>
    </row>
    <row r="167" spans="1:41" ht="15" customHeight="1">
      <c r="A167" s="39"/>
      <c r="B167" s="45" t="str">
        <f t="shared" si="2"/>
        <v/>
      </c>
      <c r="C167" s="67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9"/>
      <c r="AL167" s="46"/>
      <c r="AM167" s="39"/>
      <c r="AN167" s="39"/>
      <c r="AO167" s="39"/>
    </row>
    <row r="168" spans="1:41" ht="15" customHeight="1">
      <c r="A168" s="39"/>
      <c r="B168" s="45" t="str">
        <f t="shared" si="2"/>
        <v/>
      </c>
      <c r="C168" s="67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9"/>
      <c r="AL168" s="46"/>
      <c r="AM168" s="39"/>
      <c r="AN168" s="39"/>
      <c r="AO168" s="39"/>
    </row>
    <row r="169" spans="1:41" ht="15" customHeight="1">
      <c r="A169" s="39"/>
      <c r="B169" s="45" t="str">
        <f t="shared" si="2"/>
        <v/>
      </c>
      <c r="C169" s="67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9"/>
      <c r="AL169" s="46"/>
      <c r="AM169" s="39"/>
      <c r="AN169" s="39"/>
      <c r="AO169" s="39"/>
    </row>
    <row r="170" spans="1:41" ht="15" customHeight="1">
      <c r="A170" s="39"/>
      <c r="B170" s="45" t="str">
        <f t="shared" si="2"/>
        <v/>
      </c>
      <c r="C170" s="67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9"/>
      <c r="AL170" s="46"/>
      <c r="AM170" s="39"/>
      <c r="AN170" s="39"/>
      <c r="AO170" s="39"/>
    </row>
    <row r="171" spans="1:41" ht="15" customHeight="1">
      <c r="A171" s="39"/>
      <c r="B171" s="45" t="str">
        <f t="shared" si="2"/>
        <v/>
      </c>
      <c r="C171" s="67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9"/>
      <c r="AL171" s="46"/>
      <c r="AM171" s="39"/>
      <c r="AN171" s="39"/>
      <c r="AO171" s="39"/>
    </row>
    <row r="172" spans="1:41" ht="15" customHeight="1">
      <c r="A172" s="39"/>
      <c r="B172" s="45" t="str">
        <f t="shared" si="2"/>
        <v/>
      </c>
      <c r="C172" s="67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9"/>
      <c r="AL172" s="46"/>
      <c r="AM172" s="39"/>
      <c r="AN172" s="39"/>
      <c r="AO172" s="39"/>
    </row>
    <row r="173" spans="1:41" ht="15" customHeight="1">
      <c r="A173" s="39"/>
      <c r="B173" s="45" t="str">
        <f t="shared" si="2"/>
        <v/>
      </c>
      <c r="C173" s="67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9"/>
      <c r="AL173" s="46"/>
      <c r="AM173" s="39"/>
      <c r="AN173" s="39"/>
      <c r="AO173" s="39"/>
    </row>
    <row r="174" spans="1:41" ht="15" customHeight="1">
      <c r="A174" s="39"/>
      <c r="B174" s="45" t="str">
        <f t="shared" si="2"/>
        <v/>
      </c>
      <c r="C174" s="67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9"/>
      <c r="AL174" s="46"/>
      <c r="AM174" s="39"/>
      <c r="AN174" s="39"/>
      <c r="AO174" s="39"/>
    </row>
    <row r="175" spans="1:41" ht="15" customHeight="1">
      <c r="A175" s="39"/>
      <c r="B175" s="45" t="str">
        <f t="shared" si="2"/>
        <v/>
      </c>
      <c r="C175" s="67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9"/>
      <c r="AL175" s="46"/>
      <c r="AM175" s="39"/>
      <c r="AN175" s="39"/>
      <c r="AO175" s="39"/>
    </row>
    <row r="176" spans="1:41" ht="15" customHeight="1">
      <c r="A176" s="39"/>
      <c r="B176" s="45" t="str">
        <f t="shared" si="2"/>
        <v/>
      </c>
      <c r="C176" s="67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9"/>
      <c r="AL176" s="46"/>
      <c r="AM176" s="39"/>
      <c r="AN176" s="39"/>
      <c r="AO176" s="39"/>
    </row>
    <row r="177" spans="1:41" ht="15" customHeight="1">
      <c r="A177" s="39"/>
      <c r="B177" s="45" t="str">
        <f t="shared" si="2"/>
        <v/>
      </c>
      <c r="C177" s="67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9"/>
      <c r="AL177" s="46"/>
      <c r="AM177" s="39"/>
      <c r="AN177" s="39"/>
      <c r="AO177" s="39"/>
    </row>
    <row r="178" spans="1:41" ht="15" customHeight="1">
      <c r="A178" s="39"/>
      <c r="B178" s="45" t="str">
        <f t="shared" si="2"/>
        <v/>
      </c>
      <c r="C178" s="67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9"/>
      <c r="AL178" s="46"/>
      <c r="AM178" s="39"/>
      <c r="AN178" s="39"/>
      <c r="AO178" s="39"/>
    </row>
    <row r="179" spans="1:41" ht="15" customHeight="1">
      <c r="A179" s="39"/>
      <c r="B179" s="45" t="str">
        <f t="shared" si="2"/>
        <v/>
      </c>
      <c r="C179" s="67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9"/>
      <c r="AL179" s="46"/>
      <c r="AM179" s="39"/>
      <c r="AN179" s="39"/>
      <c r="AO179" s="39"/>
    </row>
    <row r="180" spans="1:41" ht="15" customHeight="1">
      <c r="A180" s="39"/>
      <c r="B180" s="45" t="str">
        <f t="shared" si="2"/>
        <v/>
      </c>
      <c r="C180" s="67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9"/>
      <c r="AL180" s="46"/>
      <c r="AM180" s="39"/>
      <c r="AN180" s="39"/>
      <c r="AO180" s="39"/>
    </row>
    <row r="181" spans="1:41" ht="15" customHeight="1">
      <c r="A181" s="39"/>
      <c r="B181" s="45" t="str">
        <f t="shared" si="2"/>
        <v/>
      </c>
      <c r="C181" s="67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9"/>
      <c r="AL181" s="46"/>
      <c r="AM181" s="39"/>
      <c r="AN181" s="39"/>
      <c r="AO181" s="39"/>
    </row>
    <row r="182" spans="1:41" ht="15" customHeight="1">
      <c r="A182" s="39"/>
      <c r="B182" s="45" t="str">
        <f t="shared" si="2"/>
        <v/>
      </c>
      <c r="C182" s="67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9"/>
      <c r="AL182" s="46"/>
      <c r="AM182" s="39"/>
      <c r="AN182" s="39"/>
      <c r="AO182" s="39"/>
    </row>
    <row r="183" spans="1:41" ht="15" customHeight="1">
      <c r="A183" s="39"/>
      <c r="B183" s="45" t="str">
        <f t="shared" si="2"/>
        <v/>
      </c>
      <c r="C183" s="67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9"/>
      <c r="AL183" s="46"/>
      <c r="AM183" s="39"/>
      <c r="AN183" s="39"/>
      <c r="AO183" s="39"/>
    </row>
    <row r="184" spans="1:41" ht="15" customHeight="1">
      <c r="A184" s="39"/>
      <c r="B184" s="45" t="str">
        <f t="shared" si="2"/>
        <v/>
      </c>
      <c r="C184" s="67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9"/>
      <c r="AL184" s="46"/>
      <c r="AM184" s="39"/>
      <c r="AN184" s="39"/>
      <c r="AO184" s="39"/>
    </row>
    <row r="185" spans="1:41" ht="15" customHeight="1">
      <c r="A185" s="39"/>
      <c r="B185" s="45" t="str">
        <f t="shared" si="2"/>
        <v/>
      </c>
      <c r="C185" s="67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9"/>
      <c r="AL185" s="46"/>
      <c r="AM185" s="39"/>
      <c r="AN185" s="39"/>
      <c r="AO185" s="39"/>
    </row>
    <row r="186" spans="1:41" ht="15" customHeight="1">
      <c r="A186" s="39"/>
      <c r="B186" s="45" t="str">
        <f t="shared" si="2"/>
        <v/>
      </c>
      <c r="C186" s="67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9"/>
      <c r="AL186" s="46"/>
      <c r="AM186" s="39"/>
      <c r="AN186" s="39"/>
      <c r="AO186" s="39"/>
    </row>
    <row r="187" spans="1:41" ht="15" customHeight="1">
      <c r="A187" s="39"/>
      <c r="B187" s="45" t="str">
        <f t="shared" si="2"/>
        <v/>
      </c>
      <c r="C187" s="67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9"/>
      <c r="AL187" s="46"/>
      <c r="AM187" s="39"/>
      <c r="AN187" s="39"/>
      <c r="AO187" s="39"/>
    </row>
    <row r="188" spans="1:41" ht="15" customHeight="1">
      <c r="A188" s="39"/>
      <c r="B188" s="45" t="str">
        <f t="shared" si="2"/>
        <v/>
      </c>
      <c r="C188" s="67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9"/>
      <c r="AL188" s="46"/>
      <c r="AM188" s="39"/>
      <c r="AN188" s="39"/>
      <c r="AO188" s="39"/>
    </row>
    <row r="189" spans="1:41" ht="15" customHeight="1">
      <c r="A189" s="39"/>
      <c r="B189" s="45" t="str">
        <f t="shared" si="2"/>
        <v/>
      </c>
      <c r="C189" s="67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9"/>
      <c r="AL189" s="46"/>
      <c r="AM189" s="39"/>
      <c r="AN189" s="39"/>
      <c r="AO189" s="39"/>
    </row>
    <row r="190" spans="1:41" ht="15" customHeight="1">
      <c r="A190" s="39"/>
      <c r="B190" s="45" t="str">
        <f t="shared" si="2"/>
        <v/>
      </c>
      <c r="C190" s="67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9"/>
      <c r="AL190" s="46"/>
      <c r="AM190" s="39"/>
      <c r="AN190" s="39"/>
      <c r="AO190" s="39"/>
    </row>
    <row r="191" spans="1:41" ht="15" customHeight="1">
      <c r="A191" s="39"/>
      <c r="B191" s="45" t="str">
        <f t="shared" si="2"/>
        <v/>
      </c>
      <c r="C191" s="67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9"/>
      <c r="AL191" s="46"/>
      <c r="AM191" s="39"/>
      <c r="AN191" s="39"/>
      <c r="AO191" s="39"/>
    </row>
    <row r="192" spans="1:41" ht="15" customHeight="1">
      <c r="A192" s="39"/>
      <c r="B192" s="45" t="str">
        <f t="shared" si="2"/>
        <v/>
      </c>
      <c r="C192" s="67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9"/>
      <c r="AL192" s="46"/>
      <c r="AM192" s="39"/>
      <c r="AN192" s="39"/>
      <c r="AO192" s="39"/>
    </row>
    <row r="193" spans="1:41" ht="15" customHeight="1">
      <c r="A193" s="39"/>
      <c r="B193" s="45" t="str">
        <f t="shared" si="2"/>
        <v/>
      </c>
      <c r="C193" s="67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9"/>
      <c r="AL193" s="46"/>
      <c r="AM193" s="39"/>
      <c r="AN193" s="39"/>
      <c r="AO193" s="39"/>
    </row>
    <row r="194" spans="1:41" ht="15" customHeight="1">
      <c r="A194" s="39"/>
      <c r="B194" s="45" t="str">
        <f t="shared" si="2"/>
        <v/>
      </c>
      <c r="C194" s="67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9"/>
      <c r="AL194" s="46"/>
      <c r="AM194" s="39"/>
      <c r="AN194" s="39"/>
      <c r="AO194" s="39"/>
    </row>
    <row r="195" spans="1:41" ht="15" customHeight="1">
      <c r="A195" s="39"/>
      <c r="B195" s="45" t="str">
        <f t="shared" si="2"/>
        <v/>
      </c>
      <c r="C195" s="67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9"/>
      <c r="AL195" s="46"/>
      <c r="AM195" s="39"/>
      <c r="AN195" s="39"/>
      <c r="AO195" s="39"/>
    </row>
    <row r="196" spans="1:41" ht="15" customHeight="1">
      <c r="A196" s="39"/>
      <c r="B196" s="45" t="str">
        <f t="shared" si="2"/>
        <v/>
      </c>
      <c r="C196" s="67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9"/>
      <c r="AL196" s="46"/>
      <c r="AM196" s="39"/>
      <c r="AN196" s="39"/>
      <c r="AO196" s="39"/>
    </row>
    <row r="197" spans="1:41" ht="15" customHeight="1">
      <c r="A197" s="39"/>
      <c r="B197" s="45" t="str">
        <f t="shared" si="2"/>
        <v/>
      </c>
      <c r="C197" s="67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9"/>
      <c r="AL197" s="46"/>
      <c r="AM197" s="39"/>
      <c r="AN197" s="39"/>
      <c r="AO197" s="39"/>
    </row>
    <row r="198" spans="1:41" ht="15" customHeight="1">
      <c r="A198" s="39"/>
      <c r="B198" s="45" t="str">
        <f t="shared" si="2"/>
        <v/>
      </c>
      <c r="C198" s="67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9"/>
      <c r="AL198" s="46"/>
      <c r="AM198" s="39"/>
      <c r="AN198" s="39"/>
      <c r="AO198" s="39"/>
    </row>
    <row r="199" spans="1:41" ht="15" customHeight="1">
      <c r="A199" s="39"/>
      <c r="B199" s="45" t="str">
        <f t="shared" si="2"/>
        <v/>
      </c>
      <c r="C199" s="67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9"/>
      <c r="AL199" s="46"/>
      <c r="AM199" s="39"/>
      <c r="AN199" s="39"/>
      <c r="AO199" s="39"/>
    </row>
    <row r="200" spans="1:41" ht="15" customHeight="1">
      <c r="A200" s="39"/>
      <c r="B200" s="45" t="str">
        <f t="shared" si="2"/>
        <v/>
      </c>
      <c r="C200" s="67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9"/>
      <c r="AL200" s="46"/>
      <c r="AM200" s="39"/>
      <c r="AN200" s="39"/>
      <c r="AO200" s="39"/>
    </row>
    <row r="201" spans="1:41" ht="15" customHeight="1">
      <c r="A201" s="39"/>
      <c r="B201" s="45" t="str">
        <f t="shared" si="2"/>
        <v/>
      </c>
      <c r="C201" s="67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9"/>
      <c r="AL201" s="46"/>
      <c r="AM201" s="39"/>
      <c r="AN201" s="39"/>
      <c r="AO201" s="39"/>
    </row>
    <row r="202" spans="1:41" ht="15" customHeight="1">
      <c r="A202" s="39"/>
      <c r="B202" s="45" t="str">
        <f t="shared" si="2"/>
        <v/>
      </c>
      <c r="C202" s="67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9"/>
      <c r="AL202" s="46"/>
      <c r="AM202" s="39"/>
      <c r="AN202" s="39"/>
      <c r="AO202" s="39"/>
    </row>
    <row r="203" spans="1:41" ht="15" customHeight="1">
      <c r="A203" s="39"/>
      <c r="B203" s="45" t="str">
        <f t="shared" si="2"/>
        <v/>
      </c>
      <c r="C203" s="67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9"/>
      <c r="AL203" s="46"/>
      <c r="AM203" s="39"/>
      <c r="AN203" s="39"/>
      <c r="AO203" s="39"/>
    </row>
    <row r="204" spans="1:41" ht="15" customHeight="1">
      <c r="A204" s="39"/>
      <c r="B204" s="45" t="str">
        <f t="shared" ref="B204:B212" si="3">IF(Start_year+ROW(B206)-ROW($B$14)&gt;End_year,"",Start_year+ROW(B206)-ROW($B$14))</f>
        <v/>
      </c>
      <c r="C204" s="67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9"/>
      <c r="AL204" s="46"/>
      <c r="AM204" s="39"/>
      <c r="AN204" s="39"/>
      <c r="AO204" s="39"/>
    </row>
    <row r="205" spans="1:41" ht="15" customHeight="1">
      <c r="A205" s="39"/>
      <c r="B205" s="45" t="str">
        <f t="shared" si="3"/>
        <v/>
      </c>
      <c r="C205" s="67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9"/>
      <c r="AL205" s="46"/>
      <c r="AM205" s="39"/>
      <c r="AN205" s="39"/>
      <c r="AO205" s="39"/>
    </row>
    <row r="206" spans="1:41" ht="15" customHeight="1">
      <c r="A206" s="39"/>
      <c r="B206" s="45" t="str">
        <f t="shared" si="3"/>
        <v/>
      </c>
      <c r="C206" s="67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9"/>
      <c r="AL206" s="46"/>
      <c r="AM206" s="39"/>
      <c r="AN206" s="39"/>
      <c r="AO206" s="39"/>
    </row>
    <row r="207" spans="1:41" ht="15" customHeight="1">
      <c r="A207" s="39"/>
      <c r="B207" s="45" t="str">
        <f t="shared" si="3"/>
        <v/>
      </c>
      <c r="C207" s="67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9"/>
      <c r="AL207" s="46"/>
      <c r="AM207" s="39"/>
      <c r="AN207" s="39"/>
      <c r="AO207" s="39"/>
    </row>
    <row r="208" spans="1:41" ht="15" customHeight="1">
      <c r="A208" s="39"/>
      <c r="B208" s="45" t="str">
        <f t="shared" si="3"/>
        <v/>
      </c>
      <c r="C208" s="67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9"/>
      <c r="AL208" s="46"/>
      <c r="AM208" s="39"/>
      <c r="AN208" s="39"/>
      <c r="AO208" s="39"/>
    </row>
    <row r="209" spans="1:41" ht="15" customHeight="1">
      <c r="A209" s="39"/>
      <c r="B209" s="45" t="str">
        <f t="shared" si="3"/>
        <v/>
      </c>
      <c r="C209" s="67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9"/>
      <c r="AL209" s="46"/>
      <c r="AM209" s="39"/>
      <c r="AN209" s="39"/>
      <c r="AO209" s="39"/>
    </row>
    <row r="210" spans="1:41" ht="15" customHeight="1">
      <c r="A210" s="39"/>
      <c r="B210" s="45" t="str">
        <f t="shared" si="3"/>
        <v/>
      </c>
      <c r="C210" s="67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9"/>
      <c r="AL210" s="46"/>
      <c r="AM210" s="39"/>
      <c r="AN210" s="39"/>
      <c r="AO210" s="39"/>
    </row>
    <row r="211" spans="1:41" ht="15" customHeight="1">
      <c r="A211" s="39"/>
      <c r="B211" s="45" t="str">
        <f t="shared" si="3"/>
        <v/>
      </c>
      <c r="C211" s="67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9"/>
      <c r="AL211" s="46"/>
      <c r="AM211" s="39"/>
      <c r="AN211" s="39"/>
      <c r="AO211" s="39"/>
    </row>
    <row r="212" spans="1:41" ht="15" customHeight="1" thickBot="1">
      <c r="A212" s="39"/>
      <c r="B212" s="45" t="str">
        <f t="shared" si="3"/>
        <v/>
      </c>
      <c r="C212" s="139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1"/>
      <c r="AL212" s="46"/>
      <c r="AM212" s="39"/>
      <c r="AN212" s="39"/>
      <c r="AO212" s="39"/>
    </row>
    <row r="213" spans="1:41">
      <c r="A213" s="39"/>
      <c r="B213" s="39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39"/>
      <c r="AM213" s="39"/>
      <c r="AN213" s="39"/>
      <c r="AO213" s="39"/>
    </row>
    <row r="214" spans="1:4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</row>
    <row r="215" spans="1:4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</row>
  </sheetData>
  <sheetProtection algorithmName="SHA-512" hashValue="df5P1KhfBGJuh2z+eZ+2AZizKi99lJGaFM2Ax/IbMLgWWxA2dA9mfeFo/PXiYGOtglXagtUYq0lr3qPNYZLqkA==" saltValue="EFYJmswg6xJFrRF5XmDG7A==" spinCount="100000" sheet="1" objects="1" scenarios="1"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81E2"/>
  </sheetPr>
  <dimension ref="A1:AN215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K27" sqref="K27"/>
    </sheetView>
  </sheetViews>
  <sheetFormatPr defaultColWidth="8.73046875" defaultRowHeight="13.15"/>
  <cols>
    <col min="1" max="16384" width="8.73046875" style="1"/>
  </cols>
  <sheetData>
    <row r="1" spans="1:40" ht="25.5" customHeight="1">
      <c r="A1" s="38" t="s">
        <v>383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</row>
    <row r="2" spans="1:40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</row>
    <row r="3" spans="1:40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</row>
    <row r="4" spans="1:40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</row>
    <row r="5" spans="1:40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</row>
    <row r="6" spans="1:40" hidden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</row>
    <row r="7" spans="1:40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</row>
    <row r="8" spans="1:40" ht="15" customHeight="1">
      <c r="A8" s="39"/>
      <c r="B8" s="40" t="s">
        <v>24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</row>
    <row r="9" spans="1:40" ht="15" customHeight="1" thickBot="1">
      <c r="A9" s="39"/>
      <c r="B9" s="39"/>
      <c r="C9" s="40" t="str">
        <f>"Application1: "&amp;Products!D10</f>
        <v xml:space="preserve">Application1: </v>
      </c>
      <c r="D9" s="40"/>
      <c r="E9" s="40"/>
      <c r="F9" s="40"/>
      <c r="G9" s="40"/>
      <c r="H9" s="40"/>
      <c r="I9" s="40"/>
      <c r="J9" s="40" t="str">
        <f>"Application2: "&amp;Products!E10</f>
        <v xml:space="preserve">Application2: </v>
      </c>
      <c r="K9" s="40"/>
      <c r="L9" s="40"/>
      <c r="M9" s="40"/>
      <c r="N9" s="40"/>
      <c r="O9" s="40"/>
      <c r="P9" s="40"/>
      <c r="Q9" s="40" t="str">
        <f>"Application3: "&amp;Products!F10</f>
        <v xml:space="preserve">Application3: </v>
      </c>
      <c r="R9" s="40"/>
      <c r="S9" s="40"/>
      <c r="T9" s="40"/>
      <c r="U9" s="40"/>
      <c r="V9" s="40"/>
      <c r="W9" s="40"/>
      <c r="X9" s="40" t="str">
        <f>"Application4: "&amp;Products!G10</f>
        <v xml:space="preserve">Application4: </v>
      </c>
      <c r="Y9" s="40"/>
      <c r="Z9" s="40"/>
      <c r="AA9" s="40"/>
      <c r="AB9" s="40"/>
      <c r="AC9" s="40"/>
      <c r="AD9" s="40"/>
      <c r="AE9" s="40" t="str">
        <f>"Application5: "&amp;Products!H10</f>
        <v xml:space="preserve">Application5: </v>
      </c>
      <c r="AF9" s="39"/>
      <c r="AG9" s="39"/>
      <c r="AH9" s="39"/>
      <c r="AI9" s="39"/>
      <c r="AJ9" s="39"/>
      <c r="AK9" s="39"/>
      <c r="AL9" s="39"/>
      <c r="AM9" s="39"/>
      <c r="AN9" s="39"/>
    </row>
    <row r="10" spans="1:40" ht="15" customHeight="1">
      <c r="A10" s="39"/>
      <c r="B10" s="4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7" t="s">
        <v>261</v>
      </c>
      <c r="AL10" s="46"/>
      <c r="AM10" s="39"/>
      <c r="AN10" s="39"/>
    </row>
    <row r="11" spans="1:40" ht="15" customHeight="1">
      <c r="A11" s="39"/>
      <c r="B11" s="60" t="s">
        <v>22</v>
      </c>
      <c r="C11" s="67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9"/>
      <c r="AL11" s="46"/>
      <c r="AM11" s="39"/>
      <c r="AN11" s="39"/>
    </row>
    <row r="12" spans="1:40" ht="15" customHeight="1">
      <c r="A12" s="39"/>
      <c r="B12" s="45">
        <f t="shared" ref="B12:B75" si="0">IF(Start_year+ROW(B14)-ROW($B$14)&gt;End_year,"",Start_year+ROW(B14)-ROW($B$14))</f>
        <v>1930</v>
      </c>
      <c r="C12" s="67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  <c r="AL12" s="46"/>
      <c r="AM12" s="39"/>
      <c r="AN12" s="39"/>
    </row>
    <row r="13" spans="1:40" ht="15" customHeight="1">
      <c r="A13" s="39"/>
      <c r="B13" s="45">
        <f t="shared" si="0"/>
        <v>1931</v>
      </c>
      <c r="C13" s="67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46"/>
      <c r="AM13" s="39"/>
      <c r="AN13" s="39"/>
    </row>
    <row r="14" spans="1:40" ht="15" customHeight="1">
      <c r="A14" s="39"/>
      <c r="B14" s="45">
        <f t="shared" si="0"/>
        <v>1932</v>
      </c>
      <c r="C14" s="67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46"/>
      <c r="AM14" s="39"/>
      <c r="AN14" s="39"/>
    </row>
    <row r="15" spans="1:40" ht="15" customHeight="1">
      <c r="A15" s="39"/>
      <c r="B15" s="45">
        <f t="shared" si="0"/>
        <v>1933</v>
      </c>
      <c r="C15" s="67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46"/>
      <c r="AM15" s="39"/>
      <c r="AN15" s="39"/>
    </row>
    <row r="16" spans="1:40" ht="15" customHeight="1">
      <c r="A16" s="39"/>
      <c r="B16" s="45">
        <f t="shared" si="0"/>
        <v>1934</v>
      </c>
      <c r="C16" s="67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46"/>
      <c r="AM16" s="39"/>
      <c r="AN16" s="39"/>
    </row>
    <row r="17" spans="1:40" ht="15" customHeight="1">
      <c r="A17" s="39"/>
      <c r="B17" s="45">
        <f t="shared" si="0"/>
        <v>1935</v>
      </c>
      <c r="C17" s="6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46"/>
      <c r="AM17" s="39"/>
      <c r="AN17" s="39"/>
    </row>
    <row r="18" spans="1:40" ht="15" customHeight="1">
      <c r="A18" s="39"/>
      <c r="B18" s="45">
        <f t="shared" si="0"/>
        <v>1936</v>
      </c>
      <c r="C18" s="67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46"/>
      <c r="AM18" s="39"/>
      <c r="AN18" s="39"/>
    </row>
    <row r="19" spans="1:40" ht="15" customHeight="1">
      <c r="A19" s="39"/>
      <c r="B19" s="45">
        <f t="shared" si="0"/>
        <v>1937</v>
      </c>
      <c r="C19" s="67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9"/>
      <c r="AL19" s="46"/>
      <c r="AM19" s="39"/>
      <c r="AN19" s="39"/>
    </row>
    <row r="20" spans="1:40" ht="15" customHeight="1">
      <c r="A20" s="39"/>
      <c r="B20" s="45">
        <f t="shared" si="0"/>
        <v>1938</v>
      </c>
      <c r="C20" s="67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9"/>
      <c r="AL20" s="46"/>
      <c r="AM20" s="39"/>
      <c r="AN20" s="39"/>
    </row>
    <row r="21" spans="1:40" ht="15" customHeight="1">
      <c r="A21" s="39"/>
      <c r="B21" s="45">
        <f t="shared" si="0"/>
        <v>1939</v>
      </c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9"/>
      <c r="AL21" s="46"/>
      <c r="AM21" s="39"/>
      <c r="AN21" s="39"/>
    </row>
    <row r="22" spans="1:40" ht="15" customHeight="1">
      <c r="A22" s="39"/>
      <c r="B22" s="45">
        <f t="shared" si="0"/>
        <v>1940</v>
      </c>
      <c r="C22" s="67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9"/>
      <c r="AL22" s="46"/>
      <c r="AM22" s="39"/>
      <c r="AN22" s="39"/>
    </row>
    <row r="23" spans="1:40" ht="15" customHeight="1">
      <c r="A23" s="39"/>
      <c r="B23" s="45">
        <f t="shared" si="0"/>
        <v>1941</v>
      </c>
      <c r="C23" s="67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9"/>
      <c r="AL23" s="46"/>
      <c r="AM23" s="39"/>
      <c r="AN23" s="39"/>
    </row>
    <row r="24" spans="1:40" ht="15" customHeight="1">
      <c r="A24" s="39"/>
      <c r="B24" s="45">
        <f t="shared" si="0"/>
        <v>1942</v>
      </c>
      <c r="C24" s="67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9"/>
      <c r="AL24" s="46"/>
      <c r="AM24" s="39"/>
      <c r="AN24" s="39"/>
    </row>
    <row r="25" spans="1:40" ht="15" customHeight="1">
      <c r="A25" s="39"/>
      <c r="B25" s="45">
        <f t="shared" si="0"/>
        <v>1943</v>
      </c>
      <c r="C25" s="67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9"/>
      <c r="AL25" s="46"/>
      <c r="AM25" s="39"/>
      <c r="AN25" s="39"/>
    </row>
    <row r="26" spans="1:40" ht="15" customHeight="1">
      <c r="A26" s="39"/>
      <c r="B26" s="45">
        <f t="shared" si="0"/>
        <v>1944</v>
      </c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9"/>
      <c r="AL26" s="46"/>
      <c r="AM26" s="39"/>
      <c r="AN26" s="39"/>
    </row>
    <row r="27" spans="1:40" ht="15" customHeight="1">
      <c r="A27" s="39"/>
      <c r="B27" s="45">
        <f t="shared" si="0"/>
        <v>1945</v>
      </c>
      <c r="C27" s="67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9"/>
      <c r="AL27" s="46"/>
      <c r="AM27" s="39"/>
      <c r="AN27" s="39"/>
    </row>
    <row r="28" spans="1:40" ht="15" customHeight="1">
      <c r="A28" s="39"/>
      <c r="B28" s="45">
        <f t="shared" si="0"/>
        <v>1946</v>
      </c>
      <c r="C28" s="67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9"/>
      <c r="AL28" s="46"/>
      <c r="AM28" s="39"/>
      <c r="AN28" s="39"/>
    </row>
    <row r="29" spans="1:40" ht="15" customHeight="1">
      <c r="A29" s="39"/>
      <c r="B29" s="45">
        <f t="shared" si="0"/>
        <v>1947</v>
      </c>
      <c r="C29" s="67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9"/>
      <c r="AL29" s="46"/>
      <c r="AM29" s="39"/>
      <c r="AN29" s="39"/>
    </row>
    <row r="30" spans="1:40" ht="15" customHeight="1">
      <c r="A30" s="39"/>
      <c r="B30" s="45">
        <f t="shared" si="0"/>
        <v>1948</v>
      </c>
      <c r="C30" s="67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9"/>
      <c r="AL30" s="46"/>
      <c r="AM30" s="39"/>
      <c r="AN30" s="39"/>
    </row>
    <row r="31" spans="1:40" ht="15" customHeight="1">
      <c r="A31" s="39"/>
      <c r="B31" s="45">
        <f t="shared" si="0"/>
        <v>1949</v>
      </c>
      <c r="C31" s="67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9"/>
      <c r="AL31" s="46"/>
      <c r="AM31" s="39"/>
      <c r="AN31" s="39"/>
    </row>
    <row r="32" spans="1:40" ht="15" customHeight="1">
      <c r="A32" s="39"/>
      <c r="B32" s="45">
        <f t="shared" si="0"/>
        <v>1950</v>
      </c>
      <c r="C32" s="67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9"/>
      <c r="AL32" s="46"/>
      <c r="AM32" s="39"/>
      <c r="AN32" s="39"/>
    </row>
    <row r="33" spans="1:40" ht="15" customHeight="1">
      <c r="A33" s="39"/>
      <c r="B33" s="45">
        <f t="shared" si="0"/>
        <v>1951</v>
      </c>
      <c r="C33" s="67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9"/>
      <c r="AL33" s="46"/>
      <c r="AM33" s="39"/>
      <c r="AN33" s="39"/>
    </row>
    <row r="34" spans="1:40" ht="15" customHeight="1">
      <c r="A34" s="39"/>
      <c r="B34" s="45">
        <f t="shared" si="0"/>
        <v>1952</v>
      </c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9"/>
      <c r="AL34" s="46"/>
      <c r="AM34" s="39"/>
      <c r="AN34" s="39"/>
    </row>
    <row r="35" spans="1:40" ht="15" customHeight="1">
      <c r="A35" s="39"/>
      <c r="B35" s="45">
        <f t="shared" si="0"/>
        <v>1953</v>
      </c>
      <c r="C35" s="67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9"/>
      <c r="AL35" s="46"/>
      <c r="AM35" s="39"/>
      <c r="AN35" s="39"/>
    </row>
    <row r="36" spans="1:40" ht="15" customHeight="1">
      <c r="A36" s="39"/>
      <c r="B36" s="45">
        <f t="shared" si="0"/>
        <v>1954</v>
      </c>
      <c r="C36" s="67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9"/>
      <c r="AL36" s="46"/>
      <c r="AM36" s="39"/>
      <c r="AN36" s="39"/>
    </row>
    <row r="37" spans="1:40" ht="15" customHeight="1">
      <c r="A37" s="39"/>
      <c r="B37" s="45">
        <f t="shared" si="0"/>
        <v>1955</v>
      </c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9"/>
      <c r="AL37" s="46"/>
      <c r="AM37" s="39"/>
      <c r="AN37" s="39"/>
    </row>
    <row r="38" spans="1:40" ht="15" customHeight="1">
      <c r="A38" s="39"/>
      <c r="B38" s="45">
        <f t="shared" si="0"/>
        <v>1956</v>
      </c>
      <c r="C38" s="67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9"/>
      <c r="AL38" s="46"/>
      <c r="AM38" s="39"/>
      <c r="AN38" s="39"/>
    </row>
    <row r="39" spans="1:40" ht="15" customHeight="1">
      <c r="A39" s="39"/>
      <c r="B39" s="45">
        <f t="shared" si="0"/>
        <v>1957</v>
      </c>
      <c r="C39" s="67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9"/>
      <c r="AL39" s="46"/>
      <c r="AM39" s="39"/>
      <c r="AN39" s="39"/>
    </row>
    <row r="40" spans="1:40" ht="15" customHeight="1">
      <c r="A40" s="39"/>
      <c r="B40" s="45">
        <f t="shared" si="0"/>
        <v>1958</v>
      </c>
      <c r="C40" s="67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9"/>
      <c r="AL40" s="46"/>
      <c r="AM40" s="39"/>
      <c r="AN40" s="39"/>
    </row>
    <row r="41" spans="1:40" ht="15" customHeight="1">
      <c r="A41" s="39"/>
      <c r="B41" s="45">
        <f t="shared" si="0"/>
        <v>1959</v>
      </c>
      <c r="C41" s="67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9"/>
      <c r="AL41" s="46"/>
      <c r="AM41" s="39"/>
      <c r="AN41" s="39"/>
    </row>
    <row r="42" spans="1:40" ht="15" customHeight="1">
      <c r="A42" s="39"/>
      <c r="B42" s="45">
        <f t="shared" si="0"/>
        <v>1960</v>
      </c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9"/>
      <c r="AL42" s="46"/>
      <c r="AM42" s="39"/>
      <c r="AN42" s="39"/>
    </row>
    <row r="43" spans="1:40" ht="15" customHeight="1">
      <c r="A43" s="39"/>
      <c r="B43" s="45">
        <f t="shared" si="0"/>
        <v>1961</v>
      </c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9"/>
      <c r="AL43" s="46"/>
      <c r="AM43" s="39"/>
      <c r="AN43" s="39"/>
    </row>
    <row r="44" spans="1:40" ht="15" customHeight="1">
      <c r="A44" s="39"/>
      <c r="B44" s="45">
        <f t="shared" si="0"/>
        <v>1962</v>
      </c>
      <c r="C44" s="67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9"/>
      <c r="AL44" s="46"/>
      <c r="AM44" s="39"/>
      <c r="AN44" s="39"/>
    </row>
    <row r="45" spans="1:40" ht="15" customHeight="1">
      <c r="A45" s="39"/>
      <c r="B45" s="45">
        <f t="shared" si="0"/>
        <v>1963</v>
      </c>
      <c r="C45" s="67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9"/>
      <c r="AL45" s="46"/>
      <c r="AM45" s="39"/>
      <c r="AN45" s="39"/>
    </row>
    <row r="46" spans="1:40" ht="15" customHeight="1">
      <c r="A46" s="39"/>
      <c r="B46" s="45">
        <f t="shared" si="0"/>
        <v>1964</v>
      </c>
      <c r="C46" s="67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9"/>
      <c r="AL46" s="46"/>
      <c r="AM46" s="39"/>
      <c r="AN46" s="39"/>
    </row>
    <row r="47" spans="1:40" ht="15" customHeight="1">
      <c r="A47" s="39"/>
      <c r="B47" s="45">
        <f t="shared" si="0"/>
        <v>1965</v>
      </c>
      <c r="C47" s="67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9"/>
      <c r="AL47" s="46"/>
      <c r="AM47" s="39"/>
      <c r="AN47" s="39"/>
    </row>
    <row r="48" spans="1:40" ht="15" customHeight="1">
      <c r="A48" s="39"/>
      <c r="B48" s="45">
        <f t="shared" si="0"/>
        <v>1966</v>
      </c>
      <c r="C48" s="67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9"/>
      <c r="AL48" s="46"/>
      <c r="AM48" s="39"/>
      <c r="AN48" s="39"/>
    </row>
    <row r="49" spans="1:40" ht="15" customHeight="1">
      <c r="A49" s="39"/>
      <c r="B49" s="45">
        <f t="shared" si="0"/>
        <v>1967</v>
      </c>
      <c r="C49" s="67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9"/>
      <c r="AL49" s="46"/>
      <c r="AM49" s="39"/>
      <c r="AN49" s="39"/>
    </row>
    <row r="50" spans="1:40" ht="15" customHeight="1">
      <c r="A50" s="39"/>
      <c r="B50" s="45">
        <f t="shared" si="0"/>
        <v>1968</v>
      </c>
      <c r="C50" s="67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9"/>
      <c r="AL50" s="46"/>
      <c r="AM50" s="39"/>
      <c r="AN50" s="39"/>
    </row>
    <row r="51" spans="1:40" ht="15" customHeight="1">
      <c r="A51" s="39"/>
      <c r="B51" s="45">
        <f t="shared" si="0"/>
        <v>1969</v>
      </c>
      <c r="C51" s="67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9"/>
      <c r="AL51" s="46"/>
      <c r="AM51" s="39"/>
      <c r="AN51" s="39"/>
    </row>
    <row r="52" spans="1:40" ht="15" customHeight="1">
      <c r="A52" s="39"/>
      <c r="B52" s="45">
        <f t="shared" si="0"/>
        <v>1970</v>
      </c>
      <c r="C52" s="67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9"/>
      <c r="AL52" s="46"/>
      <c r="AM52" s="39"/>
      <c r="AN52" s="39"/>
    </row>
    <row r="53" spans="1:40" ht="15" customHeight="1">
      <c r="A53" s="39"/>
      <c r="B53" s="45">
        <f t="shared" si="0"/>
        <v>1971</v>
      </c>
      <c r="C53" s="67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9"/>
      <c r="AL53" s="46"/>
      <c r="AM53" s="39"/>
      <c r="AN53" s="39"/>
    </row>
    <row r="54" spans="1:40" ht="15" customHeight="1">
      <c r="A54" s="39"/>
      <c r="B54" s="45">
        <f t="shared" si="0"/>
        <v>1972</v>
      </c>
      <c r="C54" s="67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9"/>
      <c r="AL54" s="46"/>
      <c r="AM54" s="39"/>
      <c r="AN54" s="39"/>
    </row>
    <row r="55" spans="1:40" ht="15" customHeight="1">
      <c r="A55" s="39"/>
      <c r="B55" s="45">
        <f t="shared" si="0"/>
        <v>1973</v>
      </c>
      <c r="C55" s="67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9"/>
      <c r="AL55" s="46"/>
      <c r="AM55" s="39"/>
      <c r="AN55" s="39"/>
    </row>
    <row r="56" spans="1:40" ht="15" customHeight="1">
      <c r="A56" s="39"/>
      <c r="B56" s="45">
        <f t="shared" si="0"/>
        <v>1974</v>
      </c>
      <c r="C56" s="67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9"/>
      <c r="AL56" s="46"/>
      <c r="AM56" s="39"/>
      <c r="AN56" s="39"/>
    </row>
    <row r="57" spans="1:40" ht="15" customHeight="1">
      <c r="A57" s="39"/>
      <c r="B57" s="45">
        <f t="shared" si="0"/>
        <v>1975</v>
      </c>
      <c r="C57" s="67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9"/>
      <c r="AL57" s="46"/>
      <c r="AM57" s="39"/>
      <c r="AN57" s="39"/>
    </row>
    <row r="58" spans="1:40" ht="15" customHeight="1">
      <c r="A58" s="39"/>
      <c r="B58" s="45">
        <f t="shared" si="0"/>
        <v>1976</v>
      </c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9"/>
      <c r="AL58" s="46"/>
      <c r="AM58" s="39"/>
      <c r="AN58" s="39"/>
    </row>
    <row r="59" spans="1:40" ht="15" customHeight="1">
      <c r="A59" s="39"/>
      <c r="B59" s="45">
        <f t="shared" si="0"/>
        <v>1977</v>
      </c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9"/>
      <c r="AL59" s="46"/>
      <c r="AM59" s="39"/>
      <c r="AN59" s="39"/>
    </row>
    <row r="60" spans="1:40" ht="15" customHeight="1">
      <c r="A60" s="39"/>
      <c r="B60" s="45">
        <f t="shared" si="0"/>
        <v>1978</v>
      </c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9"/>
      <c r="AL60" s="46"/>
      <c r="AM60" s="39"/>
      <c r="AN60" s="39"/>
    </row>
    <row r="61" spans="1:40" ht="15" customHeight="1">
      <c r="A61" s="39"/>
      <c r="B61" s="45">
        <f t="shared" si="0"/>
        <v>1979</v>
      </c>
      <c r="C61" s="67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9"/>
      <c r="AL61" s="46"/>
      <c r="AM61" s="39"/>
      <c r="AN61" s="39"/>
    </row>
    <row r="62" spans="1:40" ht="15" customHeight="1">
      <c r="A62" s="39"/>
      <c r="B62" s="45">
        <f t="shared" si="0"/>
        <v>1980</v>
      </c>
      <c r="C62" s="67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9"/>
      <c r="AL62" s="46"/>
      <c r="AM62" s="39"/>
      <c r="AN62" s="39"/>
    </row>
    <row r="63" spans="1:40" ht="15" customHeight="1">
      <c r="A63" s="39"/>
      <c r="B63" s="45" t="str">
        <f t="shared" si="0"/>
        <v/>
      </c>
      <c r="C63" s="67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9"/>
      <c r="AL63" s="46"/>
      <c r="AM63" s="39"/>
      <c r="AN63" s="39"/>
    </row>
    <row r="64" spans="1:40" ht="15" customHeight="1">
      <c r="A64" s="39"/>
      <c r="B64" s="45" t="str">
        <f t="shared" si="0"/>
        <v/>
      </c>
      <c r="C64" s="67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9"/>
      <c r="AL64" s="46"/>
      <c r="AM64" s="39"/>
      <c r="AN64" s="39"/>
    </row>
    <row r="65" spans="1:40" ht="15" customHeight="1">
      <c r="A65" s="39"/>
      <c r="B65" s="45" t="str">
        <f t="shared" si="0"/>
        <v/>
      </c>
      <c r="C65" s="67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9"/>
      <c r="AL65" s="46"/>
      <c r="AM65" s="39"/>
      <c r="AN65" s="39"/>
    </row>
    <row r="66" spans="1:40" ht="15" customHeight="1">
      <c r="A66" s="39"/>
      <c r="B66" s="45" t="str">
        <f t="shared" si="0"/>
        <v/>
      </c>
      <c r="C66" s="67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9"/>
      <c r="AL66" s="46"/>
      <c r="AM66" s="39"/>
      <c r="AN66" s="39"/>
    </row>
    <row r="67" spans="1:40" ht="15" customHeight="1">
      <c r="A67" s="39"/>
      <c r="B67" s="45" t="str">
        <f t="shared" si="0"/>
        <v/>
      </c>
      <c r="C67" s="67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9"/>
      <c r="AL67" s="46"/>
      <c r="AM67" s="39"/>
      <c r="AN67" s="39"/>
    </row>
    <row r="68" spans="1:40" ht="15" customHeight="1">
      <c r="A68" s="39"/>
      <c r="B68" s="45" t="str">
        <f t="shared" si="0"/>
        <v/>
      </c>
      <c r="C68" s="67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9"/>
      <c r="AL68" s="46"/>
      <c r="AM68" s="39"/>
      <c r="AN68" s="39"/>
    </row>
    <row r="69" spans="1:40" ht="15" customHeight="1">
      <c r="A69" s="39"/>
      <c r="B69" s="45" t="str">
        <f t="shared" si="0"/>
        <v/>
      </c>
      <c r="C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9"/>
      <c r="AL69" s="46"/>
      <c r="AM69" s="39"/>
      <c r="AN69" s="39"/>
    </row>
    <row r="70" spans="1:40" ht="15" customHeight="1">
      <c r="A70" s="39"/>
      <c r="B70" s="45" t="str">
        <f t="shared" si="0"/>
        <v/>
      </c>
      <c r="C70" s="67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9"/>
      <c r="AL70" s="46"/>
      <c r="AM70" s="39"/>
      <c r="AN70" s="39"/>
    </row>
    <row r="71" spans="1:40" ht="15" customHeight="1">
      <c r="A71" s="39"/>
      <c r="B71" s="45" t="str">
        <f t="shared" si="0"/>
        <v/>
      </c>
      <c r="C71" s="67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9"/>
      <c r="AL71" s="46"/>
      <c r="AM71" s="39"/>
      <c r="AN71" s="39"/>
    </row>
    <row r="72" spans="1:40" ht="15" customHeight="1">
      <c r="A72" s="39"/>
      <c r="B72" s="45" t="str">
        <f t="shared" si="0"/>
        <v/>
      </c>
      <c r="C72" s="67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9"/>
      <c r="AL72" s="46"/>
      <c r="AM72" s="39"/>
      <c r="AN72" s="39"/>
    </row>
    <row r="73" spans="1:40" ht="15" customHeight="1">
      <c r="A73" s="39"/>
      <c r="B73" s="45" t="str">
        <f t="shared" si="0"/>
        <v/>
      </c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9"/>
      <c r="AL73" s="46"/>
      <c r="AM73" s="39"/>
      <c r="AN73" s="39"/>
    </row>
    <row r="74" spans="1:40" ht="15" customHeight="1">
      <c r="A74" s="39"/>
      <c r="B74" s="45" t="str">
        <f t="shared" si="0"/>
        <v/>
      </c>
      <c r="C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9"/>
      <c r="AL74" s="46"/>
      <c r="AM74" s="39"/>
      <c r="AN74" s="39"/>
    </row>
    <row r="75" spans="1:40" ht="15" customHeight="1">
      <c r="A75" s="39"/>
      <c r="B75" s="45" t="str">
        <f t="shared" si="0"/>
        <v/>
      </c>
      <c r="C75" s="67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9"/>
      <c r="AL75" s="46"/>
      <c r="AM75" s="39"/>
      <c r="AN75" s="39"/>
    </row>
    <row r="76" spans="1:40" ht="15" customHeight="1">
      <c r="A76" s="39"/>
      <c r="B76" s="45" t="str">
        <f t="shared" ref="B76:B139" si="1">IF(Start_year+ROW(B78)-ROW($B$14)&gt;End_year,"",Start_year+ROW(B78)-ROW($B$14))</f>
        <v/>
      </c>
      <c r="C76" s="67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9"/>
      <c r="AL76" s="46"/>
      <c r="AM76" s="39"/>
      <c r="AN76" s="39"/>
    </row>
    <row r="77" spans="1:40" ht="15" customHeight="1">
      <c r="A77" s="39"/>
      <c r="B77" s="45" t="str">
        <f t="shared" si="1"/>
        <v/>
      </c>
      <c r="C77" s="67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9"/>
      <c r="AL77" s="46"/>
      <c r="AM77" s="39"/>
      <c r="AN77" s="39"/>
    </row>
    <row r="78" spans="1:40" ht="15" customHeight="1">
      <c r="A78" s="39"/>
      <c r="B78" s="45" t="str">
        <f t="shared" si="1"/>
        <v/>
      </c>
      <c r="C78" s="67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9"/>
      <c r="AL78" s="46"/>
      <c r="AM78" s="39"/>
      <c r="AN78" s="39"/>
    </row>
    <row r="79" spans="1:40" ht="15" customHeight="1">
      <c r="A79" s="39"/>
      <c r="B79" s="45" t="str">
        <f t="shared" si="1"/>
        <v/>
      </c>
      <c r="C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9"/>
      <c r="AL79" s="46"/>
      <c r="AM79" s="39"/>
      <c r="AN79" s="39"/>
    </row>
    <row r="80" spans="1:40" ht="15" customHeight="1">
      <c r="A80" s="39"/>
      <c r="B80" s="45" t="str">
        <f t="shared" si="1"/>
        <v/>
      </c>
      <c r="C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9"/>
      <c r="AL80" s="46"/>
      <c r="AM80" s="39"/>
      <c r="AN80" s="39"/>
    </row>
    <row r="81" spans="1:40" ht="15" customHeight="1">
      <c r="A81" s="39"/>
      <c r="B81" s="45" t="str">
        <f t="shared" si="1"/>
        <v/>
      </c>
      <c r="C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9"/>
      <c r="AL81" s="46"/>
      <c r="AM81" s="39"/>
      <c r="AN81" s="39"/>
    </row>
    <row r="82" spans="1:40" ht="15" customHeight="1">
      <c r="A82" s="39"/>
      <c r="B82" s="45" t="str">
        <f t="shared" si="1"/>
        <v/>
      </c>
      <c r="C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9"/>
      <c r="AL82" s="46"/>
      <c r="AM82" s="39"/>
      <c r="AN82" s="39"/>
    </row>
    <row r="83" spans="1:40" ht="15" customHeight="1">
      <c r="A83" s="39"/>
      <c r="B83" s="45" t="str">
        <f t="shared" si="1"/>
        <v/>
      </c>
      <c r="C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9"/>
      <c r="AL83" s="46"/>
      <c r="AM83" s="39"/>
      <c r="AN83" s="39"/>
    </row>
    <row r="84" spans="1:40" ht="15" customHeight="1">
      <c r="A84" s="39"/>
      <c r="B84" s="45" t="str">
        <f t="shared" si="1"/>
        <v/>
      </c>
      <c r="C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9"/>
      <c r="AL84" s="46"/>
      <c r="AM84" s="39"/>
      <c r="AN84" s="39"/>
    </row>
    <row r="85" spans="1:40" ht="15" customHeight="1">
      <c r="A85" s="39"/>
      <c r="B85" s="45" t="str">
        <f t="shared" si="1"/>
        <v/>
      </c>
      <c r="C85" s="67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9"/>
      <c r="AL85" s="46"/>
      <c r="AM85" s="39"/>
      <c r="AN85" s="39"/>
    </row>
    <row r="86" spans="1:40" ht="15" customHeight="1">
      <c r="A86" s="39"/>
      <c r="B86" s="45" t="str">
        <f t="shared" si="1"/>
        <v/>
      </c>
      <c r="C86" s="67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9"/>
      <c r="AL86" s="46"/>
      <c r="AM86" s="39"/>
      <c r="AN86" s="39"/>
    </row>
    <row r="87" spans="1:40" ht="15" customHeight="1">
      <c r="A87" s="39"/>
      <c r="B87" s="45" t="str">
        <f t="shared" si="1"/>
        <v/>
      </c>
      <c r="C87" s="67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9"/>
      <c r="AL87" s="46"/>
      <c r="AM87" s="39"/>
      <c r="AN87" s="39"/>
    </row>
    <row r="88" spans="1:40" ht="15" customHeight="1">
      <c r="A88" s="39"/>
      <c r="B88" s="45" t="str">
        <f t="shared" si="1"/>
        <v/>
      </c>
      <c r="C88" s="67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9"/>
      <c r="AL88" s="46"/>
      <c r="AM88" s="39"/>
      <c r="AN88" s="39"/>
    </row>
    <row r="89" spans="1:40" ht="15" customHeight="1">
      <c r="A89" s="39"/>
      <c r="B89" s="45" t="str">
        <f t="shared" si="1"/>
        <v/>
      </c>
      <c r="C89" s="67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9"/>
      <c r="AL89" s="46"/>
      <c r="AM89" s="39"/>
      <c r="AN89" s="39"/>
    </row>
    <row r="90" spans="1:40" ht="15" customHeight="1">
      <c r="A90" s="39"/>
      <c r="B90" s="45" t="str">
        <f t="shared" si="1"/>
        <v/>
      </c>
      <c r="C90" s="67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9"/>
      <c r="AL90" s="46"/>
      <c r="AM90" s="39"/>
      <c r="AN90" s="39"/>
    </row>
    <row r="91" spans="1:40" ht="15" customHeight="1">
      <c r="A91" s="39"/>
      <c r="B91" s="45" t="str">
        <f t="shared" si="1"/>
        <v/>
      </c>
      <c r="C91" s="67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9"/>
      <c r="AL91" s="46"/>
      <c r="AM91" s="39"/>
      <c r="AN91" s="39"/>
    </row>
    <row r="92" spans="1:40" ht="15" customHeight="1">
      <c r="A92" s="39"/>
      <c r="B92" s="45" t="str">
        <f t="shared" si="1"/>
        <v/>
      </c>
      <c r="C92" s="67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9"/>
      <c r="AL92" s="46"/>
      <c r="AM92" s="39"/>
      <c r="AN92" s="39"/>
    </row>
    <row r="93" spans="1:40" ht="15" customHeight="1">
      <c r="A93" s="39"/>
      <c r="B93" s="45" t="str">
        <f t="shared" si="1"/>
        <v/>
      </c>
      <c r="C93" s="67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9"/>
      <c r="AL93" s="46"/>
      <c r="AM93" s="39"/>
      <c r="AN93" s="39"/>
    </row>
    <row r="94" spans="1:40" ht="15" customHeight="1">
      <c r="A94" s="39"/>
      <c r="B94" s="45" t="str">
        <f t="shared" si="1"/>
        <v/>
      </c>
      <c r="C94" s="67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9"/>
      <c r="AL94" s="46"/>
      <c r="AM94" s="39"/>
      <c r="AN94" s="39"/>
    </row>
    <row r="95" spans="1:40" ht="15" customHeight="1">
      <c r="A95" s="39"/>
      <c r="B95" s="45" t="str">
        <f t="shared" si="1"/>
        <v/>
      </c>
      <c r="C95" s="67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9"/>
      <c r="AL95" s="46"/>
      <c r="AM95" s="39"/>
      <c r="AN95" s="39"/>
    </row>
    <row r="96" spans="1:40" ht="15" customHeight="1">
      <c r="A96" s="39"/>
      <c r="B96" s="45" t="str">
        <f t="shared" si="1"/>
        <v/>
      </c>
      <c r="C96" s="67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9"/>
      <c r="AL96" s="46"/>
      <c r="AM96" s="39"/>
      <c r="AN96" s="39"/>
    </row>
    <row r="97" spans="1:40" ht="15" customHeight="1">
      <c r="A97" s="39"/>
      <c r="B97" s="45" t="str">
        <f t="shared" si="1"/>
        <v/>
      </c>
      <c r="C97" s="67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9"/>
      <c r="AL97" s="46"/>
      <c r="AM97" s="39"/>
      <c r="AN97" s="39"/>
    </row>
    <row r="98" spans="1:40" ht="15" customHeight="1">
      <c r="A98" s="39"/>
      <c r="B98" s="45" t="str">
        <f t="shared" si="1"/>
        <v/>
      </c>
      <c r="C98" s="67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9"/>
      <c r="AL98" s="46"/>
      <c r="AM98" s="39"/>
      <c r="AN98" s="39"/>
    </row>
    <row r="99" spans="1:40" ht="15" customHeight="1">
      <c r="A99" s="39"/>
      <c r="B99" s="45" t="str">
        <f t="shared" si="1"/>
        <v/>
      </c>
      <c r="C99" s="67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9"/>
      <c r="AL99" s="46"/>
      <c r="AM99" s="39"/>
      <c r="AN99" s="39"/>
    </row>
    <row r="100" spans="1:40" ht="15" customHeight="1">
      <c r="A100" s="39"/>
      <c r="B100" s="45" t="str">
        <f t="shared" si="1"/>
        <v/>
      </c>
      <c r="C100" s="67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9"/>
      <c r="AL100" s="46"/>
      <c r="AM100" s="39"/>
      <c r="AN100" s="39"/>
    </row>
    <row r="101" spans="1:40" ht="15" customHeight="1">
      <c r="A101" s="39"/>
      <c r="B101" s="45" t="str">
        <f t="shared" si="1"/>
        <v/>
      </c>
      <c r="C101" s="67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9"/>
      <c r="AL101" s="46"/>
      <c r="AM101" s="39"/>
      <c r="AN101" s="39"/>
    </row>
    <row r="102" spans="1:40" ht="15" customHeight="1">
      <c r="A102" s="39"/>
      <c r="B102" s="45" t="str">
        <f t="shared" si="1"/>
        <v/>
      </c>
      <c r="C102" s="67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9"/>
      <c r="AL102" s="46"/>
      <c r="AM102" s="39"/>
      <c r="AN102" s="39"/>
    </row>
    <row r="103" spans="1:40" ht="15" customHeight="1">
      <c r="A103" s="39"/>
      <c r="B103" s="45" t="str">
        <f t="shared" si="1"/>
        <v/>
      </c>
      <c r="C103" s="67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9"/>
      <c r="AL103" s="46"/>
      <c r="AM103" s="39"/>
      <c r="AN103" s="39"/>
    </row>
    <row r="104" spans="1:40" ht="15" customHeight="1">
      <c r="A104" s="39"/>
      <c r="B104" s="45" t="str">
        <f t="shared" si="1"/>
        <v/>
      </c>
      <c r="C104" s="67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9"/>
      <c r="AL104" s="46"/>
      <c r="AM104" s="39"/>
      <c r="AN104" s="39"/>
    </row>
    <row r="105" spans="1:40" ht="15" customHeight="1">
      <c r="A105" s="39"/>
      <c r="B105" s="45" t="str">
        <f t="shared" si="1"/>
        <v/>
      </c>
      <c r="C105" s="67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9"/>
      <c r="AL105" s="46"/>
      <c r="AM105" s="39"/>
      <c r="AN105" s="39"/>
    </row>
    <row r="106" spans="1:40" ht="15" customHeight="1">
      <c r="A106" s="39"/>
      <c r="B106" s="45" t="str">
        <f t="shared" si="1"/>
        <v/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9"/>
      <c r="AL106" s="46"/>
      <c r="AM106" s="39"/>
      <c r="AN106" s="39"/>
    </row>
    <row r="107" spans="1:40" ht="15" customHeight="1">
      <c r="A107" s="39"/>
      <c r="B107" s="45" t="str">
        <f t="shared" si="1"/>
        <v/>
      </c>
      <c r="C107" s="67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9"/>
      <c r="AL107" s="46"/>
      <c r="AM107" s="39"/>
      <c r="AN107" s="39"/>
    </row>
    <row r="108" spans="1:40" ht="15" customHeight="1">
      <c r="A108" s="39"/>
      <c r="B108" s="45" t="str">
        <f t="shared" si="1"/>
        <v/>
      </c>
      <c r="C108" s="67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9"/>
      <c r="AL108" s="46"/>
      <c r="AM108" s="39"/>
      <c r="AN108" s="39"/>
    </row>
    <row r="109" spans="1:40" ht="15" customHeight="1">
      <c r="A109" s="39"/>
      <c r="B109" s="45" t="str">
        <f t="shared" si="1"/>
        <v/>
      </c>
      <c r="C109" s="67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9"/>
      <c r="AL109" s="46"/>
      <c r="AM109" s="39"/>
      <c r="AN109" s="39"/>
    </row>
    <row r="110" spans="1:40" ht="15" customHeight="1">
      <c r="A110" s="39"/>
      <c r="B110" s="45" t="str">
        <f t="shared" si="1"/>
        <v/>
      </c>
      <c r="C110" s="67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9"/>
      <c r="AL110" s="46"/>
      <c r="AM110" s="39"/>
      <c r="AN110" s="39"/>
    </row>
    <row r="111" spans="1:40" ht="15" customHeight="1">
      <c r="A111" s="39"/>
      <c r="B111" s="45" t="str">
        <f t="shared" si="1"/>
        <v/>
      </c>
      <c r="C111" s="67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9"/>
      <c r="AL111" s="46"/>
      <c r="AM111" s="39"/>
      <c r="AN111" s="39"/>
    </row>
    <row r="112" spans="1:40" ht="15" customHeight="1">
      <c r="A112" s="39"/>
      <c r="B112" s="45" t="str">
        <f t="shared" si="1"/>
        <v/>
      </c>
      <c r="C112" s="67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9"/>
      <c r="AL112" s="46"/>
      <c r="AM112" s="39"/>
      <c r="AN112" s="39"/>
    </row>
    <row r="113" spans="1:40" ht="15" customHeight="1">
      <c r="A113" s="39"/>
      <c r="B113" s="45" t="str">
        <f t="shared" si="1"/>
        <v/>
      </c>
      <c r="C113" s="67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9"/>
      <c r="AL113" s="46"/>
      <c r="AM113" s="39"/>
      <c r="AN113" s="39"/>
    </row>
    <row r="114" spans="1:40" ht="15" customHeight="1">
      <c r="A114" s="39"/>
      <c r="B114" s="45" t="str">
        <f t="shared" si="1"/>
        <v/>
      </c>
      <c r="C114" s="67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9"/>
      <c r="AL114" s="46"/>
      <c r="AM114" s="39"/>
      <c r="AN114" s="39"/>
    </row>
    <row r="115" spans="1:40" ht="15" customHeight="1">
      <c r="A115" s="39"/>
      <c r="B115" s="45" t="str">
        <f t="shared" si="1"/>
        <v/>
      </c>
      <c r="C115" s="67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9"/>
      <c r="AL115" s="46"/>
      <c r="AM115" s="39"/>
      <c r="AN115" s="39"/>
    </row>
    <row r="116" spans="1:40" ht="15" customHeight="1">
      <c r="A116" s="39"/>
      <c r="B116" s="45" t="str">
        <f t="shared" si="1"/>
        <v/>
      </c>
      <c r="C116" s="67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9"/>
      <c r="AL116" s="46"/>
      <c r="AM116" s="39"/>
      <c r="AN116" s="39"/>
    </row>
    <row r="117" spans="1:40" ht="15" customHeight="1">
      <c r="A117" s="39"/>
      <c r="B117" s="45" t="str">
        <f t="shared" si="1"/>
        <v/>
      </c>
      <c r="C117" s="67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9"/>
      <c r="AL117" s="46"/>
      <c r="AM117" s="39"/>
      <c r="AN117" s="39"/>
    </row>
    <row r="118" spans="1:40" ht="15" customHeight="1">
      <c r="A118" s="39"/>
      <c r="B118" s="45" t="str">
        <f t="shared" si="1"/>
        <v/>
      </c>
      <c r="C118" s="67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9"/>
      <c r="AL118" s="46"/>
      <c r="AM118" s="39"/>
      <c r="AN118" s="39"/>
    </row>
    <row r="119" spans="1:40" ht="15" customHeight="1">
      <c r="A119" s="39"/>
      <c r="B119" s="45" t="str">
        <f t="shared" si="1"/>
        <v/>
      </c>
      <c r="C119" s="67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9"/>
      <c r="AL119" s="46"/>
      <c r="AM119" s="39"/>
      <c r="AN119" s="39"/>
    </row>
    <row r="120" spans="1:40" ht="15" customHeight="1">
      <c r="A120" s="39"/>
      <c r="B120" s="45" t="str">
        <f t="shared" si="1"/>
        <v/>
      </c>
      <c r="C120" s="67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9"/>
      <c r="AL120" s="46"/>
      <c r="AM120" s="39"/>
      <c r="AN120" s="39"/>
    </row>
    <row r="121" spans="1:40" ht="15" customHeight="1">
      <c r="A121" s="39"/>
      <c r="B121" s="45" t="str">
        <f t="shared" si="1"/>
        <v/>
      </c>
      <c r="C121" s="67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9"/>
      <c r="AL121" s="46"/>
      <c r="AM121" s="39"/>
      <c r="AN121" s="39"/>
    </row>
    <row r="122" spans="1:40" ht="15" customHeight="1">
      <c r="A122" s="39"/>
      <c r="B122" s="45" t="str">
        <f t="shared" si="1"/>
        <v/>
      </c>
      <c r="C122" s="67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9"/>
      <c r="AL122" s="46"/>
      <c r="AM122" s="39"/>
      <c r="AN122" s="39"/>
    </row>
    <row r="123" spans="1:40" ht="15" customHeight="1">
      <c r="A123" s="39"/>
      <c r="B123" s="45" t="str">
        <f t="shared" si="1"/>
        <v/>
      </c>
      <c r="C123" s="67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9"/>
      <c r="AL123" s="46"/>
      <c r="AM123" s="39"/>
      <c r="AN123" s="39"/>
    </row>
    <row r="124" spans="1:40" ht="15" customHeight="1">
      <c r="A124" s="39"/>
      <c r="B124" s="45" t="str">
        <f t="shared" si="1"/>
        <v/>
      </c>
      <c r="C124" s="67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9"/>
      <c r="AL124" s="46"/>
      <c r="AM124" s="39"/>
      <c r="AN124" s="39"/>
    </row>
    <row r="125" spans="1:40" ht="15" customHeight="1">
      <c r="A125" s="39"/>
      <c r="B125" s="45" t="str">
        <f t="shared" si="1"/>
        <v/>
      </c>
      <c r="C125" s="67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9"/>
      <c r="AL125" s="46"/>
      <c r="AM125" s="39"/>
      <c r="AN125" s="39"/>
    </row>
    <row r="126" spans="1:40" ht="15" customHeight="1">
      <c r="A126" s="39"/>
      <c r="B126" s="45" t="str">
        <f t="shared" si="1"/>
        <v/>
      </c>
      <c r="C126" s="67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9"/>
      <c r="AL126" s="46"/>
      <c r="AM126" s="39"/>
      <c r="AN126" s="39"/>
    </row>
    <row r="127" spans="1:40" ht="15" customHeight="1">
      <c r="A127" s="39"/>
      <c r="B127" s="45" t="str">
        <f t="shared" si="1"/>
        <v/>
      </c>
      <c r="C127" s="67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9"/>
      <c r="AL127" s="46"/>
      <c r="AM127" s="39"/>
      <c r="AN127" s="39"/>
    </row>
    <row r="128" spans="1:40" ht="15" customHeight="1">
      <c r="A128" s="39"/>
      <c r="B128" s="45" t="str">
        <f t="shared" si="1"/>
        <v/>
      </c>
      <c r="C128" s="67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9"/>
      <c r="AL128" s="46"/>
      <c r="AM128" s="39"/>
      <c r="AN128" s="39"/>
    </row>
    <row r="129" spans="1:40" ht="15" customHeight="1">
      <c r="A129" s="39"/>
      <c r="B129" s="45" t="str">
        <f t="shared" si="1"/>
        <v/>
      </c>
      <c r="C129" s="67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9"/>
      <c r="AL129" s="46"/>
      <c r="AM129" s="39"/>
      <c r="AN129" s="39"/>
    </row>
    <row r="130" spans="1:40" ht="15" customHeight="1">
      <c r="A130" s="39"/>
      <c r="B130" s="45" t="str">
        <f t="shared" si="1"/>
        <v/>
      </c>
      <c r="C130" s="67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9"/>
      <c r="AL130" s="46"/>
      <c r="AM130" s="39"/>
      <c r="AN130" s="39"/>
    </row>
    <row r="131" spans="1:40" ht="15" customHeight="1">
      <c r="A131" s="39"/>
      <c r="B131" s="45" t="str">
        <f t="shared" si="1"/>
        <v/>
      </c>
      <c r="C131" s="67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9"/>
      <c r="AL131" s="46"/>
      <c r="AM131" s="39"/>
      <c r="AN131" s="39"/>
    </row>
    <row r="132" spans="1:40" ht="15" customHeight="1">
      <c r="A132" s="39"/>
      <c r="B132" s="45" t="str">
        <f t="shared" si="1"/>
        <v/>
      </c>
      <c r="C132" s="67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9"/>
      <c r="AL132" s="46"/>
      <c r="AM132" s="39"/>
      <c r="AN132" s="39"/>
    </row>
    <row r="133" spans="1:40" ht="15" customHeight="1">
      <c r="A133" s="39"/>
      <c r="B133" s="45" t="str">
        <f t="shared" si="1"/>
        <v/>
      </c>
      <c r="C133" s="67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9"/>
      <c r="AL133" s="46"/>
      <c r="AM133" s="39"/>
      <c r="AN133" s="39"/>
    </row>
    <row r="134" spans="1:40" ht="15" customHeight="1">
      <c r="A134" s="39"/>
      <c r="B134" s="45" t="str">
        <f t="shared" si="1"/>
        <v/>
      </c>
      <c r="C134" s="67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9"/>
      <c r="AL134" s="46"/>
      <c r="AM134" s="39"/>
      <c r="AN134" s="39"/>
    </row>
    <row r="135" spans="1:40" ht="15" customHeight="1">
      <c r="A135" s="39"/>
      <c r="B135" s="45" t="str">
        <f t="shared" si="1"/>
        <v/>
      </c>
      <c r="C135" s="67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9"/>
      <c r="AL135" s="46"/>
      <c r="AM135" s="39"/>
      <c r="AN135" s="39"/>
    </row>
    <row r="136" spans="1:40" ht="15" customHeight="1">
      <c r="A136" s="39"/>
      <c r="B136" s="45" t="str">
        <f t="shared" si="1"/>
        <v/>
      </c>
      <c r="C136" s="67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9"/>
      <c r="AL136" s="46"/>
      <c r="AM136" s="39"/>
      <c r="AN136" s="39"/>
    </row>
    <row r="137" spans="1:40" ht="15" customHeight="1">
      <c r="A137" s="39"/>
      <c r="B137" s="45" t="str">
        <f t="shared" si="1"/>
        <v/>
      </c>
      <c r="C137" s="6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9"/>
      <c r="AL137" s="46"/>
      <c r="AM137" s="39"/>
      <c r="AN137" s="39"/>
    </row>
    <row r="138" spans="1:40" ht="15" customHeight="1">
      <c r="A138" s="39"/>
      <c r="B138" s="45" t="str">
        <f t="shared" si="1"/>
        <v/>
      </c>
      <c r="C138" s="67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9"/>
      <c r="AL138" s="46"/>
      <c r="AM138" s="39"/>
      <c r="AN138" s="39"/>
    </row>
    <row r="139" spans="1:40" ht="15" customHeight="1">
      <c r="A139" s="39"/>
      <c r="B139" s="45" t="str">
        <f t="shared" si="1"/>
        <v/>
      </c>
      <c r="C139" s="67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9"/>
      <c r="AL139" s="46"/>
      <c r="AM139" s="39"/>
      <c r="AN139" s="39"/>
    </row>
    <row r="140" spans="1:40" ht="15" customHeight="1">
      <c r="A140" s="39"/>
      <c r="B140" s="45" t="str">
        <f t="shared" ref="B140:B203" si="2">IF(Start_year+ROW(B142)-ROW($B$14)&gt;End_year,"",Start_year+ROW(B142)-ROW($B$14))</f>
        <v/>
      </c>
      <c r="C140" s="67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9"/>
      <c r="AL140" s="46"/>
      <c r="AM140" s="39"/>
      <c r="AN140" s="39"/>
    </row>
    <row r="141" spans="1:40" ht="15" customHeight="1">
      <c r="A141" s="39"/>
      <c r="B141" s="45" t="str">
        <f t="shared" si="2"/>
        <v/>
      </c>
      <c r="C141" s="67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9"/>
      <c r="AL141" s="46"/>
      <c r="AM141" s="39"/>
      <c r="AN141" s="39"/>
    </row>
    <row r="142" spans="1:40" ht="15" customHeight="1">
      <c r="A142" s="39"/>
      <c r="B142" s="45" t="str">
        <f t="shared" si="2"/>
        <v/>
      </c>
      <c r="C142" s="67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9"/>
      <c r="AL142" s="46"/>
      <c r="AM142" s="39"/>
      <c r="AN142" s="39"/>
    </row>
    <row r="143" spans="1:40" ht="15" customHeight="1">
      <c r="A143" s="39"/>
      <c r="B143" s="45" t="str">
        <f t="shared" si="2"/>
        <v/>
      </c>
      <c r="C143" s="67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9"/>
      <c r="AL143" s="46"/>
      <c r="AM143" s="39"/>
      <c r="AN143" s="39"/>
    </row>
    <row r="144" spans="1:40" ht="15" customHeight="1">
      <c r="A144" s="39"/>
      <c r="B144" s="45" t="str">
        <f t="shared" si="2"/>
        <v/>
      </c>
      <c r="C144" s="67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9"/>
      <c r="AL144" s="46"/>
      <c r="AM144" s="39"/>
      <c r="AN144" s="39"/>
    </row>
    <row r="145" spans="1:40" ht="15" customHeight="1">
      <c r="A145" s="39"/>
      <c r="B145" s="45" t="str">
        <f t="shared" si="2"/>
        <v/>
      </c>
      <c r="C145" s="67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9"/>
      <c r="AL145" s="46"/>
      <c r="AM145" s="39"/>
      <c r="AN145" s="39"/>
    </row>
    <row r="146" spans="1:40" ht="15" customHeight="1">
      <c r="A146" s="39"/>
      <c r="B146" s="45" t="str">
        <f t="shared" si="2"/>
        <v/>
      </c>
      <c r="C146" s="67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9"/>
      <c r="AL146" s="46"/>
      <c r="AM146" s="39"/>
      <c r="AN146" s="39"/>
    </row>
    <row r="147" spans="1:40" ht="15" customHeight="1">
      <c r="A147" s="39"/>
      <c r="B147" s="45" t="str">
        <f t="shared" si="2"/>
        <v/>
      </c>
      <c r="C147" s="67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9"/>
      <c r="AL147" s="46"/>
      <c r="AM147" s="39"/>
      <c r="AN147" s="39"/>
    </row>
    <row r="148" spans="1:40" ht="15" customHeight="1">
      <c r="A148" s="39"/>
      <c r="B148" s="45" t="str">
        <f t="shared" si="2"/>
        <v/>
      </c>
      <c r="C148" s="67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9"/>
      <c r="AL148" s="46"/>
      <c r="AM148" s="39"/>
      <c r="AN148" s="39"/>
    </row>
    <row r="149" spans="1:40" ht="15" customHeight="1">
      <c r="A149" s="39"/>
      <c r="B149" s="45" t="str">
        <f t="shared" si="2"/>
        <v/>
      </c>
      <c r="C149" s="67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9"/>
      <c r="AL149" s="46"/>
      <c r="AM149" s="39"/>
      <c r="AN149" s="39"/>
    </row>
    <row r="150" spans="1:40" ht="15" customHeight="1">
      <c r="A150" s="39"/>
      <c r="B150" s="45" t="str">
        <f t="shared" si="2"/>
        <v/>
      </c>
      <c r="C150" s="67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9"/>
      <c r="AL150" s="46"/>
      <c r="AM150" s="39"/>
      <c r="AN150" s="39"/>
    </row>
    <row r="151" spans="1:40" ht="15" customHeight="1">
      <c r="A151" s="39"/>
      <c r="B151" s="45" t="str">
        <f t="shared" si="2"/>
        <v/>
      </c>
      <c r="C151" s="67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9"/>
      <c r="AL151" s="46"/>
      <c r="AM151" s="39"/>
      <c r="AN151" s="39"/>
    </row>
    <row r="152" spans="1:40" ht="15" customHeight="1">
      <c r="A152" s="39"/>
      <c r="B152" s="45" t="str">
        <f t="shared" si="2"/>
        <v/>
      </c>
      <c r="C152" s="67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9"/>
      <c r="AL152" s="46"/>
      <c r="AM152" s="39"/>
      <c r="AN152" s="39"/>
    </row>
    <row r="153" spans="1:40" ht="15" customHeight="1">
      <c r="A153" s="39"/>
      <c r="B153" s="45" t="str">
        <f t="shared" si="2"/>
        <v/>
      </c>
      <c r="C153" s="67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9"/>
      <c r="AL153" s="46"/>
      <c r="AM153" s="39"/>
      <c r="AN153" s="39"/>
    </row>
    <row r="154" spans="1:40" ht="15" customHeight="1">
      <c r="A154" s="39"/>
      <c r="B154" s="45" t="str">
        <f t="shared" si="2"/>
        <v/>
      </c>
      <c r="C154" s="67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9"/>
      <c r="AL154" s="46"/>
      <c r="AM154" s="39"/>
      <c r="AN154" s="39"/>
    </row>
    <row r="155" spans="1:40" ht="15" customHeight="1">
      <c r="A155" s="39"/>
      <c r="B155" s="45" t="str">
        <f t="shared" si="2"/>
        <v/>
      </c>
      <c r="C155" s="67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9"/>
      <c r="AL155" s="46"/>
      <c r="AM155" s="39"/>
      <c r="AN155" s="39"/>
    </row>
    <row r="156" spans="1:40" ht="15" customHeight="1">
      <c r="A156" s="39"/>
      <c r="B156" s="45" t="str">
        <f t="shared" si="2"/>
        <v/>
      </c>
      <c r="C156" s="67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9"/>
      <c r="AL156" s="46"/>
      <c r="AM156" s="39"/>
      <c r="AN156" s="39"/>
    </row>
    <row r="157" spans="1:40" ht="15" customHeight="1">
      <c r="A157" s="39"/>
      <c r="B157" s="45" t="str">
        <f t="shared" si="2"/>
        <v/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9"/>
      <c r="AL157" s="46"/>
      <c r="AM157" s="39"/>
      <c r="AN157" s="39"/>
    </row>
    <row r="158" spans="1:40" ht="15" customHeight="1">
      <c r="A158" s="39"/>
      <c r="B158" s="45" t="str">
        <f t="shared" si="2"/>
        <v/>
      </c>
      <c r="C158" s="67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9"/>
      <c r="AL158" s="46"/>
      <c r="AM158" s="39"/>
      <c r="AN158" s="39"/>
    </row>
    <row r="159" spans="1:40" ht="15" customHeight="1">
      <c r="A159" s="39"/>
      <c r="B159" s="45" t="str">
        <f t="shared" si="2"/>
        <v/>
      </c>
      <c r="C159" s="67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9"/>
      <c r="AL159" s="46"/>
      <c r="AM159" s="39"/>
      <c r="AN159" s="39"/>
    </row>
    <row r="160" spans="1:40" ht="15" customHeight="1">
      <c r="A160" s="39"/>
      <c r="B160" s="45" t="str">
        <f t="shared" si="2"/>
        <v/>
      </c>
      <c r="C160" s="67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9"/>
      <c r="AL160" s="46"/>
      <c r="AM160" s="39"/>
      <c r="AN160" s="39"/>
    </row>
    <row r="161" spans="1:40" ht="15" customHeight="1">
      <c r="A161" s="39"/>
      <c r="B161" s="45" t="str">
        <f t="shared" si="2"/>
        <v/>
      </c>
      <c r="C161" s="67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9"/>
      <c r="AL161" s="46"/>
      <c r="AM161" s="39"/>
      <c r="AN161" s="39"/>
    </row>
    <row r="162" spans="1:40" ht="15" customHeight="1">
      <c r="A162" s="39"/>
      <c r="B162" s="45" t="str">
        <f t="shared" si="2"/>
        <v/>
      </c>
      <c r="C162" s="67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9"/>
      <c r="AL162" s="46"/>
      <c r="AM162" s="39"/>
      <c r="AN162" s="39"/>
    </row>
    <row r="163" spans="1:40" ht="15" customHeight="1">
      <c r="A163" s="39"/>
      <c r="B163" s="45" t="str">
        <f t="shared" si="2"/>
        <v/>
      </c>
      <c r="C163" s="67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9"/>
      <c r="AL163" s="46"/>
      <c r="AM163" s="39"/>
      <c r="AN163" s="39"/>
    </row>
    <row r="164" spans="1:40" ht="15" customHeight="1">
      <c r="A164" s="39"/>
      <c r="B164" s="45" t="str">
        <f t="shared" si="2"/>
        <v/>
      </c>
      <c r="C164" s="67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9"/>
      <c r="AL164" s="46"/>
      <c r="AM164" s="39"/>
      <c r="AN164" s="39"/>
    </row>
    <row r="165" spans="1:40" ht="15" customHeight="1">
      <c r="A165" s="39"/>
      <c r="B165" s="45" t="str">
        <f t="shared" si="2"/>
        <v/>
      </c>
      <c r="C165" s="67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9"/>
      <c r="AL165" s="46"/>
      <c r="AM165" s="39"/>
      <c r="AN165" s="39"/>
    </row>
    <row r="166" spans="1:40" ht="15" customHeight="1">
      <c r="A166" s="39"/>
      <c r="B166" s="45" t="str">
        <f t="shared" si="2"/>
        <v/>
      </c>
      <c r="C166" s="67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9"/>
      <c r="AL166" s="46"/>
      <c r="AM166" s="39"/>
      <c r="AN166" s="39"/>
    </row>
    <row r="167" spans="1:40" ht="15" customHeight="1">
      <c r="A167" s="39"/>
      <c r="B167" s="45" t="str">
        <f t="shared" si="2"/>
        <v/>
      </c>
      <c r="C167" s="67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9"/>
      <c r="AL167" s="46"/>
      <c r="AM167" s="39"/>
      <c r="AN167" s="39"/>
    </row>
    <row r="168" spans="1:40" ht="15" customHeight="1">
      <c r="A168" s="39"/>
      <c r="B168" s="45" t="str">
        <f t="shared" si="2"/>
        <v/>
      </c>
      <c r="C168" s="67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9"/>
      <c r="AL168" s="46"/>
      <c r="AM168" s="39"/>
      <c r="AN168" s="39"/>
    </row>
    <row r="169" spans="1:40" ht="15" customHeight="1">
      <c r="A169" s="39"/>
      <c r="B169" s="45" t="str">
        <f t="shared" si="2"/>
        <v/>
      </c>
      <c r="C169" s="67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9"/>
      <c r="AL169" s="46"/>
      <c r="AM169" s="39"/>
      <c r="AN169" s="39"/>
    </row>
    <row r="170" spans="1:40" ht="15" customHeight="1">
      <c r="A170" s="39"/>
      <c r="B170" s="45" t="str">
        <f t="shared" si="2"/>
        <v/>
      </c>
      <c r="C170" s="67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9"/>
      <c r="AL170" s="46"/>
      <c r="AM170" s="39"/>
      <c r="AN170" s="39"/>
    </row>
    <row r="171" spans="1:40" ht="15" customHeight="1">
      <c r="A171" s="39"/>
      <c r="B171" s="45" t="str">
        <f t="shared" si="2"/>
        <v/>
      </c>
      <c r="C171" s="67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9"/>
      <c r="AL171" s="46"/>
      <c r="AM171" s="39"/>
      <c r="AN171" s="39"/>
    </row>
    <row r="172" spans="1:40" ht="15" customHeight="1">
      <c r="A172" s="39"/>
      <c r="B172" s="45" t="str">
        <f t="shared" si="2"/>
        <v/>
      </c>
      <c r="C172" s="67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9"/>
      <c r="AL172" s="46"/>
      <c r="AM172" s="39"/>
      <c r="AN172" s="39"/>
    </row>
    <row r="173" spans="1:40" ht="15" customHeight="1">
      <c r="A173" s="39"/>
      <c r="B173" s="45" t="str">
        <f t="shared" si="2"/>
        <v/>
      </c>
      <c r="C173" s="67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9"/>
      <c r="AL173" s="46"/>
      <c r="AM173" s="39"/>
      <c r="AN173" s="39"/>
    </row>
    <row r="174" spans="1:40" ht="15" customHeight="1">
      <c r="A174" s="39"/>
      <c r="B174" s="45" t="str">
        <f t="shared" si="2"/>
        <v/>
      </c>
      <c r="C174" s="67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9"/>
      <c r="AL174" s="46"/>
      <c r="AM174" s="39"/>
      <c r="AN174" s="39"/>
    </row>
    <row r="175" spans="1:40" ht="15" customHeight="1">
      <c r="A175" s="39"/>
      <c r="B175" s="45" t="str">
        <f t="shared" si="2"/>
        <v/>
      </c>
      <c r="C175" s="67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9"/>
      <c r="AL175" s="46"/>
      <c r="AM175" s="39"/>
      <c r="AN175" s="39"/>
    </row>
    <row r="176" spans="1:40" ht="15" customHeight="1">
      <c r="A176" s="39"/>
      <c r="B176" s="45" t="str">
        <f t="shared" si="2"/>
        <v/>
      </c>
      <c r="C176" s="67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9"/>
      <c r="AL176" s="46"/>
      <c r="AM176" s="39"/>
      <c r="AN176" s="39"/>
    </row>
    <row r="177" spans="1:40" ht="15" customHeight="1">
      <c r="A177" s="39"/>
      <c r="B177" s="45" t="str">
        <f t="shared" si="2"/>
        <v/>
      </c>
      <c r="C177" s="67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9"/>
      <c r="AL177" s="46"/>
      <c r="AM177" s="39"/>
      <c r="AN177" s="39"/>
    </row>
    <row r="178" spans="1:40" ht="15" customHeight="1">
      <c r="A178" s="39"/>
      <c r="B178" s="45" t="str">
        <f t="shared" si="2"/>
        <v/>
      </c>
      <c r="C178" s="67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9"/>
      <c r="AL178" s="46"/>
      <c r="AM178" s="39"/>
      <c r="AN178" s="39"/>
    </row>
    <row r="179" spans="1:40" ht="15" customHeight="1">
      <c r="A179" s="39"/>
      <c r="B179" s="45" t="str">
        <f t="shared" si="2"/>
        <v/>
      </c>
      <c r="C179" s="67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9"/>
      <c r="AL179" s="46"/>
      <c r="AM179" s="39"/>
      <c r="AN179" s="39"/>
    </row>
    <row r="180" spans="1:40" ht="15" customHeight="1">
      <c r="A180" s="39"/>
      <c r="B180" s="45" t="str">
        <f t="shared" si="2"/>
        <v/>
      </c>
      <c r="C180" s="67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9"/>
      <c r="AL180" s="46"/>
      <c r="AM180" s="39"/>
      <c r="AN180" s="39"/>
    </row>
    <row r="181" spans="1:40" ht="15" customHeight="1">
      <c r="A181" s="39"/>
      <c r="B181" s="45" t="str">
        <f t="shared" si="2"/>
        <v/>
      </c>
      <c r="C181" s="67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9"/>
      <c r="AL181" s="46"/>
      <c r="AM181" s="39"/>
      <c r="AN181" s="39"/>
    </row>
    <row r="182" spans="1:40" ht="15" customHeight="1">
      <c r="A182" s="39"/>
      <c r="B182" s="45" t="str">
        <f t="shared" si="2"/>
        <v/>
      </c>
      <c r="C182" s="67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9"/>
      <c r="AL182" s="46"/>
      <c r="AM182" s="39"/>
      <c r="AN182" s="39"/>
    </row>
    <row r="183" spans="1:40" ht="15" customHeight="1">
      <c r="A183" s="39"/>
      <c r="B183" s="45" t="str">
        <f t="shared" si="2"/>
        <v/>
      </c>
      <c r="C183" s="67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9"/>
      <c r="AL183" s="46"/>
      <c r="AM183" s="39"/>
      <c r="AN183" s="39"/>
    </row>
    <row r="184" spans="1:40" ht="15" customHeight="1">
      <c r="A184" s="39"/>
      <c r="B184" s="45" t="str">
        <f t="shared" si="2"/>
        <v/>
      </c>
      <c r="C184" s="67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9"/>
      <c r="AL184" s="46"/>
      <c r="AM184" s="39"/>
      <c r="AN184" s="39"/>
    </row>
    <row r="185" spans="1:40" ht="15" customHeight="1">
      <c r="A185" s="39"/>
      <c r="B185" s="45" t="str">
        <f t="shared" si="2"/>
        <v/>
      </c>
      <c r="C185" s="67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9"/>
      <c r="AL185" s="46"/>
      <c r="AM185" s="39"/>
      <c r="AN185" s="39"/>
    </row>
    <row r="186" spans="1:40" ht="15" customHeight="1">
      <c r="A186" s="39"/>
      <c r="B186" s="45" t="str">
        <f t="shared" si="2"/>
        <v/>
      </c>
      <c r="C186" s="67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9"/>
      <c r="AL186" s="46"/>
      <c r="AM186" s="39"/>
      <c r="AN186" s="39"/>
    </row>
    <row r="187" spans="1:40" ht="15" customHeight="1">
      <c r="A187" s="39"/>
      <c r="B187" s="45" t="str">
        <f t="shared" si="2"/>
        <v/>
      </c>
      <c r="C187" s="67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9"/>
      <c r="AL187" s="46"/>
      <c r="AM187" s="39"/>
      <c r="AN187" s="39"/>
    </row>
    <row r="188" spans="1:40" ht="15" customHeight="1">
      <c r="A188" s="39"/>
      <c r="B188" s="45" t="str">
        <f t="shared" si="2"/>
        <v/>
      </c>
      <c r="C188" s="67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9"/>
      <c r="AL188" s="46"/>
      <c r="AM188" s="39"/>
      <c r="AN188" s="39"/>
    </row>
    <row r="189" spans="1:40" ht="15" customHeight="1">
      <c r="A189" s="39"/>
      <c r="B189" s="45" t="str">
        <f t="shared" si="2"/>
        <v/>
      </c>
      <c r="C189" s="67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9"/>
      <c r="AL189" s="46"/>
      <c r="AM189" s="39"/>
      <c r="AN189" s="39"/>
    </row>
    <row r="190" spans="1:40" ht="15" customHeight="1">
      <c r="A190" s="39"/>
      <c r="B190" s="45" t="str">
        <f t="shared" si="2"/>
        <v/>
      </c>
      <c r="C190" s="67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9"/>
      <c r="AL190" s="46"/>
      <c r="AM190" s="39"/>
      <c r="AN190" s="39"/>
    </row>
    <row r="191" spans="1:40" ht="15" customHeight="1">
      <c r="A191" s="39"/>
      <c r="B191" s="45" t="str">
        <f t="shared" si="2"/>
        <v/>
      </c>
      <c r="C191" s="67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9"/>
      <c r="AL191" s="46"/>
      <c r="AM191" s="39"/>
      <c r="AN191" s="39"/>
    </row>
    <row r="192" spans="1:40" ht="15" customHeight="1">
      <c r="A192" s="39"/>
      <c r="B192" s="45" t="str">
        <f t="shared" si="2"/>
        <v/>
      </c>
      <c r="C192" s="67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9"/>
      <c r="AL192" s="46"/>
      <c r="AM192" s="39"/>
      <c r="AN192" s="39"/>
    </row>
    <row r="193" spans="1:40" ht="15" customHeight="1">
      <c r="A193" s="39"/>
      <c r="B193" s="45" t="str">
        <f t="shared" si="2"/>
        <v/>
      </c>
      <c r="C193" s="67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9"/>
      <c r="AL193" s="46"/>
      <c r="AM193" s="39"/>
      <c r="AN193" s="39"/>
    </row>
    <row r="194" spans="1:40" ht="15" customHeight="1">
      <c r="A194" s="39"/>
      <c r="B194" s="45" t="str">
        <f t="shared" si="2"/>
        <v/>
      </c>
      <c r="C194" s="67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9"/>
      <c r="AL194" s="46"/>
      <c r="AM194" s="39"/>
      <c r="AN194" s="39"/>
    </row>
    <row r="195" spans="1:40" ht="15" customHeight="1">
      <c r="A195" s="39"/>
      <c r="B195" s="45" t="str">
        <f t="shared" si="2"/>
        <v/>
      </c>
      <c r="C195" s="67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9"/>
      <c r="AL195" s="46"/>
      <c r="AM195" s="39"/>
      <c r="AN195" s="39"/>
    </row>
    <row r="196" spans="1:40" ht="15" customHeight="1">
      <c r="A196" s="39"/>
      <c r="B196" s="45" t="str">
        <f t="shared" si="2"/>
        <v/>
      </c>
      <c r="C196" s="67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9"/>
      <c r="AL196" s="46"/>
      <c r="AM196" s="39"/>
      <c r="AN196" s="39"/>
    </row>
    <row r="197" spans="1:40" ht="15" customHeight="1">
      <c r="A197" s="39"/>
      <c r="B197" s="45" t="str">
        <f t="shared" si="2"/>
        <v/>
      </c>
      <c r="C197" s="67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9"/>
      <c r="AL197" s="46"/>
      <c r="AM197" s="39"/>
      <c r="AN197" s="39"/>
    </row>
    <row r="198" spans="1:40" ht="15" customHeight="1">
      <c r="A198" s="39"/>
      <c r="B198" s="45" t="str">
        <f t="shared" si="2"/>
        <v/>
      </c>
      <c r="C198" s="67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9"/>
      <c r="AL198" s="46"/>
      <c r="AM198" s="39"/>
      <c r="AN198" s="39"/>
    </row>
    <row r="199" spans="1:40" ht="15" customHeight="1">
      <c r="A199" s="39"/>
      <c r="B199" s="45" t="str">
        <f t="shared" si="2"/>
        <v/>
      </c>
      <c r="C199" s="67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9"/>
      <c r="AL199" s="46"/>
      <c r="AM199" s="39"/>
      <c r="AN199" s="39"/>
    </row>
    <row r="200" spans="1:40" ht="15" customHeight="1">
      <c r="A200" s="39"/>
      <c r="B200" s="45" t="str">
        <f t="shared" si="2"/>
        <v/>
      </c>
      <c r="C200" s="67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9"/>
      <c r="AL200" s="46"/>
      <c r="AM200" s="39"/>
      <c r="AN200" s="39"/>
    </row>
    <row r="201" spans="1:40" ht="15" customHeight="1">
      <c r="A201" s="39"/>
      <c r="B201" s="45" t="str">
        <f t="shared" si="2"/>
        <v/>
      </c>
      <c r="C201" s="67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9"/>
      <c r="AL201" s="46"/>
      <c r="AM201" s="39"/>
      <c r="AN201" s="39"/>
    </row>
    <row r="202" spans="1:40" ht="15" customHeight="1">
      <c r="A202" s="39"/>
      <c r="B202" s="45" t="str">
        <f t="shared" si="2"/>
        <v/>
      </c>
      <c r="C202" s="67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9"/>
      <c r="AL202" s="46"/>
      <c r="AM202" s="39"/>
      <c r="AN202" s="39"/>
    </row>
    <row r="203" spans="1:40" ht="15" customHeight="1">
      <c r="A203" s="39"/>
      <c r="B203" s="45" t="str">
        <f t="shared" si="2"/>
        <v/>
      </c>
      <c r="C203" s="67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9"/>
      <c r="AL203" s="46"/>
      <c r="AM203" s="39"/>
      <c r="AN203" s="39"/>
    </row>
    <row r="204" spans="1:40" ht="15" customHeight="1">
      <c r="A204" s="39"/>
      <c r="B204" s="45" t="str">
        <f t="shared" ref="B204:B212" si="3">IF(Start_year+ROW(B206)-ROW($B$14)&gt;End_year,"",Start_year+ROW(B206)-ROW($B$14))</f>
        <v/>
      </c>
      <c r="C204" s="67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9"/>
      <c r="AL204" s="46"/>
      <c r="AM204" s="39"/>
      <c r="AN204" s="39"/>
    </row>
    <row r="205" spans="1:40" ht="15" customHeight="1">
      <c r="A205" s="39"/>
      <c r="B205" s="45" t="str">
        <f t="shared" si="3"/>
        <v/>
      </c>
      <c r="C205" s="67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9"/>
      <c r="AL205" s="46"/>
      <c r="AM205" s="39"/>
      <c r="AN205" s="39"/>
    </row>
    <row r="206" spans="1:40" ht="15" customHeight="1">
      <c r="A206" s="39"/>
      <c r="B206" s="45" t="str">
        <f t="shared" si="3"/>
        <v/>
      </c>
      <c r="C206" s="67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9"/>
      <c r="AL206" s="46"/>
      <c r="AM206" s="39"/>
      <c r="AN206" s="39"/>
    </row>
    <row r="207" spans="1:40" ht="15" customHeight="1">
      <c r="A207" s="39"/>
      <c r="B207" s="45" t="str">
        <f t="shared" si="3"/>
        <v/>
      </c>
      <c r="C207" s="67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9"/>
      <c r="AL207" s="46"/>
      <c r="AM207" s="39"/>
      <c r="AN207" s="39"/>
    </row>
    <row r="208" spans="1:40" ht="15" customHeight="1">
      <c r="A208" s="39"/>
      <c r="B208" s="45" t="str">
        <f t="shared" si="3"/>
        <v/>
      </c>
      <c r="C208" s="67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9"/>
      <c r="AL208" s="46"/>
      <c r="AM208" s="39"/>
      <c r="AN208" s="39"/>
    </row>
    <row r="209" spans="1:40" ht="15" customHeight="1">
      <c r="A209" s="39"/>
      <c r="B209" s="45" t="str">
        <f t="shared" si="3"/>
        <v/>
      </c>
      <c r="C209" s="67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9"/>
      <c r="AL209" s="46"/>
      <c r="AM209" s="39"/>
      <c r="AN209" s="39"/>
    </row>
    <row r="210" spans="1:40" ht="15" customHeight="1">
      <c r="A210" s="39"/>
      <c r="B210" s="45" t="str">
        <f t="shared" si="3"/>
        <v/>
      </c>
      <c r="C210" s="67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9"/>
      <c r="AL210" s="46"/>
      <c r="AM210" s="39"/>
      <c r="AN210" s="39"/>
    </row>
    <row r="211" spans="1:40" ht="15" customHeight="1">
      <c r="A211" s="39"/>
      <c r="B211" s="45" t="str">
        <f t="shared" si="3"/>
        <v/>
      </c>
      <c r="C211" s="67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9"/>
      <c r="AL211" s="46"/>
      <c r="AM211" s="39"/>
      <c r="AN211" s="39"/>
    </row>
    <row r="212" spans="1:40" ht="15" customHeight="1" thickBot="1">
      <c r="A212" s="39"/>
      <c r="B212" s="45" t="str">
        <f t="shared" si="3"/>
        <v/>
      </c>
      <c r="C212" s="139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1"/>
      <c r="AL212" s="46"/>
      <c r="AM212" s="39"/>
      <c r="AN212" s="39"/>
    </row>
    <row r="213" spans="1:40">
      <c r="A213" s="39"/>
      <c r="B213" s="39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39"/>
      <c r="AM213" s="39"/>
      <c r="AN213" s="39"/>
    </row>
    <row r="214" spans="1:40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</row>
    <row r="215" spans="1:40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</row>
  </sheetData>
  <sheetProtection algorithmName="SHA-512" hashValue="or8Ghh/05RPDM7Akukfl9pAWX5Gq+0kf/bqbrbppbqS1UNU98ikcADY9cb6jnp9qpHBRz3XmUR8o0t6UyJZbJA==" saltValue="mKOw6le4JRqKman6AV9Szg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N119"/>
  <sheetViews>
    <sheetView zoomScaleNormal="100" workbookViewId="0">
      <pane xSplit="1" ySplit="10" topLeftCell="B75" activePane="bottomRight" state="frozen"/>
      <selection pane="topRight" activeCell="B1" sqref="B1"/>
      <selection pane="bottomLeft" activeCell="A11" sqref="A11"/>
      <selection pane="bottomRight" activeCell="E88" sqref="E88"/>
    </sheetView>
  </sheetViews>
  <sheetFormatPr defaultColWidth="8.73046875" defaultRowHeight="12.75"/>
  <cols>
    <col min="1" max="1" width="8.73046875" style="206"/>
    <col min="2" max="2" width="45.59765625" style="206" customWidth="1"/>
    <col min="3" max="3" width="13.86328125" style="206" customWidth="1"/>
    <col min="4" max="4" width="9.3984375" style="206" bestFit="1" customWidth="1"/>
    <col min="5" max="5" width="29.86328125" style="206" customWidth="1"/>
    <col min="6" max="9" width="8.73046875" style="206"/>
    <col min="10" max="10" width="10.1328125" style="206" bestFit="1" customWidth="1"/>
    <col min="11" max="28" width="8.73046875" style="206"/>
    <col min="29" max="40" width="8.73046875" style="212"/>
    <col min="41" max="16384" width="8.73046875" style="206"/>
  </cols>
  <sheetData>
    <row r="1" spans="1:40" s="205" customFormat="1" ht="13.15">
      <c r="A1" s="209">
        <f>COUNTA($A2:$A995)</f>
        <v>87</v>
      </c>
      <c r="B1" s="205" t="s">
        <v>552</v>
      </c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</row>
    <row r="2" spans="1:40" s="205" customFormat="1" ht="13.15">
      <c r="K2" s="226" t="s">
        <v>539</v>
      </c>
      <c r="AC2" s="220"/>
      <c r="AD2" s="220"/>
      <c r="AE2" s="220"/>
      <c r="AF2" s="220"/>
      <c r="AG2" s="220"/>
      <c r="AH2" s="220"/>
      <c r="AI2" s="220"/>
      <c r="AJ2" s="220"/>
      <c r="AK2" s="220"/>
      <c r="AL2" s="220"/>
      <c r="AM2" s="220"/>
      <c r="AN2" s="220"/>
    </row>
    <row r="3" spans="1:40" s="205" customFormat="1" hidden="1"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</row>
    <row r="4" spans="1:40" s="205" customFormat="1" hidden="1">
      <c r="AC4" s="220"/>
      <c r="AD4" s="220"/>
      <c r="AE4" s="220"/>
      <c r="AF4" s="220"/>
      <c r="AG4" s="220"/>
      <c r="AH4" s="220"/>
      <c r="AI4" s="220"/>
      <c r="AJ4" s="220"/>
      <c r="AK4" s="220"/>
      <c r="AL4" s="220"/>
      <c r="AM4" s="220"/>
      <c r="AN4" s="220"/>
    </row>
    <row r="5" spans="1:40" s="205" customFormat="1" hidden="1">
      <c r="AC5" s="220"/>
      <c r="AD5" s="220"/>
      <c r="AE5" s="220"/>
      <c r="AF5" s="220"/>
      <c r="AG5" s="220"/>
      <c r="AH5" s="220"/>
      <c r="AI5" s="220"/>
      <c r="AJ5" s="220"/>
      <c r="AK5" s="220"/>
      <c r="AL5" s="220"/>
      <c r="AM5" s="220"/>
      <c r="AN5" s="220"/>
    </row>
    <row r="6" spans="1:40" s="205" customFormat="1" hidden="1"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</row>
    <row r="7" spans="1:40" s="205" customFormat="1" hidden="1"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</row>
    <row r="8" spans="1:40" s="205" customFormat="1" hidden="1"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</row>
    <row r="9" spans="1:40" s="205" customFormat="1" ht="13.15">
      <c r="B9" s="209" t="s">
        <v>150</v>
      </c>
      <c r="C9" s="209"/>
      <c r="D9" s="209" t="s">
        <v>538</v>
      </c>
      <c r="K9" s="220" t="str">
        <f>'DB-function distributions'!C9</f>
        <v>Agricutural industry</v>
      </c>
      <c r="L9" s="220" t="str">
        <f>'DB-function distributions'!D9</f>
        <v>Chemical industry: basic chemicals</v>
      </c>
      <c r="M9" s="220" t="str">
        <f>'DB-function distributions'!E9</f>
        <v>Chemical industry: chemicals used in synthesis</v>
      </c>
      <c r="N9" s="220" t="str">
        <f>'DB-function distributions'!F9</f>
        <v>Electronical/electronic industry</v>
      </c>
      <c r="O9" s="220" t="str">
        <f>'DB-function distributions'!G9</f>
        <v>Personal/domestic</v>
      </c>
      <c r="P9" s="220" t="str">
        <f>'DB-function distributions'!H9</f>
        <v>Public domain</v>
      </c>
      <c r="Q9" s="220" t="str">
        <f>'DB-function distributions'!I9</f>
        <v>Leather</v>
      </c>
      <c r="R9" s="220" t="str">
        <f>'DB-function distributions'!J9</f>
        <v>Metal extraction</v>
      </c>
      <c r="S9" s="220" t="str">
        <f>'DB-function distributions'!K9</f>
        <v>Mineral oil &amp; fuel</v>
      </c>
      <c r="T9" s="220" t="str">
        <f>'DB-function distributions'!L9</f>
        <v>Photographic industry</v>
      </c>
      <c r="U9" s="220" t="str">
        <f>'DB-function distributions'!M9</f>
        <v>Polymer &amp; plastics</v>
      </c>
      <c r="V9" s="220" t="str">
        <f>'DB-function distributions'!N9</f>
        <v>Pulp, paper, &amp; board</v>
      </c>
      <c r="W9" s="220" t="str">
        <f>'DB-function distributions'!O9</f>
        <v>Textiles</v>
      </c>
      <c r="X9" s="220" t="str">
        <f>'DB-function distributions'!P9</f>
        <v>Paints, lacquers, &amp; varinshes</v>
      </c>
      <c r="Y9" s="220" t="str">
        <f>'DB-function distributions'!Q9</f>
        <v>Others</v>
      </c>
      <c r="Z9" s="220" t="str">
        <f>'DB-function distributions'!R9</f>
        <v>Civil &amp; mechanical engineering</v>
      </c>
      <c r="AC9" s="226" t="s">
        <v>554</v>
      </c>
      <c r="AD9" s="226"/>
      <c r="AE9" s="226"/>
      <c r="AF9" s="226"/>
      <c r="AG9" s="226"/>
      <c r="AH9" s="226"/>
      <c r="AI9" s="226"/>
      <c r="AJ9" s="226" t="s">
        <v>555</v>
      </c>
      <c r="AK9" s="220"/>
      <c r="AL9" s="220"/>
      <c r="AM9" s="220"/>
      <c r="AN9" s="220"/>
    </row>
    <row r="10" spans="1:40" s="205" customFormat="1" ht="13.15">
      <c r="B10" s="205" t="s">
        <v>537</v>
      </c>
      <c r="C10" s="205" t="s">
        <v>547</v>
      </c>
      <c r="D10" s="205" t="s">
        <v>152</v>
      </c>
      <c r="E10" s="205" t="s">
        <v>151</v>
      </c>
      <c r="K10" s="226">
        <f>'DB-function distributions'!C10</f>
        <v>1</v>
      </c>
      <c r="L10" s="226">
        <f>'DB-function distributions'!D10</f>
        <v>2</v>
      </c>
      <c r="M10" s="226">
        <f>'DB-function distributions'!E10</f>
        <v>3</v>
      </c>
      <c r="N10" s="226">
        <f>'DB-function distributions'!F10</f>
        <v>4</v>
      </c>
      <c r="O10" s="226">
        <f>'DB-function distributions'!G10</f>
        <v>5</v>
      </c>
      <c r="P10" s="226">
        <f>'DB-function distributions'!H10</f>
        <v>6</v>
      </c>
      <c r="Q10" s="226">
        <f>'DB-function distributions'!I10</f>
        <v>7</v>
      </c>
      <c r="R10" s="226">
        <f>'DB-function distributions'!J10</f>
        <v>8</v>
      </c>
      <c r="S10" s="226">
        <f>'DB-function distributions'!K10</f>
        <v>9</v>
      </c>
      <c r="T10" s="226">
        <f>'DB-function distributions'!L10</f>
        <v>10</v>
      </c>
      <c r="U10" s="226">
        <f>'DB-function distributions'!M10</f>
        <v>11</v>
      </c>
      <c r="V10" s="226">
        <f>'DB-function distributions'!N10</f>
        <v>12</v>
      </c>
      <c r="W10" s="226">
        <f>'DB-function distributions'!O10</f>
        <v>13</v>
      </c>
      <c r="X10" s="226">
        <f>'DB-function distributions'!P10</f>
        <v>14</v>
      </c>
      <c r="Y10" s="226">
        <f>'DB-function distributions'!Q10</f>
        <v>15</v>
      </c>
      <c r="Z10" s="226">
        <f>'DB-function distributions'!R10</f>
        <v>16</v>
      </c>
      <c r="AC10" s="220" t="s">
        <v>553</v>
      </c>
      <c r="AD10" s="220" t="s">
        <v>263</v>
      </c>
      <c r="AE10" s="220" t="s">
        <v>264</v>
      </c>
      <c r="AF10" s="220" t="s">
        <v>265</v>
      </c>
      <c r="AG10" s="220" t="s">
        <v>266</v>
      </c>
      <c r="AH10" s="220"/>
      <c r="AI10" s="220"/>
      <c r="AJ10" s="220" t="s">
        <v>553</v>
      </c>
      <c r="AK10" s="220" t="s">
        <v>263</v>
      </c>
      <c r="AL10" s="220" t="s">
        <v>264</v>
      </c>
      <c r="AM10" s="220" t="s">
        <v>265</v>
      </c>
      <c r="AN10" s="220" t="s">
        <v>266</v>
      </c>
    </row>
    <row r="11" spans="1:40">
      <c r="A11" s="206">
        <f>ROW(A11)-ROW($A$10)</f>
        <v>1</v>
      </c>
      <c r="B11" s="206" t="s">
        <v>45</v>
      </c>
      <c r="D11" s="206">
        <v>55</v>
      </c>
      <c r="E11" s="206" t="s">
        <v>46</v>
      </c>
      <c r="K11" s="212">
        <f>INDEX('DB-function distributions'!C$11:C$65,MATCH($D11,'DB-function distributions'!$B$11:$B$65,0))</f>
        <v>0.9</v>
      </c>
      <c r="L11" s="212">
        <f>INDEX('DB-function distributions'!D$11:D$65,MATCH($D11,'DB-function distributions'!$B$11:$B$65,0))</f>
        <v>2.62</v>
      </c>
      <c r="M11" s="212">
        <f>INDEX('DB-function distributions'!E$11:E$65,MATCH($D11,'DB-function distributions'!$B$11:$B$65,0))</f>
        <v>3.74</v>
      </c>
      <c r="N11" s="212">
        <f>INDEX('DB-function distributions'!F$11:F$65,MATCH($D11,'DB-function distributions'!$B$11:$B$65,0))</f>
        <v>0.36</v>
      </c>
      <c r="O11" s="212">
        <f>INDEX('DB-function distributions'!G$11:G$65,MATCH($D11,'DB-function distributions'!$B$11:$B$65,0))</f>
        <v>1.96</v>
      </c>
      <c r="P11" s="212">
        <f>INDEX('DB-function distributions'!H$11:H$65,MATCH($D11,'DB-function distributions'!$B$11:$B$65,0))</f>
        <v>1.06</v>
      </c>
      <c r="Q11" s="212">
        <f>INDEX('DB-function distributions'!I$11:I$65,MATCH($D11,'DB-function distributions'!$B$11:$B$65,0))</f>
        <v>0.46</v>
      </c>
      <c r="R11" s="212">
        <f>INDEX('DB-function distributions'!J$11:J$65,MATCH($D11,'DB-function distributions'!$B$11:$B$65,0))</f>
        <v>0.63</v>
      </c>
      <c r="S11" s="212">
        <f>INDEX('DB-function distributions'!K$11:K$65,MATCH($D11,'DB-function distributions'!$B$11:$B$65,0))</f>
        <v>1.87</v>
      </c>
      <c r="T11" s="212">
        <f>INDEX('DB-function distributions'!L$11:L$65,MATCH($D11,'DB-function distributions'!$B$11:$B$65,0))</f>
        <v>0</v>
      </c>
      <c r="U11" s="212">
        <f>INDEX('DB-function distributions'!M$11:M$65,MATCH($D11,'DB-function distributions'!$B$11:$B$65,0))</f>
        <v>2.6</v>
      </c>
      <c r="V11" s="212">
        <f>INDEX('DB-function distributions'!N$11:N$65,MATCH($D11,'DB-function distributions'!$B$11:$B$65,0))</f>
        <v>0.83</v>
      </c>
      <c r="W11" s="212">
        <f>INDEX('DB-function distributions'!O$11:O$65,MATCH($D11,'DB-function distributions'!$B$11:$B$65,0))</f>
        <v>1.33</v>
      </c>
      <c r="X11" s="212">
        <f>INDEX('DB-function distributions'!P$11:P$65,MATCH($D11,'DB-function distributions'!$B$11:$B$65,0))</f>
        <v>2.06</v>
      </c>
      <c r="Y11" s="212">
        <f>INDEX('DB-function distributions'!Q$11:Q$65,MATCH($D11,'DB-function distributions'!$B$11:$B$65,0))</f>
        <v>3.57</v>
      </c>
      <c r="Z11" s="212">
        <f>INDEX('DB-function distributions'!R$11:R$65,MATCH($D11,'DB-function distributions'!$B$11:$B$65,0))</f>
        <v>0</v>
      </c>
      <c r="AC11" s="212" t="s">
        <v>343</v>
      </c>
      <c r="AD11" s="212" t="s">
        <v>332</v>
      </c>
      <c r="AE11" s="212" t="s">
        <v>333</v>
      </c>
      <c r="AF11" s="212" t="s">
        <v>340</v>
      </c>
      <c r="AG11" s="212" t="s">
        <v>46</v>
      </c>
      <c r="AH11" s="212" t="s">
        <v>556</v>
      </c>
      <c r="AJ11" s="227">
        <v>0.14119259766963674</v>
      </c>
      <c r="AK11" s="227">
        <v>0.17957505140507199</v>
      </c>
      <c r="AL11" s="227">
        <v>0.25633995887594246</v>
      </c>
      <c r="AM11" s="227">
        <v>0.17820424948594929</v>
      </c>
      <c r="AN11" s="227">
        <v>0.24468814256339957</v>
      </c>
    </row>
    <row r="12" spans="1:40">
      <c r="A12" s="206">
        <f t="shared" ref="A12:A73" si="0">ROW(A12)-ROW($A$10)</f>
        <v>2</v>
      </c>
      <c r="B12" s="206" t="s">
        <v>47</v>
      </c>
      <c r="D12" s="206">
        <v>1</v>
      </c>
      <c r="E12" s="206" t="s">
        <v>48</v>
      </c>
      <c r="K12" s="212">
        <f>INDEX('DB-function distributions'!C$11:C$65,MATCH($D12,'DB-function distributions'!$B$11:$B$65,0))</f>
        <v>0</v>
      </c>
      <c r="L12" s="212">
        <f>INDEX('DB-function distributions'!D$11:D$65,MATCH($D12,'DB-function distributions'!$B$11:$B$65,0))</f>
        <v>0.17</v>
      </c>
      <c r="M12" s="212">
        <f>INDEX('DB-function distributions'!E$11:E$65,MATCH($D12,'DB-function distributions'!$B$11:$B$65,0))</f>
        <v>0.19</v>
      </c>
      <c r="N12" s="212">
        <f>INDEX('DB-function distributions'!F$11:F$65,MATCH($D12,'DB-function distributions'!$B$11:$B$65,0))</f>
        <v>0</v>
      </c>
      <c r="O12" s="212">
        <f>INDEX('DB-function distributions'!G$11:G$65,MATCH($D12,'DB-function distributions'!$B$11:$B$65,0))</f>
        <v>0</v>
      </c>
      <c r="P12" s="212">
        <f>INDEX('DB-function distributions'!H$11:H$65,MATCH($D12,'DB-function distributions'!$B$11:$B$65,0))</f>
        <v>0</v>
      </c>
      <c r="Q12" s="212">
        <f>INDEX('DB-function distributions'!I$11:I$65,MATCH($D12,'DB-function distributions'!$B$11:$B$65,0))</f>
        <v>0</v>
      </c>
      <c r="R12" s="212">
        <f>INDEX('DB-function distributions'!J$11:J$65,MATCH($D12,'DB-function distributions'!$B$11:$B$65,0))</f>
        <v>0</v>
      </c>
      <c r="S12" s="212">
        <f>INDEX('DB-function distributions'!K$11:K$65,MATCH($D12,'DB-function distributions'!$B$11:$B$65,0))</f>
        <v>0</v>
      </c>
      <c r="T12" s="212">
        <f>INDEX('DB-function distributions'!L$11:L$65,MATCH($D12,'DB-function distributions'!$B$11:$B$65,0))</f>
        <v>0</v>
      </c>
      <c r="U12" s="212">
        <f>INDEX('DB-function distributions'!M$11:M$65,MATCH($D12,'DB-function distributions'!$B$11:$B$65,0))</f>
        <v>0</v>
      </c>
      <c r="V12" s="212">
        <f>INDEX('DB-function distributions'!N$11:N$65,MATCH($D12,'DB-function distributions'!$B$11:$B$65,0))</f>
        <v>0</v>
      </c>
      <c r="W12" s="212">
        <f>INDEX('DB-function distributions'!O$11:O$65,MATCH($D12,'DB-function distributions'!$B$11:$B$65,0))</f>
        <v>0</v>
      </c>
      <c r="X12" s="212">
        <f>INDEX('DB-function distributions'!P$11:P$65,MATCH($D12,'DB-function distributions'!$B$11:$B$65,0))</f>
        <v>0</v>
      </c>
      <c r="Y12" s="212">
        <f>INDEX('DB-function distributions'!Q$11:Q$65,MATCH($D12,'DB-function distributions'!$B$11:$B$65,0))</f>
        <v>0.18</v>
      </c>
      <c r="Z12" s="212">
        <f>INDEX('DB-function distributions'!R$11:R$65,MATCH($D12,'DB-function distributions'!$B$11:$B$65,0))</f>
        <v>0</v>
      </c>
      <c r="AC12" s="212" t="s">
        <v>46</v>
      </c>
      <c r="AD12" s="212" t="s">
        <v>332</v>
      </c>
      <c r="AE12" s="212" t="s">
        <v>333</v>
      </c>
      <c r="AF12" s="212" t="s">
        <v>334</v>
      </c>
      <c r="AG12" s="212" t="s">
        <v>335</v>
      </c>
      <c r="AH12" s="212" t="s">
        <v>556</v>
      </c>
      <c r="AJ12" s="227">
        <v>0.33333333333333331</v>
      </c>
      <c r="AK12" s="227">
        <v>0.31481481481481483</v>
      </c>
      <c r="AL12" s="227">
        <v>0.35185185185185186</v>
      </c>
      <c r="AM12" s="227">
        <v>0</v>
      </c>
      <c r="AN12" s="227">
        <v>0</v>
      </c>
    </row>
    <row r="13" spans="1:40">
      <c r="A13" s="206">
        <f t="shared" si="0"/>
        <v>3</v>
      </c>
      <c r="B13" s="206" t="s">
        <v>49</v>
      </c>
      <c r="D13" s="206">
        <v>55</v>
      </c>
      <c r="E13" s="206" t="s">
        <v>46</v>
      </c>
      <c r="K13" s="212">
        <f>INDEX('DB-function distributions'!C$11:C$65,MATCH($D13,'DB-function distributions'!$B$11:$B$65,0))</f>
        <v>0.9</v>
      </c>
      <c r="L13" s="212">
        <f>INDEX('DB-function distributions'!D$11:D$65,MATCH($D13,'DB-function distributions'!$B$11:$B$65,0))</f>
        <v>2.62</v>
      </c>
      <c r="M13" s="212">
        <f>INDEX('DB-function distributions'!E$11:E$65,MATCH($D13,'DB-function distributions'!$B$11:$B$65,0))</f>
        <v>3.74</v>
      </c>
      <c r="N13" s="212">
        <f>INDEX('DB-function distributions'!F$11:F$65,MATCH($D13,'DB-function distributions'!$B$11:$B$65,0))</f>
        <v>0.36</v>
      </c>
      <c r="O13" s="212">
        <f>INDEX('DB-function distributions'!G$11:G$65,MATCH($D13,'DB-function distributions'!$B$11:$B$65,0))</f>
        <v>1.96</v>
      </c>
      <c r="P13" s="212">
        <f>INDEX('DB-function distributions'!H$11:H$65,MATCH($D13,'DB-function distributions'!$B$11:$B$65,0))</f>
        <v>1.06</v>
      </c>
      <c r="Q13" s="212">
        <f>INDEX('DB-function distributions'!I$11:I$65,MATCH($D13,'DB-function distributions'!$B$11:$B$65,0))</f>
        <v>0.46</v>
      </c>
      <c r="R13" s="212">
        <f>INDEX('DB-function distributions'!J$11:J$65,MATCH($D13,'DB-function distributions'!$B$11:$B$65,0))</f>
        <v>0.63</v>
      </c>
      <c r="S13" s="212">
        <f>INDEX('DB-function distributions'!K$11:K$65,MATCH($D13,'DB-function distributions'!$B$11:$B$65,0))</f>
        <v>1.87</v>
      </c>
      <c r="T13" s="212">
        <f>INDEX('DB-function distributions'!L$11:L$65,MATCH($D13,'DB-function distributions'!$B$11:$B$65,0))</f>
        <v>0</v>
      </c>
      <c r="U13" s="212">
        <f>INDEX('DB-function distributions'!M$11:M$65,MATCH($D13,'DB-function distributions'!$B$11:$B$65,0))</f>
        <v>2.6</v>
      </c>
      <c r="V13" s="212">
        <f>INDEX('DB-function distributions'!N$11:N$65,MATCH($D13,'DB-function distributions'!$B$11:$B$65,0))</f>
        <v>0.83</v>
      </c>
      <c r="W13" s="212">
        <f>INDEX('DB-function distributions'!O$11:O$65,MATCH($D13,'DB-function distributions'!$B$11:$B$65,0))</f>
        <v>1.33</v>
      </c>
      <c r="X13" s="212">
        <f>INDEX('DB-function distributions'!P$11:P$65,MATCH($D13,'DB-function distributions'!$B$11:$B$65,0))</f>
        <v>2.06</v>
      </c>
      <c r="Y13" s="212">
        <f>INDEX('DB-function distributions'!Q$11:Q$65,MATCH($D13,'DB-function distributions'!$B$11:$B$65,0))</f>
        <v>3.57</v>
      </c>
      <c r="Z13" s="212">
        <f>INDEX('DB-function distributions'!R$11:R$65,MATCH($D13,'DB-function distributions'!$B$11:$B$65,0))</f>
        <v>0</v>
      </c>
      <c r="AC13" s="212" t="s">
        <v>343</v>
      </c>
      <c r="AD13" s="212" t="s">
        <v>332</v>
      </c>
      <c r="AE13" s="212" t="s">
        <v>333</v>
      </c>
      <c r="AF13" s="212" t="s">
        <v>340</v>
      </c>
      <c r="AG13" s="212" t="s">
        <v>46</v>
      </c>
      <c r="AH13" s="212" t="s">
        <v>556</v>
      </c>
      <c r="AJ13" s="227">
        <v>0.14119259766963674</v>
      </c>
      <c r="AK13" s="227">
        <v>0.17957505140507199</v>
      </c>
      <c r="AL13" s="227">
        <v>0.25633995887594246</v>
      </c>
      <c r="AM13" s="227">
        <v>0.17820424948594929</v>
      </c>
      <c r="AN13" s="227">
        <v>0.24468814256339957</v>
      </c>
    </row>
    <row r="14" spans="1:40">
      <c r="A14" s="206">
        <f t="shared" si="0"/>
        <v>4</v>
      </c>
      <c r="B14" s="206" t="s">
        <v>156</v>
      </c>
      <c r="D14" s="206">
        <v>55</v>
      </c>
      <c r="E14" s="206" t="s">
        <v>46</v>
      </c>
      <c r="K14" s="212">
        <f>INDEX('DB-function distributions'!C$11:C$65,MATCH($D14,'DB-function distributions'!$B$11:$B$65,0))</f>
        <v>0.9</v>
      </c>
      <c r="L14" s="212">
        <f>INDEX('DB-function distributions'!D$11:D$65,MATCH($D14,'DB-function distributions'!$B$11:$B$65,0))</f>
        <v>2.62</v>
      </c>
      <c r="M14" s="212">
        <f>INDEX('DB-function distributions'!E$11:E$65,MATCH($D14,'DB-function distributions'!$B$11:$B$65,0))</f>
        <v>3.74</v>
      </c>
      <c r="N14" s="212">
        <f>INDEX('DB-function distributions'!F$11:F$65,MATCH($D14,'DB-function distributions'!$B$11:$B$65,0))</f>
        <v>0.36</v>
      </c>
      <c r="O14" s="212">
        <f>INDEX('DB-function distributions'!G$11:G$65,MATCH($D14,'DB-function distributions'!$B$11:$B$65,0))</f>
        <v>1.96</v>
      </c>
      <c r="P14" s="212">
        <f>INDEX('DB-function distributions'!H$11:H$65,MATCH($D14,'DB-function distributions'!$B$11:$B$65,0))</f>
        <v>1.06</v>
      </c>
      <c r="Q14" s="212">
        <f>INDEX('DB-function distributions'!I$11:I$65,MATCH($D14,'DB-function distributions'!$B$11:$B$65,0))</f>
        <v>0.46</v>
      </c>
      <c r="R14" s="212">
        <f>INDEX('DB-function distributions'!J$11:J$65,MATCH($D14,'DB-function distributions'!$B$11:$B$65,0))</f>
        <v>0.63</v>
      </c>
      <c r="S14" s="212">
        <f>INDEX('DB-function distributions'!K$11:K$65,MATCH($D14,'DB-function distributions'!$B$11:$B$65,0))</f>
        <v>1.87</v>
      </c>
      <c r="T14" s="212">
        <f>INDEX('DB-function distributions'!L$11:L$65,MATCH($D14,'DB-function distributions'!$B$11:$B$65,0))</f>
        <v>0</v>
      </c>
      <c r="U14" s="212">
        <f>INDEX('DB-function distributions'!M$11:M$65,MATCH($D14,'DB-function distributions'!$B$11:$B$65,0))</f>
        <v>2.6</v>
      </c>
      <c r="V14" s="212">
        <f>INDEX('DB-function distributions'!N$11:N$65,MATCH($D14,'DB-function distributions'!$B$11:$B$65,0))</f>
        <v>0.83</v>
      </c>
      <c r="W14" s="212">
        <f>INDEX('DB-function distributions'!O$11:O$65,MATCH($D14,'DB-function distributions'!$B$11:$B$65,0))</f>
        <v>1.33</v>
      </c>
      <c r="X14" s="212">
        <f>INDEX('DB-function distributions'!P$11:P$65,MATCH($D14,'DB-function distributions'!$B$11:$B$65,0))</f>
        <v>2.06</v>
      </c>
      <c r="Y14" s="212">
        <f>INDEX('DB-function distributions'!Q$11:Q$65,MATCH($D14,'DB-function distributions'!$B$11:$B$65,0))</f>
        <v>3.57</v>
      </c>
      <c r="Z14" s="212">
        <f>INDEX('DB-function distributions'!R$11:R$65,MATCH($D14,'DB-function distributions'!$B$11:$B$65,0))</f>
        <v>0</v>
      </c>
      <c r="AC14" s="212" t="s">
        <v>343</v>
      </c>
      <c r="AD14" s="212" t="s">
        <v>332</v>
      </c>
      <c r="AE14" s="212" t="s">
        <v>333</v>
      </c>
      <c r="AF14" s="212" t="s">
        <v>340</v>
      </c>
      <c r="AG14" s="212" t="s">
        <v>46</v>
      </c>
      <c r="AH14" s="212" t="s">
        <v>556</v>
      </c>
      <c r="AJ14" s="227">
        <v>0.14119259766963674</v>
      </c>
      <c r="AK14" s="227">
        <v>0.17957505140507199</v>
      </c>
      <c r="AL14" s="227">
        <v>0.25633995887594246</v>
      </c>
      <c r="AM14" s="227">
        <v>0.17820424948594929</v>
      </c>
      <c r="AN14" s="227">
        <v>0.24468814256339957</v>
      </c>
    </row>
    <row r="15" spans="1:40">
      <c r="A15" s="206">
        <f t="shared" si="0"/>
        <v>5</v>
      </c>
      <c r="B15" s="206" t="s">
        <v>168</v>
      </c>
      <c r="D15" s="206">
        <v>2</v>
      </c>
      <c r="E15" s="206" t="s">
        <v>50</v>
      </c>
      <c r="K15" s="212">
        <f>INDEX('DB-function distributions'!C$11:C$65,MATCH($D15,'DB-function distributions'!$B$11:$B$65,0))</f>
        <v>0</v>
      </c>
      <c r="L15" s="212">
        <f>INDEX('DB-function distributions'!D$11:D$65,MATCH($D15,'DB-function distributions'!$B$11:$B$65,0))</f>
        <v>0</v>
      </c>
      <c r="M15" s="212">
        <f>INDEX('DB-function distributions'!E$11:E$65,MATCH($D15,'DB-function distributions'!$B$11:$B$65,0))</f>
        <v>0</v>
      </c>
      <c r="N15" s="212">
        <f>INDEX('DB-function distributions'!F$11:F$65,MATCH($D15,'DB-function distributions'!$B$11:$B$65,0))</f>
        <v>0.19</v>
      </c>
      <c r="O15" s="212">
        <f>INDEX('DB-function distributions'!G$11:G$65,MATCH($D15,'DB-function distributions'!$B$11:$B$65,0))</f>
        <v>0.5</v>
      </c>
      <c r="P15" s="212">
        <f>INDEX('DB-function distributions'!H$11:H$65,MATCH($D15,'DB-function distributions'!$B$11:$B$65,0))</f>
        <v>0.36</v>
      </c>
      <c r="Q15" s="212">
        <f>INDEX('DB-function distributions'!I$11:I$65,MATCH($D15,'DB-function distributions'!$B$11:$B$65,0))</f>
        <v>0</v>
      </c>
      <c r="R15" s="212">
        <f>INDEX('DB-function distributions'!J$11:J$65,MATCH($D15,'DB-function distributions'!$B$11:$B$65,0))</f>
        <v>0</v>
      </c>
      <c r="S15" s="212">
        <f>INDEX('DB-function distributions'!K$11:K$65,MATCH($D15,'DB-function distributions'!$B$11:$B$65,0))</f>
        <v>0</v>
      </c>
      <c r="T15" s="212">
        <f>INDEX('DB-function distributions'!L$11:L$65,MATCH($D15,'DB-function distributions'!$B$11:$B$65,0))</f>
        <v>0</v>
      </c>
      <c r="U15" s="212">
        <f>INDEX('DB-function distributions'!M$11:M$65,MATCH($D15,'DB-function distributions'!$B$11:$B$65,0))</f>
        <v>0</v>
      </c>
      <c r="V15" s="212">
        <f>INDEX('DB-function distributions'!N$11:N$65,MATCH($D15,'DB-function distributions'!$B$11:$B$65,0))</f>
        <v>0.5</v>
      </c>
      <c r="W15" s="212">
        <f>INDEX('DB-function distributions'!O$11:O$65,MATCH($D15,'DB-function distributions'!$B$11:$B$65,0))</f>
        <v>0</v>
      </c>
      <c r="X15" s="212">
        <f>INDEX('DB-function distributions'!P$11:P$65,MATCH($D15,'DB-function distributions'!$B$11:$B$65,0))</f>
        <v>0</v>
      </c>
      <c r="Y15" s="212">
        <f>INDEX('DB-function distributions'!Q$11:Q$65,MATCH($D15,'DB-function distributions'!$B$11:$B$65,0))</f>
        <v>0.82</v>
      </c>
      <c r="Z15" s="212">
        <f>INDEX('DB-function distributions'!R$11:R$65,MATCH($D15,'DB-function distributions'!$B$11:$B$65,0))</f>
        <v>0</v>
      </c>
      <c r="AC15" s="212" t="s">
        <v>336</v>
      </c>
      <c r="AD15" s="212" t="s">
        <v>341</v>
      </c>
      <c r="AE15" s="212" t="s">
        <v>46</v>
      </c>
      <c r="AF15" s="212" t="s">
        <v>334</v>
      </c>
      <c r="AG15" s="212" t="s">
        <v>335</v>
      </c>
      <c r="AH15" s="212" t="s">
        <v>556</v>
      </c>
      <c r="AJ15" s="227">
        <v>0.15189873417721517</v>
      </c>
      <c r="AK15" s="227">
        <v>0.21097046413502107</v>
      </c>
      <c r="AL15" s="227">
        <v>0.34599156118143454</v>
      </c>
      <c r="AM15" s="227">
        <v>8.0168776371308009E-2</v>
      </c>
      <c r="AN15" s="227">
        <v>0.21097046413502107</v>
      </c>
    </row>
    <row r="16" spans="1:40">
      <c r="A16" s="206">
        <f t="shared" si="0"/>
        <v>6</v>
      </c>
      <c r="B16" s="206" t="s">
        <v>51</v>
      </c>
      <c r="D16" s="206">
        <v>6</v>
      </c>
      <c r="E16" s="206" t="s">
        <v>157</v>
      </c>
      <c r="K16" s="212">
        <f>INDEX('DB-function distributions'!C$11:C$65,MATCH($D16,'DB-function distributions'!$B$11:$B$65,0))</f>
        <v>0</v>
      </c>
      <c r="L16" s="212">
        <f>INDEX('DB-function distributions'!D$11:D$65,MATCH($D16,'DB-function distributions'!$B$11:$B$65,0))</f>
        <v>0.06</v>
      </c>
      <c r="M16" s="212">
        <f>INDEX('DB-function distributions'!E$11:E$65,MATCH($D16,'DB-function distributions'!$B$11:$B$65,0))</f>
        <v>0.04</v>
      </c>
      <c r="N16" s="212">
        <f>INDEX('DB-function distributions'!F$11:F$65,MATCH($D16,'DB-function distributions'!$B$11:$B$65,0))</f>
        <v>0</v>
      </c>
      <c r="O16" s="212">
        <f>INDEX('DB-function distributions'!G$11:G$65,MATCH($D16,'DB-function distributions'!$B$11:$B$65,0))</f>
        <v>0.05</v>
      </c>
      <c r="P16" s="212">
        <f>INDEX('DB-function distributions'!H$11:H$65,MATCH($D16,'DB-function distributions'!$B$11:$B$65,0))</f>
        <v>0.01</v>
      </c>
      <c r="Q16" s="212">
        <f>INDEX('DB-function distributions'!I$11:I$65,MATCH($D16,'DB-function distributions'!$B$11:$B$65,0))</f>
        <v>0.04</v>
      </c>
      <c r="R16" s="212">
        <f>INDEX('DB-function distributions'!J$11:J$65,MATCH($D16,'DB-function distributions'!$B$11:$B$65,0))</f>
        <v>0</v>
      </c>
      <c r="S16" s="212">
        <f>INDEX('DB-function distributions'!K$11:K$65,MATCH($D16,'DB-function distributions'!$B$11:$B$65,0))</f>
        <v>0</v>
      </c>
      <c r="T16" s="212">
        <f>INDEX('DB-function distributions'!L$11:L$65,MATCH($D16,'DB-function distributions'!$B$11:$B$65,0))</f>
        <v>0</v>
      </c>
      <c r="U16" s="212">
        <f>INDEX('DB-function distributions'!M$11:M$65,MATCH($D16,'DB-function distributions'!$B$11:$B$65,0))</f>
        <v>7.0000000000000007E-2</v>
      </c>
      <c r="V16" s="212">
        <f>INDEX('DB-function distributions'!N$11:N$65,MATCH($D16,'DB-function distributions'!$B$11:$B$65,0))</f>
        <v>7.0000000000000007E-2</v>
      </c>
      <c r="W16" s="212">
        <f>INDEX('DB-function distributions'!O$11:O$65,MATCH($D16,'DB-function distributions'!$B$11:$B$65,0))</f>
        <v>0.04</v>
      </c>
      <c r="X16" s="212">
        <f>INDEX('DB-function distributions'!P$11:P$65,MATCH($D16,'DB-function distributions'!$B$11:$B$65,0))</f>
        <v>0</v>
      </c>
      <c r="Y16" s="212">
        <f>INDEX('DB-function distributions'!Q$11:Q$65,MATCH($D16,'DB-function distributions'!$B$11:$B$65,0))</f>
        <v>0.06</v>
      </c>
      <c r="Z16" s="212">
        <f>INDEX('DB-function distributions'!R$11:R$65,MATCH($D16,'DB-function distributions'!$B$11:$B$65,0))</f>
        <v>0</v>
      </c>
      <c r="AC16" s="212" t="s">
        <v>340</v>
      </c>
      <c r="AD16" s="212" t="s">
        <v>332</v>
      </c>
      <c r="AE16" s="212" t="s">
        <v>341</v>
      </c>
      <c r="AF16" s="212" t="s">
        <v>46</v>
      </c>
      <c r="AG16" s="212" t="s">
        <v>335</v>
      </c>
      <c r="AH16" s="212" t="s">
        <v>556</v>
      </c>
      <c r="AJ16" s="227">
        <v>0.22580645161290325</v>
      </c>
      <c r="AK16" s="227">
        <v>0.19354838709677419</v>
      </c>
      <c r="AL16" s="227">
        <v>0.22580645161290325</v>
      </c>
      <c r="AM16" s="227">
        <v>0.19354838709677419</v>
      </c>
      <c r="AN16" s="227">
        <v>0.16129032258064518</v>
      </c>
    </row>
    <row r="17" spans="1:40">
      <c r="A17" s="206">
        <f t="shared" si="0"/>
        <v>7</v>
      </c>
      <c r="B17" s="206" t="s">
        <v>53</v>
      </c>
      <c r="D17" s="206">
        <v>14</v>
      </c>
      <c r="E17" s="206" t="s">
        <v>54</v>
      </c>
      <c r="K17" s="212">
        <f>INDEX('DB-function distributions'!C$11:C$65,MATCH($D17,'DB-function distributions'!$B$11:$B$65,0))</f>
        <v>0</v>
      </c>
      <c r="L17" s="212">
        <f>INDEX('DB-function distributions'!D$11:D$65,MATCH($D17,'DB-function distributions'!$B$11:$B$65,0))</f>
        <v>0</v>
      </c>
      <c r="M17" s="212">
        <f>INDEX('DB-function distributions'!E$11:E$65,MATCH($D17,'DB-function distributions'!$B$11:$B$65,0))</f>
        <v>0</v>
      </c>
      <c r="N17" s="212">
        <f>INDEX('DB-function distributions'!F$11:F$65,MATCH($D17,'DB-function distributions'!$B$11:$B$65,0))</f>
        <v>0</v>
      </c>
      <c r="O17" s="212">
        <f>INDEX('DB-function distributions'!G$11:G$65,MATCH($D17,'DB-function distributions'!$B$11:$B$65,0))</f>
        <v>0.25</v>
      </c>
      <c r="P17" s="212">
        <f>INDEX('DB-function distributions'!H$11:H$65,MATCH($D17,'DB-function distributions'!$B$11:$B$65,0))</f>
        <v>0</v>
      </c>
      <c r="Q17" s="212">
        <f>INDEX('DB-function distributions'!I$11:I$65,MATCH($D17,'DB-function distributions'!$B$11:$B$65,0))</f>
        <v>0</v>
      </c>
      <c r="R17" s="212">
        <f>INDEX('DB-function distributions'!J$11:J$65,MATCH($D17,'DB-function distributions'!$B$11:$B$65,0))</f>
        <v>0.13</v>
      </c>
      <c r="S17" s="212">
        <f>INDEX('DB-function distributions'!K$11:K$65,MATCH($D17,'DB-function distributions'!$B$11:$B$65,0))</f>
        <v>0</v>
      </c>
      <c r="T17" s="212">
        <f>INDEX('DB-function distributions'!L$11:L$65,MATCH($D17,'DB-function distributions'!$B$11:$B$65,0))</f>
        <v>0</v>
      </c>
      <c r="U17" s="212">
        <f>INDEX('DB-function distributions'!M$11:M$65,MATCH($D17,'DB-function distributions'!$B$11:$B$65,0))</f>
        <v>0</v>
      </c>
      <c r="V17" s="212">
        <f>INDEX('DB-function distributions'!N$11:N$65,MATCH($D17,'DB-function distributions'!$B$11:$B$65,0))</f>
        <v>0</v>
      </c>
      <c r="W17" s="212">
        <f>INDEX('DB-function distributions'!O$11:O$65,MATCH($D17,'DB-function distributions'!$B$11:$B$65,0))</f>
        <v>0</v>
      </c>
      <c r="X17" s="212">
        <f>INDEX('DB-function distributions'!P$11:P$65,MATCH($D17,'DB-function distributions'!$B$11:$B$65,0))</f>
        <v>0.28000000000000003</v>
      </c>
      <c r="Y17" s="212">
        <f>INDEX('DB-function distributions'!Q$11:Q$65,MATCH($D17,'DB-function distributions'!$B$11:$B$65,0))</f>
        <v>0.36</v>
      </c>
      <c r="Z17" s="212">
        <f>INDEX('DB-function distributions'!R$11:R$65,MATCH($D17,'DB-function distributions'!$B$11:$B$65,0))</f>
        <v>0</v>
      </c>
      <c r="AC17" s="212" t="s">
        <v>348</v>
      </c>
      <c r="AD17" s="212" t="s">
        <v>343</v>
      </c>
      <c r="AE17" s="212" t="s">
        <v>46</v>
      </c>
      <c r="AF17" s="212" t="s">
        <v>334</v>
      </c>
      <c r="AG17" s="212" t="s">
        <v>335</v>
      </c>
      <c r="AH17" s="212" t="s">
        <v>556</v>
      </c>
      <c r="AJ17" s="227">
        <v>0.12745098039215685</v>
      </c>
      <c r="AK17" s="227">
        <v>0.27450980392156865</v>
      </c>
      <c r="AL17" s="227">
        <v>0.3529411764705882</v>
      </c>
      <c r="AM17" s="227">
        <v>0</v>
      </c>
      <c r="AN17" s="227">
        <v>0.24509803921568626</v>
      </c>
    </row>
    <row r="18" spans="1:40">
      <c r="A18" s="206">
        <f t="shared" si="0"/>
        <v>8</v>
      </c>
      <c r="B18" s="206" t="s">
        <v>170</v>
      </c>
      <c r="C18" s="206" t="s">
        <v>549</v>
      </c>
      <c r="D18" s="206">
        <v>15</v>
      </c>
      <c r="E18" s="206" t="s">
        <v>55</v>
      </c>
      <c r="K18" s="212">
        <f>INDEX('DB-function distributions'!C$11:C$65,MATCH($D18,'DB-function distributions'!$B$11:$B$65,0))</f>
        <v>0</v>
      </c>
      <c r="L18" s="212">
        <f>INDEX('DB-function distributions'!D$11:D$65,MATCH($D18,'DB-function distributions'!$B$11:$B$65,0))</f>
        <v>0</v>
      </c>
      <c r="M18" s="212">
        <f>INDEX('DB-function distributions'!E$11:E$65,MATCH($D18,'DB-function distributions'!$B$11:$B$65,0))</f>
        <v>0</v>
      </c>
      <c r="N18" s="212">
        <f>INDEX('DB-function distributions'!F$11:F$65,MATCH($D18,'DB-function distributions'!$B$11:$B$65,0))</f>
        <v>0</v>
      </c>
      <c r="O18" s="212">
        <f>INDEX('DB-function distributions'!G$11:G$65,MATCH($D18,'DB-function distributions'!$B$11:$B$65,0))</f>
        <v>1.42</v>
      </c>
      <c r="P18" s="212">
        <f>INDEX('DB-function distributions'!H$11:H$65,MATCH($D18,'DB-function distributions'!$B$11:$B$65,0))</f>
        <v>0</v>
      </c>
      <c r="Q18" s="212">
        <f>INDEX('DB-function distributions'!I$11:I$65,MATCH($D18,'DB-function distributions'!$B$11:$B$65,0))</f>
        <v>0</v>
      </c>
      <c r="R18" s="212">
        <f>INDEX('DB-function distributions'!J$11:J$65,MATCH($D18,'DB-function distributions'!$B$11:$B$65,0))</f>
        <v>0</v>
      </c>
      <c r="S18" s="212">
        <f>INDEX('DB-function distributions'!K$11:K$65,MATCH($D18,'DB-function distributions'!$B$11:$B$65,0))</f>
        <v>0</v>
      </c>
      <c r="T18" s="212">
        <f>INDEX('DB-function distributions'!L$11:L$65,MATCH($D18,'DB-function distributions'!$B$11:$B$65,0))</f>
        <v>0</v>
      </c>
      <c r="U18" s="212">
        <f>INDEX('DB-function distributions'!M$11:M$65,MATCH($D18,'DB-function distributions'!$B$11:$B$65,0))</f>
        <v>0</v>
      </c>
      <c r="V18" s="212">
        <f>INDEX('DB-function distributions'!N$11:N$65,MATCH($D18,'DB-function distributions'!$B$11:$B$65,0))</f>
        <v>0</v>
      </c>
      <c r="W18" s="212">
        <f>INDEX('DB-function distributions'!O$11:O$65,MATCH($D18,'DB-function distributions'!$B$11:$B$65,0))</f>
        <v>0</v>
      </c>
      <c r="X18" s="212">
        <f>INDEX('DB-function distributions'!P$11:P$65,MATCH($D18,'DB-function distributions'!$B$11:$B$65,0))</f>
        <v>0</v>
      </c>
      <c r="Y18" s="212">
        <f>INDEX('DB-function distributions'!Q$11:Q$65,MATCH($D18,'DB-function distributions'!$B$11:$B$65,0))</f>
        <v>0.98</v>
      </c>
      <c r="Z18" s="212">
        <f>INDEX('DB-function distributions'!R$11:R$65,MATCH($D18,'DB-function distributions'!$B$11:$B$65,0))</f>
        <v>0</v>
      </c>
      <c r="AC18" s="212" t="s">
        <v>46</v>
      </c>
      <c r="AD18" s="212" t="s">
        <v>332</v>
      </c>
      <c r="AE18" s="212" t="s">
        <v>333</v>
      </c>
      <c r="AF18" s="212" t="s">
        <v>334</v>
      </c>
      <c r="AG18" s="212" t="s">
        <v>335</v>
      </c>
      <c r="AH18" s="212" t="s">
        <v>556</v>
      </c>
      <c r="AJ18" s="227">
        <v>0.40833333333333333</v>
      </c>
      <c r="AK18" s="227">
        <v>0</v>
      </c>
      <c r="AL18" s="227">
        <v>0</v>
      </c>
      <c r="AM18" s="227">
        <v>0</v>
      </c>
      <c r="AN18" s="227">
        <v>0.59166666666666667</v>
      </c>
    </row>
    <row r="19" spans="1:40">
      <c r="A19" s="206">
        <f t="shared" si="0"/>
        <v>9</v>
      </c>
      <c r="B19" s="206" t="s">
        <v>188</v>
      </c>
      <c r="D19" s="206">
        <v>25</v>
      </c>
      <c r="E19" s="206" t="s">
        <v>189</v>
      </c>
      <c r="K19" s="212">
        <f>INDEX('DB-function distributions'!C$11:C$65,MATCH($D19,'DB-function distributions'!$B$11:$B$65,0))</f>
        <v>0</v>
      </c>
      <c r="L19" s="212">
        <f>INDEX('DB-function distributions'!D$11:D$65,MATCH($D19,'DB-function distributions'!$B$11:$B$65,0))</f>
        <v>0</v>
      </c>
      <c r="M19" s="212">
        <f>INDEX('DB-function distributions'!E$11:E$65,MATCH($D19,'DB-function distributions'!$B$11:$B$65,0))</f>
        <v>0</v>
      </c>
      <c r="N19" s="212">
        <f>INDEX('DB-function distributions'!F$11:F$65,MATCH($D19,'DB-function distributions'!$B$11:$B$65,0))</f>
        <v>0</v>
      </c>
      <c r="O19" s="212">
        <f>INDEX('DB-function distributions'!G$11:G$65,MATCH($D19,'DB-function distributions'!$B$11:$B$65,0))</f>
        <v>0</v>
      </c>
      <c r="P19" s="212">
        <f>INDEX('DB-function distributions'!H$11:H$65,MATCH($D19,'DB-function distributions'!$B$11:$B$65,0))</f>
        <v>0</v>
      </c>
      <c r="Q19" s="212">
        <f>INDEX('DB-function distributions'!I$11:I$65,MATCH($D19,'DB-function distributions'!$B$11:$B$65,0))</f>
        <v>0</v>
      </c>
      <c r="R19" s="212">
        <f>INDEX('DB-function distributions'!J$11:J$65,MATCH($D19,'DB-function distributions'!$B$11:$B$65,0))</f>
        <v>0</v>
      </c>
      <c r="S19" s="212">
        <f>INDEX('DB-function distributions'!K$11:K$65,MATCH($D19,'DB-function distributions'!$B$11:$B$65,0))</f>
        <v>0</v>
      </c>
      <c r="T19" s="212">
        <f>INDEX('DB-function distributions'!L$11:L$65,MATCH($D19,'DB-function distributions'!$B$11:$B$65,0))</f>
        <v>0</v>
      </c>
      <c r="U19" s="212">
        <f>INDEX('DB-function distributions'!M$11:M$65,MATCH($D19,'DB-function distributions'!$B$11:$B$65,0))</f>
        <v>0.19</v>
      </c>
      <c r="V19" s="212">
        <f>INDEX('DB-function distributions'!N$11:N$65,MATCH($D19,'DB-function distributions'!$B$11:$B$65,0))</f>
        <v>0</v>
      </c>
      <c r="W19" s="212">
        <f>INDEX('DB-function distributions'!O$11:O$65,MATCH($D19,'DB-function distributions'!$B$11:$B$65,0))</f>
        <v>0</v>
      </c>
      <c r="X19" s="212">
        <f>INDEX('DB-function distributions'!P$11:P$65,MATCH($D19,'DB-function distributions'!$B$11:$B$65,0))</f>
        <v>0</v>
      </c>
      <c r="Y19" s="212">
        <f>INDEX('DB-function distributions'!Q$11:Q$65,MATCH($D19,'DB-function distributions'!$B$11:$B$65,0))</f>
        <v>0.16</v>
      </c>
      <c r="Z19" s="212">
        <f>INDEX('DB-function distributions'!R$11:R$65,MATCH($D19,'DB-function distributions'!$B$11:$B$65,0))</f>
        <v>0</v>
      </c>
      <c r="AC19" s="212" t="s">
        <v>340</v>
      </c>
      <c r="AD19" s="212" t="s">
        <v>46</v>
      </c>
      <c r="AE19" s="212" t="s">
        <v>333</v>
      </c>
      <c r="AF19" s="212" t="s">
        <v>334</v>
      </c>
      <c r="AG19" s="212" t="s">
        <v>335</v>
      </c>
      <c r="AH19" s="212" t="s">
        <v>556</v>
      </c>
      <c r="AJ19" s="227">
        <v>0.54285714285714293</v>
      </c>
      <c r="AK19" s="227">
        <v>0.45714285714285718</v>
      </c>
      <c r="AL19" s="227">
        <v>0</v>
      </c>
      <c r="AM19" s="227">
        <v>0</v>
      </c>
      <c r="AN19" s="227">
        <v>0</v>
      </c>
    </row>
    <row r="20" spans="1:40">
      <c r="A20" s="206">
        <f t="shared" si="0"/>
        <v>10</v>
      </c>
      <c r="B20" s="206" t="s">
        <v>56</v>
      </c>
      <c r="D20" s="206">
        <v>25</v>
      </c>
      <c r="E20" s="206" t="s">
        <v>190</v>
      </c>
      <c r="K20" s="212">
        <f>INDEX('DB-function distributions'!C$11:C$65,MATCH($D20,'DB-function distributions'!$B$11:$B$65,0))</f>
        <v>0</v>
      </c>
      <c r="L20" s="212">
        <f>INDEX('DB-function distributions'!D$11:D$65,MATCH($D20,'DB-function distributions'!$B$11:$B$65,0))</f>
        <v>0</v>
      </c>
      <c r="M20" s="212">
        <f>INDEX('DB-function distributions'!E$11:E$65,MATCH($D20,'DB-function distributions'!$B$11:$B$65,0))</f>
        <v>0</v>
      </c>
      <c r="N20" s="212">
        <f>INDEX('DB-function distributions'!F$11:F$65,MATCH($D20,'DB-function distributions'!$B$11:$B$65,0))</f>
        <v>0</v>
      </c>
      <c r="O20" s="212">
        <f>INDEX('DB-function distributions'!G$11:G$65,MATCH($D20,'DB-function distributions'!$B$11:$B$65,0))</f>
        <v>0</v>
      </c>
      <c r="P20" s="212">
        <f>INDEX('DB-function distributions'!H$11:H$65,MATCH($D20,'DB-function distributions'!$B$11:$B$65,0))</f>
        <v>0</v>
      </c>
      <c r="Q20" s="212">
        <f>INDEX('DB-function distributions'!I$11:I$65,MATCH($D20,'DB-function distributions'!$B$11:$B$65,0))</f>
        <v>0</v>
      </c>
      <c r="R20" s="212">
        <f>INDEX('DB-function distributions'!J$11:J$65,MATCH($D20,'DB-function distributions'!$B$11:$B$65,0))</f>
        <v>0</v>
      </c>
      <c r="S20" s="212">
        <f>INDEX('DB-function distributions'!K$11:K$65,MATCH($D20,'DB-function distributions'!$B$11:$B$65,0))</f>
        <v>0</v>
      </c>
      <c r="T20" s="212">
        <f>INDEX('DB-function distributions'!L$11:L$65,MATCH($D20,'DB-function distributions'!$B$11:$B$65,0))</f>
        <v>0</v>
      </c>
      <c r="U20" s="212">
        <f>INDEX('DB-function distributions'!M$11:M$65,MATCH($D20,'DB-function distributions'!$B$11:$B$65,0))</f>
        <v>0.19</v>
      </c>
      <c r="V20" s="212">
        <f>INDEX('DB-function distributions'!N$11:N$65,MATCH($D20,'DB-function distributions'!$B$11:$B$65,0))</f>
        <v>0</v>
      </c>
      <c r="W20" s="212">
        <f>INDEX('DB-function distributions'!O$11:O$65,MATCH($D20,'DB-function distributions'!$B$11:$B$65,0))</f>
        <v>0</v>
      </c>
      <c r="X20" s="212">
        <f>INDEX('DB-function distributions'!P$11:P$65,MATCH($D20,'DB-function distributions'!$B$11:$B$65,0))</f>
        <v>0</v>
      </c>
      <c r="Y20" s="212">
        <f>INDEX('DB-function distributions'!Q$11:Q$65,MATCH($D20,'DB-function distributions'!$B$11:$B$65,0))</f>
        <v>0.16</v>
      </c>
      <c r="Z20" s="212">
        <f>INDEX('DB-function distributions'!R$11:R$65,MATCH($D20,'DB-function distributions'!$B$11:$B$65,0))</f>
        <v>0</v>
      </c>
      <c r="AC20" s="212" t="s">
        <v>340</v>
      </c>
      <c r="AD20" s="212" t="s">
        <v>46</v>
      </c>
      <c r="AE20" s="212" t="s">
        <v>333</v>
      </c>
      <c r="AF20" s="212" t="s">
        <v>334</v>
      </c>
      <c r="AG20" s="212" t="s">
        <v>335</v>
      </c>
      <c r="AH20" s="212" t="s">
        <v>556</v>
      </c>
      <c r="AJ20" s="227">
        <v>0.54285714285714293</v>
      </c>
      <c r="AK20" s="227">
        <v>0.45714285714285718</v>
      </c>
      <c r="AL20" s="227">
        <v>0</v>
      </c>
      <c r="AM20" s="227">
        <v>0</v>
      </c>
      <c r="AN20" s="227">
        <v>0</v>
      </c>
    </row>
    <row r="21" spans="1:40">
      <c r="A21" s="206">
        <f t="shared" si="0"/>
        <v>11</v>
      </c>
      <c r="B21" s="206" t="s">
        <v>57</v>
      </c>
      <c r="D21" s="206">
        <v>4</v>
      </c>
      <c r="E21" s="206" t="s">
        <v>187</v>
      </c>
      <c r="K21" s="212">
        <f>INDEX('DB-function distributions'!C$11:C$65,MATCH($D21,'DB-function distributions'!$B$11:$B$65,0))</f>
        <v>0</v>
      </c>
      <c r="L21" s="212">
        <f>INDEX('DB-function distributions'!D$11:D$65,MATCH($D21,'DB-function distributions'!$B$11:$B$65,0))</f>
        <v>0.02</v>
      </c>
      <c r="M21" s="212">
        <f>INDEX('DB-function distributions'!E$11:E$65,MATCH($D21,'DB-function distributions'!$B$11:$B$65,0))</f>
        <v>0.02</v>
      </c>
      <c r="N21" s="212">
        <f>INDEX('DB-function distributions'!F$11:F$65,MATCH($D21,'DB-function distributions'!$B$11:$B$65,0))</f>
        <v>0</v>
      </c>
      <c r="O21" s="212">
        <f>INDEX('DB-function distributions'!G$11:G$65,MATCH($D21,'DB-function distributions'!$B$11:$B$65,0))</f>
        <v>0</v>
      </c>
      <c r="P21" s="212">
        <f>INDEX('DB-function distributions'!H$11:H$65,MATCH($D21,'DB-function distributions'!$B$11:$B$65,0))</f>
        <v>0</v>
      </c>
      <c r="Q21" s="212">
        <f>INDEX('DB-function distributions'!I$11:I$65,MATCH($D21,'DB-function distributions'!$B$11:$B$65,0))</f>
        <v>0</v>
      </c>
      <c r="R21" s="212">
        <f>INDEX('DB-function distributions'!J$11:J$65,MATCH($D21,'DB-function distributions'!$B$11:$B$65,0))</f>
        <v>0</v>
      </c>
      <c r="S21" s="212">
        <f>INDEX('DB-function distributions'!K$11:K$65,MATCH($D21,'DB-function distributions'!$B$11:$B$65,0))</f>
        <v>0</v>
      </c>
      <c r="T21" s="212">
        <f>INDEX('DB-function distributions'!L$11:L$65,MATCH($D21,'DB-function distributions'!$B$11:$B$65,0))</f>
        <v>0</v>
      </c>
      <c r="U21" s="212">
        <f>INDEX('DB-function distributions'!M$11:M$65,MATCH($D21,'DB-function distributions'!$B$11:$B$65,0))</f>
        <v>0</v>
      </c>
      <c r="V21" s="212">
        <f>INDEX('DB-function distributions'!N$11:N$65,MATCH($D21,'DB-function distributions'!$B$11:$B$65,0))</f>
        <v>0</v>
      </c>
      <c r="W21" s="212">
        <f>INDEX('DB-function distributions'!O$11:O$65,MATCH($D21,'DB-function distributions'!$B$11:$B$65,0))</f>
        <v>0</v>
      </c>
      <c r="X21" s="212">
        <f>INDEX('DB-function distributions'!P$11:P$65,MATCH($D21,'DB-function distributions'!$B$11:$B$65,0))</f>
        <v>0.02</v>
      </c>
      <c r="Y21" s="212">
        <f>INDEX('DB-function distributions'!Q$11:Q$65,MATCH($D21,'DB-function distributions'!$B$11:$B$65,0))</f>
        <v>0.02</v>
      </c>
      <c r="Z21" s="212">
        <f>INDEX('DB-function distributions'!R$11:R$65,MATCH($D21,'DB-function distributions'!$B$11:$B$65,0))</f>
        <v>0</v>
      </c>
      <c r="AC21" s="212" t="s">
        <v>343</v>
      </c>
      <c r="AD21" s="212" t="s">
        <v>332</v>
      </c>
      <c r="AE21" s="212" t="s">
        <v>333</v>
      </c>
      <c r="AF21" s="212" t="s">
        <v>46</v>
      </c>
      <c r="AG21" s="212" t="s">
        <v>335</v>
      </c>
      <c r="AH21" s="212" t="s">
        <v>556</v>
      </c>
      <c r="AJ21" s="227">
        <v>0.25</v>
      </c>
      <c r="AK21" s="227">
        <v>0.25</v>
      </c>
      <c r="AL21" s="227">
        <v>0.25</v>
      </c>
      <c r="AM21" s="227">
        <v>0.25</v>
      </c>
      <c r="AN21" s="227">
        <v>0</v>
      </c>
    </row>
    <row r="22" spans="1:40">
      <c r="A22" s="206">
        <f t="shared" si="0"/>
        <v>12</v>
      </c>
      <c r="B22" s="206" t="s">
        <v>207</v>
      </c>
      <c r="D22" s="206">
        <v>39</v>
      </c>
      <c r="E22" s="206" t="s">
        <v>58</v>
      </c>
      <c r="K22" s="212">
        <f>INDEX('DB-function distributions'!C$11:C$65,MATCH($D22,'DB-function distributions'!$B$11:$B$65,0))</f>
        <v>0.13</v>
      </c>
      <c r="L22" s="212">
        <f>INDEX('DB-function distributions'!D$11:D$65,MATCH($D22,'DB-function distributions'!$B$11:$B$65,0))</f>
        <v>0</v>
      </c>
      <c r="M22" s="212">
        <f>INDEX('DB-function distributions'!E$11:E$65,MATCH($D22,'DB-function distributions'!$B$11:$B$65,0))</f>
        <v>0</v>
      </c>
      <c r="N22" s="212">
        <f>INDEX('DB-function distributions'!F$11:F$65,MATCH($D22,'DB-function distributions'!$B$11:$B$65,0))</f>
        <v>0</v>
      </c>
      <c r="O22" s="212">
        <f>INDEX('DB-function distributions'!G$11:G$65,MATCH($D22,'DB-function distributions'!$B$11:$B$65,0))</f>
        <v>0.15</v>
      </c>
      <c r="P22" s="212">
        <f>INDEX('DB-function distributions'!H$11:H$65,MATCH($D22,'DB-function distributions'!$B$11:$B$65,0))</f>
        <v>0.11</v>
      </c>
      <c r="Q22" s="212">
        <f>INDEX('DB-function distributions'!I$11:I$65,MATCH($D22,'DB-function distributions'!$B$11:$B$65,0))</f>
        <v>0.06</v>
      </c>
      <c r="R22" s="212">
        <f>INDEX('DB-function distributions'!J$11:J$65,MATCH($D22,'DB-function distributions'!$B$11:$B$65,0))</f>
        <v>0.05</v>
      </c>
      <c r="S22" s="212">
        <f>INDEX('DB-function distributions'!K$11:K$65,MATCH($D22,'DB-function distributions'!$B$11:$B$65,0))</f>
        <v>0</v>
      </c>
      <c r="T22" s="212">
        <f>INDEX('DB-function distributions'!L$11:L$65,MATCH($D22,'DB-function distributions'!$B$11:$B$65,0))</f>
        <v>0</v>
      </c>
      <c r="U22" s="212">
        <f>INDEX('DB-function distributions'!M$11:M$65,MATCH($D22,'DB-function distributions'!$B$11:$B$65,0))</f>
        <v>0</v>
      </c>
      <c r="V22" s="212">
        <f>INDEX('DB-function distributions'!N$11:N$65,MATCH($D22,'DB-function distributions'!$B$11:$B$65,0))</f>
        <v>7.0000000000000007E-2</v>
      </c>
      <c r="W22" s="212">
        <f>INDEX('DB-function distributions'!O$11:O$65,MATCH($D22,'DB-function distributions'!$B$11:$B$65,0))</f>
        <v>0</v>
      </c>
      <c r="X22" s="212">
        <f>INDEX('DB-function distributions'!P$11:P$65,MATCH($D22,'DB-function distributions'!$B$11:$B$65,0))</f>
        <v>0</v>
      </c>
      <c r="Y22" s="212">
        <f>INDEX('DB-function distributions'!Q$11:Q$65,MATCH($D22,'DB-function distributions'!$B$11:$B$65,0))</f>
        <v>0.16</v>
      </c>
      <c r="Z22" s="212">
        <f>INDEX('DB-function distributions'!R$11:R$65,MATCH($D22,'DB-function distributions'!$B$11:$B$65,0))</f>
        <v>0</v>
      </c>
      <c r="AC22" s="212" t="s">
        <v>331</v>
      </c>
      <c r="AD22" s="212" t="s">
        <v>336</v>
      </c>
      <c r="AE22" s="212" t="s">
        <v>46</v>
      </c>
      <c r="AF22" s="212" t="s">
        <v>341</v>
      </c>
      <c r="AG22" s="212" t="s">
        <v>335</v>
      </c>
      <c r="AH22" s="212" t="s">
        <v>556</v>
      </c>
      <c r="AJ22" s="227">
        <v>0.20967741935483872</v>
      </c>
      <c r="AK22" s="227">
        <v>0.17741935483870969</v>
      </c>
      <c r="AL22" s="227">
        <v>0.25806451612903225</v>
      </c>
      <c r="AM22" s="227">
        <v>0.11290322580645162</v>
      </c>
      <c r="AN22" s="227">
        <v>0.24193548387096772</v>
      </c>
    </row>
    <row r="23" spans="1:40">
      <c r="A23" s="206">
        <f t="shared" si="0"/>
        <v>13</v>
      </c>
      <c r="B23" s="206" t="s">
        <v>217</v>
      </c>
      <c r="D23" s="206">
        <v>44</v>
      </c>
      <c r="E23" s="206" t="s">
        <v>59</v>
      </c>
      <c r="K23" s="212">
        <f>INDEX('DB-function distributions'!C$11:C$65,MATCH($D23,'DB-function distributions'!$B$11:$B$65,0))</f>
        <v>0</v>
      </c>
      <c r="L23" s="212">
        <f>INDEX('DB-function distributions'!D$11:D$65,MATCH($D23,'DB-function distributions'!$B$11:$B$65,0))</f>
        <v>0.05</v>
      </c>
      <c r="M23" s="212">
        <f>INDEX('DB-function distributions'!E$11:E$65,MATCH($D23,'DB-function distributions'!$B$11:$B$65,0))</f>
        <v>0.1</v>
      </c>
      <c r="N23" s="212">
        <f>INDEX('DB-function distributions'!F$11:F$65,MATCH($D23,'DB-function distributions'!$B$11:$B$65,0))</f>
        <v>0</v>
      </c>
      <c r="O23" s="212">
        <f>INDEX('DB-function distributions'!G$11:G$65,MATCH($D23,'DB-function distributions'!$B$11:$B$65,0))</f>
        <v>0</v>
      </c>
      <c r="P23" s="212">
        <f>INDEX('DB-function distributions'!H$11:H$65,MATCH($D23,'DB-function distributions'!$B$11:$B$65,0))</f>
        <v>0</v>
      </c>
      <c r="Q23" s="212">
        <f>INDEX('DB-function distributions'!I$11:I$65,MATCH($D23,'DB-function distributions'!$B$11:$B$65,0))</f>
        <v>0</v>
      </c>
      <c r="R23" s="212">
        <f>INDEX('DB-function distributions'!J$11:J$65,MATCH($D23,'DB-function distributions'!$B$11:$B$65,0))</f>
        <v>0</v>
      </c>
      <c r="S23" s="212">
        <f>INDEX('DB-function distributions'!K$11:K$65,MATCH($D23,'DB-function distributions'!$B$11:$B$65,0))</f>
        <v>0</v>
      </c>
      <c r="T23" s="212">
        <f>INDEX('DB-function distributions'!L$11:L$65,MATCH($D23,'DB-function distributions'!$B$11:$B$65,0))</f>
        <v>0</v>
      </c>
      <c r="U23" s="212">
        <f>INDEX('DB-function distributions'!M$11:M$65,MATCH($D23,'DB-function distributions'!$B$11:$B$65,0))</f>
        <v>0</v>
      </c>
      <c r="V23" s="212">
        <f>INDEX('DB-function distributions'!N$11:N$65,MATCH($D23,'DB-function distributions'!$B$11:$B$65,0))</f>
        <v>0</v>
      </c>
      <c r="W23" s="212">
        <f>INDEX('DB-function distributions'!O$11:O$65,MATCH($D23,'DB-function distributions'!$B$11:$B$65,0))</f>
        <v>0</v>
      </c>
      <c r="X23" s="212">
        <f>INDEX('DB-function distributions'!P$11:P$65,MATCH($D23,'DB-function distributions'!$B$11:$B$65,0))</f>
        <v>0</v>
      </c>
      <c r="Y23" s="212">
        <f>INDEX('DB-function distributions'!Q$11:Q$65,MATCH($D23,'DB-function distributions'!$B$11:$B$65,0))</f>
        <v>0.05</v>
      </c>
      <c r="Z23" s="212">
        <f>INDEX('DB-function distributions'!R$11:R$65,MATCH($D23,'DB-function distributions'!$B$11:$B$65,0))</f>
        <v>0</v>
      </c>
      <c r="AC23" s="212" t="s">
        <v>46</v>
      </c>
      <c r="AD23" s="212" t="s">
        <v>332</v>
      </c>
      <c r="AE23" s="212" t="s">
        <v>333</v>
      </c>
      <c r="AF23" s="212" t="s">
        <v>334</v>
      </c>
      <c r="AG23" s="212" t="s">
        <v>335</v>
      </c>
      <c r="AH23" s="212" t="s">
        <v>556</v>
      </c>
      <c r="AJ23" s="227">
        <v>0.25</v>
      </c>
      <c r="AK23" s="227">
        <v>0.25</v>
      </c>
      <c r="AL23" s="227">
        <v>0.5</v>
      </c>
      <c r="AM23" s="227">
        <v>0</v>
      </c>
      <c r="AN23" s="227">
        <v>0</v>
      </c>
    </row>
    <row r="24" spans="1:40">
      <c r="A24" s="206">
        <f t="shared" si="0"/>
        <v>14</v>
      </c>
      <c r="B24" s="206" t="s">
        <v>158</v>
      </c>
      <c r="C24" s="206" t="s">
        <v>549</v>
      </c>
      <c r="D24" s="206">
        <v>15</v>
      </c>
      <c r="E24" s="206" t="s">
        <v>55</v>
      </c>
      <c r="K24" s="212">
        <f>INDEX('DB-function distributions'!C$11:C$65,MATCH($D24,'DB-function distributions'!$B$11:$B$65,0))</f>
        <v>0</v>
      </c>
      <c r="L24" s="212">
        <f>INDEX('DB-function distributions'!D$11:D$65,MATCH($D24,'DB-function distributions'!$B$11:$B$65,0))</f>
        <v>0</v>
      </c>
      <c r="M24" s="212">
        <f>INDEX('DB-function distributions'!E$11:E$65,MATCH($D24,'DB-function distributions'!$B$11:$B$65,0))</f>
        <v>0</v>
      </c>
      <c r="N24" s="212">
        <f>INDEX('DB-function distributions'!F$11:F$65,MATCH($D24,'DB-function distributions'!$B$11:$B$65,0))</f>
        <v>0</v>
      </c>
      <c r="O24" s="212">
        <f>INDEX('DB-function distributions'!G$11:G$65,MATCH($D24,'DB-function distributions'!$B$11:$B$65,0))</f>
        <v>1.42</v>
      </c>
      <c r="P24" s="212">
        <f>INDEX('DB-function distributions'!H$11:H$65,MATCH($D24,'DB-function distributions'!$B$11:$B$65,0))</f>
        <v>0</v>
      </c>
      <c r="Q24" s="212">
        <f>INDEX('DB-function distributions'!I$11:I$65,MATCH($D24,'DB-function distributions'!$B$11:$B$65,0))</f>
        <v>0</v>
      </c>
      <c r="R24" s="212">
        <f>INDEX('DB-function distributions'!J$11:J$65,MATCH($D24,'DB-function distributions'!$B$11:$B$65,0))</f>
        <v>0</v>
      </c>
      <c r="S24" s="212">
        <f>INDEX('DB-function distributions'!K$11:K$65,MATCH($D24,'DB-function distributions'!$B$11:$B$65,0))</f>
        <v>0</v>
      </c>
      <c r="T24" s="212">
        <f>INDEX('DB-function distributions'!L$11:L$65,MATCH($D24,'DB-function distributions'!$B$11:$B$65,0))</f>
        <v>0</v>
      </c>
      <c r="U24" s="212">
        <f>INDEX('DB-function distributions'!M$11:M$65,MATCH($D24,'DB-function distributions'!$B$11:$B$65,0))</f>
        <v>0</v>
      </c>
      <c r="V24" s="212">
        <f>INDEX('DB-function distributions'!N$11:N$65,MATCH($D24,'DB-function distributions'!$B$11:$B$65,0))</f>
        <v>0</v>
      </c>
      <c r="W24" s="212">
        <f>INDEX('DB-function distributions'!O$11:O$65,MATCH($D24,'DB-function distributions'!$B$11:$B$65,0))</f>
        <v>0</v>
      </c>
      <c r="X24" s="212">
        <f>INDEX('DB-function distributions'!P$11:P$65,MATCH($D24,'DB-function distributions'!$B$11:$B$65,0))</f>
        <v>0</v>
      </c>
      <c r="Y24" s="212">
        <f>INDEX('DB-function distributions'!Q$11:Q$65,MATCH($D24,'DB-function distributions'!$B$11:$B$65,0))</f>
        <v>0.98</v>
      </c>
      <c r="Z24" s="212">
        <f>INDEX('DB-function distributions'!R$11:R$65,MATCH($D24,'DB-function distributions'!$B$11:$B$65,0))</f>
        <v>0</v>
      </c>
      <c r="AC24" s="212" t="s">
        <v>46</v>
      </c>
      <c r="AD24" s="212" t="s">
        <v>332</v>
      </c>
      <c r="AE24" s="212" t="s">
        <v>333</v>
      </c>
      <c r="AF24" s="212" t="s">
        <v>334</v>
      </c>
      <c r="AG24" s="212" t="s">
        <v>335</v>
      </c>
      <c r="AH24" s="212" t="s">
        <v>556</v>
      </c>
      <c r="AJ24" s="227">
        <v>0.40833333333333333</v>
      </c>
      <c r="AK24" s="227">
        <v>0</v>
      </c>
      <c r="AL24" s="227">
        <v>0</v>
      </c>
      <c r="AM24" s="227">
        <v>0</v>
      </c>
      <c r="AN24" s="227">
        <v>0.59166666666666667</v>
      </c>
    </row>
    <row r="25" spans="1:40">
      <c r="A25" s="206">
        <f t="shared" si="0"/>
        <v>15</v>
      </c>
      <c r="B25" s="206" t="s">
        <v>60</v>
      </c>
      <c r="D25" s="206">
        <v>55</v>
      </c>
      <c r="E25" s="206" t="s">
        <v>46</v>
      </c>
      <c r="K25" s="212">
        <f>INDEX('DB-function distributions'!C$11:C$65,MATCH($D25,'DB-function distributions'!$B$11:$B$65,0))</f>
        <v>0.9</v>
      </c>
      <c r="L25" s="212">
        <f>INDEX('DB-function distributions'!D$11:D$65,MATCH($D25,'DB-function distributions'!$B$11:$B$65,0))</f>
        <v>2.62</v>
      </c>
      <c r="M25" s="212">
        <f>INDEX('DB-function distributions'!E$11:E$65,MATCH($D25,'DB-function distributions'!$B$11:$B$65,0))</f>
        <v>3.74</v>
      </c>
      <c r="N25" s="212">
        <f>INDEX('DB-function distributions'!F$11:F$65,MATCH($D25,'DB-function distributions'!$B$11:$B$65,0))</f>
        <v>0.36</v>
      </c>
      <c r="O25" s="212">
        <f>INDEX('DB-function distributions'!G$11:G$65,MATCH($D25,'DB-function distributions'!$B$11:$B$65,0))</f>
        <v>1.96</v>
      </c>
      <c r="P25" s="212">
        <f>INDEX('DB-function distributions'!H$11:H$65,MATCH($D25,'DB-function distributions'!$B$11:$B$65,0))</f>
        <v>1.06</v>
      </c>
      <c r="Q25" s="212">
        <f>INDEX('DB-function distributions'!I$11:I$65,MATCH($D25,'DB-function distributions'!$B$11:$B$65,0))</f>
        <v>0.46</v>
      </c>
      <c r="R25" s="212">
        <f>INDEX('DB-function distributions'!J$11:J$65,MATCH($D25,'DB-function distributions'!$B$11:$B$65,0))</f>
        <v>0.63</v>
      </c>
      <c r="S25" s="212">
        <f>INDEX('DB-function distributions'!K$11:K$65,MATCH($D25,'DB-function distributions'!$B$11:$B$65,0))</f>
        <v>1.87</v>
      </c>
      <c r="T25" s="212">
        <f>INDEX('DB-function distributions'!L$11:L$65,MATCH($D25,'DB-function distributions'!$B$11:$B$65,0))</f>
        <v>0</v>
      </c>
      <c r="U25" s="212">
        <f>INDEX('DB-function distributions'!M$11:M$65,MATCH($D25,'DB-function distributions'!$B$11:$B$65,0))</f>
        <v>2.6</v>
      </c>
      <c r="V25" s="212">
        <f>INDEX('DB-function distributions'!N$11:N$65,MATCH($D25,'DB-function distributions'!$B$11:$B$65,0))</f>
        <v>0.83</v>
      </c>
      <c r="W25" s="212">
        <f>INDEX('DB-function distributions'!O$11:O$65,MATCH($D25,'DB-function distributions'!$B$11:$B$65,0))</f>
        <v>1.33</v>
      </c>
      <c r="X25" s="212">
        <f>INDEX('DB-function distributions'!P$11:P$65,MATCH($D25,'DB-function distributions'!$B$11:$B$65,0))</f>
        <v>2.06</v>
      </c>
      <c r="Y25" s="212">
        <f>INDEX('DB-function distributions'!Q$11:Q$65,MATCH($D25,'DB-function distributions'!$B$11:$B$65,0))</f>
        <v>3.57</v>
      </c>
      <c r="Z25" s="212">
        <f>INDEX('DB-function distributions'!R$11:R$65,MATCH($D25,'DB-function distributions'!$B$11:$B$65,0))</f>
        <v>0</v>
      </c>
      <c r="AC25" s="212" t="s">
        <v>343</v>
      </c>
      <c r="AD25" s="212" t="s">
        <v>332</v>
      </c>
      <c r="AE25" s="212" t="s">
        <v>333</v>
      </c>
      <c r="AF25" s="212" t="s">
        <v>340</v>
      </c>
      <c r="AG25" s="212" t="s">
        <v>46</v>
      </c>
      <c r="AH25" s="212" t="s">
        <v>556</v>
      </c>
      <c r="AJ25" s="227">
        <v>0.14119259766963674</v>
      </c>
      <c r="AK25" s="227">
        <v>0.17957505140507199</v>
      </c>
      <c r="AL25" s="227">
        <v>0.25633995887594246</v>
      </c>
      <c r="AM25" s="227">
        <v>0.17820424948594929</v>
      </c>
      <c r="AN25" s="227">
        <v>0.24468814256339957</v>
      </c>
    </row>
    <row r="26" spans="1:40">
      <c r="A26" s="206">
        <f t="shared" si="0"/>
        <v>16</v>
      </c>
      <c r="B26" s="206" t="s">
        <v>61</v>
      </c>
      <c r="D26" s="206">
        <v>7</v>
      </c>
      <c r="E26" s="206" t="s">
        <v>62</v>
      </c>
      <c r="K26" s="212">
        <f>INDEX('DB-function distributions'!C$11:C$65,MATCH($D26,'DB-function distributions'!$B$11:$B$65,0))</f>
        <v>0</v>
      </c>
      <c r="L26" s="212">
        <f>INDEX('DB-function distributions'!D$11:D$65,MATCH($D26,'DB-function distributions'!$B$11:$B$65,0))</f>
        <v>0.09</v>
      </c>
      <c r="M26" s="212">
        <f>INDEX('DB-function distributions'!E$11:E$65,MATCH($D26,'DB-function distributions'!$B$11:$B$65,0))</f>
        <v>0.13</v>
      </c>
      <c r="N26" s="212">
        <f>INDEX('DB-function distributions'!F$11:F$65,MATCH($D26,'DB-function distributions'!$B$11:$B$65,0))</f>
        <v>0.01</v>
      </c>
      <c r="O26" s="212">
        <f>INDEX('DB-function distributions'!G$11:G$65,MATCH($D26,'DB-function distributions'!$B$11:$B$65,0))</f>
        <v>0.15</v>
      </c>
      <c r="P26" s="212">
        <f>INDEX('DB-function distributions'!H$11:H$65,MATCH($D26,'DB-function distributions'!$B$11:$B$65,0))</f>
        <v>0</v>
      </c>
      <c r="Q26" s="212">
        <f>INDEX('DB-function distributions'!I$11:I$65,MATCH($D26,'DB-function distributions'!$B$11:$B$65,0))</f>
        <v>0</v>
      </c>
      <c r="R26" s="212">
        <f>INDEX('DB-function distributions'!J$11:J$65,MATCH($D26,'DB-function distributions'!$B$11:$B$65,0))</f>
        <v>0</v>
      </c>
      <c r="S26" s="212">
        <f>INDEX('DB-function distributions'!K$11:K$65,MATCH($D26,'DB-function distributions'!$B$11:$B$65,0))</f>
        <v>0.04</v>
      </c>
      <c r="T26" s="212">
        <f>INDEX('DB-function distributions'!L$11:L$65,MATCH($D26,'DB-function distributions'!$B$11:$B$65,0))</f>
        <v>0</v>
      </c>
      <c r="U26" s="212">
        <f>INDEX('DB-function distributions'!M$11:M$65,MATCH($D26,'DB-function distributions'!$B$11:$B$65,0))</f>
        <v>0.15</v>
      </c>
      <c r="V26" s="212">
        <f>INDEX('DB-function distributions'!N$11:N$65,MATCH($D26,'DB-function distributions'!$B$11:$B$65,0))</f>
        <v>0</v>
      </c>
      <c r="W26" s="212">
        <f>INDEX('DB-function distributions'!O$11:O$65,MATCH($D26,'DB-function distributions'!$B$11:$B$65,0))</f>
        <v>0.12</v>
      </c>
      <c r="X26" s="212">
        <f>INDEX('DB-function distributions'!P$11:P$65,MATCH($D26,'DB-function distributions'!$B$11:$B$65,0))</f>
        <v>0</v>
      </c>
      <c r="Y26" s="212">
        <f>INDEX('DB-function distributions'!Q$11:Q$65,MATCH($D26,'DB-function distributions'!$B$11:$B$65,0))</f>
        <v>0.16</v>
      </c>
      <c r="Z26" s="212">
        <f>INDEX('DB-function distributions'!R$11:R$65,MATCH($D26,'DB-function distributions'!$B$11:$B$65,0))</f>
        <v>0</v>
      </c>
      <c r="AC26" s="212" t="s">
        <v>342</v>
      </c>
      <c r="AD26" s="212" t="s">
        <v>46</v>
      </c>
      <c r="AE26" s="212" t="s">
        <v>333</v>
      </c>
      <c r="AF26" s="212" t="s">
        <v>340</v>
      </c>
      <c r="AG26" s="212" t="s">
        <v>335</v>
      </c>
      <c r="AH26" s="212" t="s">
        <v>556</v>
      </c>
      <c r="AJ26" s="227">
        <v>0.16901408450704222</v>
      </c>
      <c r="AK26" s="227">
        <v>0.22535211267605632</v>
      </c>
      <c r="AL26" s="227">
        <v>0.18309859154929575</v>
      </c>
      <c r="AM26" s="227">
        <v>0.21126760563380279</v>
      </c>
      <c r="AN26" s="227">
        <v>0.21126760563380279</v>
      </c>
    </row>
    <row r="27" spans="1:40">
      <c r="A27" s="206">
        <f t="shared" si="0"/>
        <v>17</v>
      </c>
      <c r="B27" s="206" t="s">
        <v>63</v>
      </c>
      <c r="D27" s="206">
        <v>41</v>
      </c>
      <c r="E27" s="206" t="s">
        <v>211</v>
      </c>
      <c r="K27" s="212">
        <f>INDEX('DB-function distributions'!C$11:C$65,MATCH($D27,'DB-function distributions'!$B$11:$B$65,0))</f>
        <v>0.36</v>
      </c>
      <c r="L27" s="212">
        <f>INDEX('DB-function distributions'!D$11:D$65,MATCH($D27,'DB-function distributions'!$B$11:$B$65,0))</f>
        <v>0</v>
      </c>
      <c r="M27" s="212">
        <f>INDEX('DB-function distributions'!E$11:E$65,MATCH($D27,'DB-function distributions'!$B$11:$B$65,0))</f>
        <v>0</v>
      </c>
      <c r="N27" s="212">
        <f>INDEX('DB-function distributions'!F$11:F$65,MATCH($D27,'DB-function distributions'!$B$11:$B$65,0))</f>
        <v>0</v>
      </c>
      <c r="O27" s="212">
        <f>INDEX('DB-function distributions'!G$11:G$65,MATCH($D27,'DB-function distributions'!$B$11:$B$65,0))</f>
        <v>0.68</v>
      </c>
      <c r="P27" s="212">
        <f>INDEX('DB-function distributions'!H$11:H$65,MATCH($D27,'DB-function distributions'!$B$11:$B$65,0))</f>
        <v>0</v>
      </c>
      <c r="Q27" s="212">
        <f>INDEX('DB-function distributions'!I$11:I$65,MATCH($D27,'DB-function distributions'!$B$11:$B$65,0))</f>
        <v>0</v>
      </c>
      <c r="R27" s="212">
        <f>INDEX('DB-function distributions'!J$11:J$65,MATCH($D27,'DB-function distributions'!$B$11:$B$65,0))</f>
        <v>0</v>
      </c>
      <c r="S27" s="212">
        <f>INDEX('DB-function distributions'!K$11:K$65,MATCH($D27,'DB-function distributions'!$B$11:$B$65,0))</f>
        <v>0</v>
      </c>
      <c r="T27" s="212">
        <f>INDEX('DB-function distributions'!L$11:L$65,MATCH($D27,'DB-function distributions'!$B$11:$B$65,0))</f>
        <v>0</v>
      </c>
      <c r="U27" s="212">
        <f>INDEX('DB-function distributions'!M$11:M$65,MATCH($D27,'DB-function distributions'!$B$11:$B$65,0))</f>
        <v>0</v>
      </c>
      <c r="V27" s="212">
        <f>INDEX('DB-function distributions'!N$11:N$65,MATCH($D27,'DB-function distributions'!$B$11:$B$65,0))</f>
        <v>0</v>
      </c>
      <c r="W27" s="212">
        <f>INDEX('DB-function distributions'!O$11:O$65,MATCH($D27,'DB-function distributions'!$B$11:$B$65,0))</f>
        <v>0</v>
      </c>
      <c r="X27" s="212">
        <f>INDEX('DB-function distributions'!P$11:P$65,MATCH($D27,'DB-function distributions'!$B$11:$B$65,0))</f>
        <v>0.59</v>
      </c>
      <c r="Y27" s="212">
        <f>INDEX('DB-function distributions'!Q$11:Q$65,MATCH($D27,'DB-function distributions'!$B$11:$B$65,0))</f>
        <v>0.98</v>
      </c>
      <c r="Z27" s="212">
        <f>INDEX('DB-function distributions'!R$11:R$65,MATCH($D27,'DB-function distributions'!$B$11:$B$65,0))</f>
        <v>0</v>
      </c>
      <c r="AC27" s="212" t="s">
        <v>331</v>
      </c>
      <c r="AD27" s="212" t="s">
        <v>343</v>
      </c>
      <c r="AE27" s="212" t="s">
        <v>46</v>
      </c>
      <c r="AF27" s="212" t="s">
        <v>334</v>
      </c>
      <c r="AG27" s="212" t="s">
        <v>335</v>
      </c>
      <c r="AH27" s="212" t="s">
        <v>556</v>
      </c>
      <c r="AJ27" s="227">
        <v>0.13793103448275862</v>
      </c>
      <c r="AK27" s="227">
        <v>0.22605363984674329</v>
      </c>
      <c r="AL27" s="227">
        <v>0.37547892720306514</v>
      </c>
      <c r="AM27" s="227">
        <v>0</v>
      </c>
      <c r="AN27" s="227">
        <v>0.26053639846743298</v>
      </c>
    </row>
    <row r="28" spans="1:40">
      <c r="A28" s="206">
        <f t="shared" si="0"/>
        <v>18</v>
      </c>
      <c r="B28" s="206" t="s">
        <v>64</v>
      </c>
      <c r="D28" s="206">
        <v>38</v>
      </c>
      <c r="E28" s="206" t="s">
        <v>65</v>
      </c>
      <c r="K28" s="212">
        <f>INDEX('DB-function distributions'!C$11:C$65,MATCH($D28,'DB-function distributions'!$B$11:$B$65,0))</f>
        <v>0.74</v>
      </c>
      <c r="L28" s="212">
        <f>INDEX('DB-function distributions'!D$11:D$65,MATCH($D28,'DB-function distributions'!$B$11:$B$65,0))</f>
        <v>0</v>
      </c>
      <c r="M28" s="212">
        <f>INDEX('DB-function distributions'!E$11:E$65,MATCH($D28,'DB-function distributions'!$B$11:$B$65,0))</f>
        <v>0</v>
      </c>
      <c r="N28" s="212">
        <f>INDEX('DB-function distributions'!F$11:F$65,MATCH($D28,'DB-function distributions'!$B$11:$B$65,0))</f>
        <v>0</v>
      </c>
      <c r="O28" s="212">
        <f>INDEX('DB-function distributions'!G$11:G$65,MATCH($D28,'DB-function distributions'!$B$11:$B$65,0))</f>
        <v>0.31</v>
      </c>
      <c r="P28" s="212">
        <f>INDEX('DB-function distributions'!H$11:H$65,MATCH($D28,'DB-function distributions'!$B$11:$B$65,0))</f>
        <v>0.27</v>
      </c>
      <c r="Q28" s="212">
        <f>INDEX('DB-function distributions'!I$11:I$65,MATCH($D28,'DB-function distributions'!$B$11:$B$65,0))</f>
        <v>0</v>
      </c>
      <c r="R28" s="212">
        <f>INDEX('DB-function distributions'!J$11:J$65,MATCH($D28,'DB-function distributions'!$B$11:$B$65,0))</f>
        <v>0</v>
      </c>
      <c r="S28" s="212">
        <f>INDEX('DB-function distributions'!K$11:K$65,MATCH($D28,'DB-function distributions'!$B$11:$B$65,0))</f>
        <v>0</v>
      </c>
      <c r="T28" s="212">
        <f>INDEX('DB-function distributions'!L$11:L$65,MATCH($D28,'DB-function distributions'!$B$11:$B$65,0))</f>
        <v>0</v>
      </c>
      <c r="U28" s="212">
        <f>INDEX('DB-function distributions'!M$11:M$65,MATCH($D28,'DB-function distributions'!$B$11:$B$65,0))</f>
        <v>0</v>
      </c>
      <c r="V28" s="212">
        <f>INDEX('DB-function distributions'!N$11:N$65,MATCH($D28,'DB-function distributions'!$B$11:$B$65,0))</f>
        <v>0</v>
      </c>
      <c r="W28" s="212">
        <f>INDEX('DB-function distributions'!O$11:O$65,MATCH($D28,'DB-function distributions'!$B$11:$B$65,0))</f>
        <v>0</v>
      </c>
      <c r="X28" s="212">
        <f>INDEX('DB-function distributions'!P$11:P$65,MATCH($D28,'DB-function distributions'!$B$11:$B$65,0))</f>
        <v>0</v>
      </c>
      <c r="Y28" s="212">
        <f>INDEX('DB-function distributions'!Q$11:Q$65,MATCH($D28,'DB-function distributions'!$B$11:$B$65,0))</f>
        <v>0.64</v>
      </c>
      <c r="Z28" s="212">
        <f>INDEX('DB-function distributions'!R$11:R$65,MATCH($D28,'DB-function distributions'!$B$11:$B$65,0))</f>
        <v>0</v>
      </c>
      <c r="AC28" s="212" t="s">
        <v>331</v>
      </c>
      <c r="AD28" s="212" t="s">
        <v>336</v>
      </c>
      <c r="AE28" s="212" t="s">
        <v>46</v>
      </c>
      <c r="AF28" s="212" t="s">
        <v>334</v>
      </c>
      <c r="AG28" s="212" t="s">
        <v>335</v>
      </c>
      <c r="AH28" s="212" t="s">
        <v>556</v>
      </c>
      <c r="AJ28" s="227">
        <v>0.37755102040816324</v>
      </c>
      <c r="AK28" s="227">
        <v>0.13775510204081634</v>
      </c>
      <c r="AL28" s="227">
        <v>0.32653061224489799</v>
      </c>
      <c r="AM28" s="227">
        <v>0</v>
      </c>
      <c r="AN28" s="227">
        <v>0.15816326530612246</v>
      </c>
    </row>
    <row r="29" spans="1:40">
      <c r="A29" s="206">
        <f t="shared" si="0"/>
        <v>19</v>
      </c>
      <c r="B29" s="206" t="s">
        <v>66</v>
      </c>
      <c r="C29" s="206" t="s">
        <v>549</v>
      </c>
      <c r="D29" s="206">
        <v>8</v>
      </c>
      <c r="E29" s="206" t="s">
        <v>67</v>
      </c>
      <c r="K29" s="212">
        <f>INDEX('DB-function distributions'!C$11:C$65,MATCH($D29,'DB-function distributions'!$B$11:$B$65,0))</f>
        <v>0</v>
      </c>
      <c r="L29" s="212">
        <f>INDEX('DB-function distributions'!D$11:D$65,MATCH($D29,'DB-function distributions'!$B$11:$B$65,0))</f>
        <v>0.06</v>
      </c>
      <c r="M29" s="212">
        <f>INDEX('DB-function distributions'!E$11:E$65,MATCH($D29,'DB-function distributions'!$B$11:$B$65,0))</f>
        <v>0.09</v>
      </c>
      <c r="N29" s="212">
        <f>INDEX('DB-function distributions'!F$11:F$65,MATCH($D29,'DB-function distributions'!$B$11:$B$65,0))</f>
        <v>0</v>
      </c>
      <c r="O29" s="212">
        <f>INDEX('DB-function distributions'!G$11:G$65,MATCH($D29,'DB-function distributions'!$B$11:$B$65,0))</f>
        <v>0.11</v>
      </c>
      <c r="P29" s="212">
        <f>INDEX('DB-function distributions'!H$11:H$65,MATCH($D29,'DB-function distributions'!$B$11:$B$65,0))</f>
        <v>0</v>
      </c>
      <c r="Q29" s="212">
        <f>INDEX('DB-function distributions'!I$11:I$65,MATCH($D29,'DB-function distributions'!$B$11:$B$65,0))</f>
        <v>0.05</v>
      </c>
      <c r="R29" s="212">
        <f>INDEX('DB-function distributions'!J$11:J$65,MATCH($D29,'DB-function distributions'!$B$11:$B$65,0))</f>
        <v>0</v>
      </c>
      <c r="S29" s="212">
        <f>INDEX('DB-function distributions'!K$11:K$65,MATCH($D29,'DB-function distributions'!$B$11:$B$65,0))</f>
        <v>0</v>
      </c>
      <c r="T29" s="212">
        <f>INDEX('DB-function distributions'!L$11:L$65,MATCH($D29,'DB-function distributions'!$B$11:$B$65,0))</f>
        <v>0.04</v>
      </c>
      <c r="U29" s="212">
        <f>INDEX('DB-function distributions'!M$11:M$65,MATCH($D29,'DB-function distributions'!$B$11:$B$65,0))</f>
        <v>0</v>
      </c>
      <c r="V29" s="212">
        <f>INDEX('DB-function distributions'!N$11:N$65,MATCH($D29,'DB-function distributions'!$B$11:$B$65,0))</f>
        <v>0</v>
      </c>
      <c r="W29" s="212">
        <f>INDEX('DB-function distributions'!O$11:O$65,MATCH($D29,'DB-function distributions'!$B$11:$B$65,0))</f>
        <v>0.09</v>
      </c>
      <c r="X29" s="212">
        <f>INDEX('DB-function distributions'!P$11:P$65,MATCH($D29,'DB-function distributions'!$B$11:$B$65,0))</f>
        <v>0</v>
      </c>
      <c r="Y29" s="212">
        <f>INDEX('DB-function distributions'!Q$11:Q$65,MATCH($D29,'DB-function distributions'!$B$11:$B$65,0))</f>
        <v>7.0000000000000007E-2</v>
      </c>
      <c r="Z29" s="212">
        <f>INDEX('DB-function distributions'!R$11:R$65,MATCH($D29,'DB-function distributions'!$B$11:$B$65,0))</f>
        <v>0</v>
      </c>
      <c r="AC29" s="212" t="s">
        <v>46</v>
      </c>
      <c r="AD29" s="212" t="s">
        <v>332</v>
      </c>
      <c r="AE29" s="212" t="s">
        <v>333</v>
      </c>
      <c r="AF29" s="212" t="s">
        <v>342</v>
      </c>
      <c r="AG29" s="212" t="s">
        <v>335</v>
      </c>
      <c r="AH29" s="212" t="s">
        <v>556</v>
      </c>
      <c r="AJ29" s="227">
        <v>0.16666666666666669</v>
      </c>
      <c r="AK29" s="227">
        <v>0.14285714285714285</v>
      </c>
      <c r="AL29" s="227">
        <v>0.21428571428571427</v>
      </c>
      <c r="AM29" s="227">
        <v>0.21428571428571427</v>
      </c>
      <c r="AN29" s="227">
        <v>0.26190476190476192</v>
      </c>
    </row>
    <row r="30" spans="1:40">
      <c r="A30" s="206">
        <f t="shared" si="0"/>
        <v>20</v>
      </c>
      <c r="B30" s="206" t="s">
        <v>68</v>
      </c>
      <c r="D30" s="206">
        <v>40</v>
      </c>
      <c r="E30" s="206" t="s">
        <v>69</v>
      </c>
      <c r="K30" s="212">
        <f>INDEX('DB-function distributions'!C$11:C$65,MATCH($D30,'DB-function distributions'!$B$11:$B$65,0))</f>
        <v>0</v>
      </c>
      <c r="L30" s="212">
        <f>INDEX('DB-function distributions'!D$11:D$65,MATCH($D30,'DB-function distributions'!$B$11:$B$65,0))</f>
        <v>0.22</v>
      </c>
      <c r="M30" s="212">
        <f>INDEX('DB-function distributions'!E$11:E$65,MATCH($D30,'DB-function distributions'!$B$11:$B$65,0))</f>
        <v>0.25</v>
      </c>
      <c r="N30" s="212">
        <f>INDEX('DB-function distributions'!F$11:F$65,MATCH($D30,'DB-function distributions'!$B$11:$B$65,0))</f>
        <v>0</v>
      </c>
      <c r="O30" s="212">
        <f>INDEX('DB-function distributions'!G$11:G$65,MATCH($D30,'DB-function distributions'!$B$11:$B$65,0))</f>
        <v>0</v>
      </c>
      <c r="P30" s="212">
        <f>INDEX('DB-function distributions'!H$11:H$65,MATCH($D30,'DB-function distributions'!$B$11:$B$65,0))</f>
        <v>0</v>
      </c>
      <c r="Q30" s="212">
        <f>INDEX('DB-function distributions'!I$11:I$65,MATCH($D30,'DB-function distributions'!$B$11:$B$65,0))</f>
        <v>0</v>
      </c>
      <c r="R30" s="212">
        <f>INDEX('DB-function distributions'!J$11:J$65,MATCH($D30,'DB-function distributions'!$B$11:$B$65,0))</f>
        <v>0</v>
      </c>
      <c r="S30" s="212">
        <f>INDEX('DB-function distributions'!K$11:K$65,MATCH($D30,'DB-function distributions'!$B$11:$B$65,0))</f>
        <v>0</v>
      </c>
      <c r="T30" s="212">
        <f>INDEX('DB-function distributions'!L$11:L$65,MATCH($D30,'DB-function distributions'!$B$11:$B$65,0))</f>
        <v>0</v>
      </c>
      <c r="U30" s="212">
        <f>INDEX('DB-function distributions'!M$11:M$65,MATCH($D30,'DB-function distributions'!$B$11:$B$65,0))</f>
        <v>0</v>
      </c>
      <c r="V30" s="212">
        <f>INDEX('DB-function distributions'!N$11:N$65,MATCH($D30,'DB-function distributions'!$B$11:$B$65,0))</f>
        <v>0</v>
      </c>
      <c r="W30" s="212">
        <f>INDEX('DB-function distributions'!O$11:O$65,MATCH($D30,'DB-function distributions'!$B$11:$B$65,0))</f>
        <v>0</v>
      </c>
      <c r="X30" s="212">
        <f>INDEX('DB-function distributions'!P$11:P$65,MATCH($D30,'DB-function distributions'!$B$11:$B$65,0))</f>
        <v>0</v>
      </c>
      <c r="Y30" s="212">
        <f>INDEX('DB-function distributions'!Q$11:Q$65,MATCH($D30,'DB-function distributions'!$B$11:$B$65,0))</f>
        <v>0.23</v>
      </c>
      <c r="Z30" s="212">
        <f>INDEX('DB-function distributions'!R$11:R$65,MATCH($D30,'DB-function distributions'!$B$11:$B$65,0))</f>
        <v>0</v>
      </c>
      <c r="AC30" s="212" t="s">
        <v>46</v>
      </c>
      <c r="AD30" s="212" t="s">
        <v>332</v>
      </c>
      <c r="AE30" s="212" t="s">
        <v>333</v>
      </c>
      <c r="AF30" s="212" t="s">
        <v>334</v>
      </c>
      <c r="AG30" s="212" t="s">
        <v>335</v>
      </c>
      <c r="AH30" s="212" t="s">
        <v>556</v>
      </c>
      <c r="AJ30" s="227">
        <v>0.32857142857142863</v>
      </c>
      <c r="AK30" s="227">
        <v>0.31428571428571433</v>
      </c>
      <c r="AL30" s="227">
        <v>0.35714285714285715</v>
      </c>
      <c r="AM30" s="227">
        <v>0</v>
      </c>
      <c r="AN30" s="227">
        <v>0</v>
      </c>
    </row>
    <row r="31" spans="1:40">
      <c r="A31" s="206">
        <f t="shared" si="0"/>
        <v>21</v>
      </c>
      <c r="B31" s="206" t="s">
        <v>70</v>
      </c>
      <c r="D31" s="206">
        <v>43</v>
      </c>
      <c r="E31" s="206" t="s">
        <v>52</v>
      </c>
      <c r="K31" s="212">
        <f>INDEX('DB-function distributions'!C$11:C$65,MATCH($D31,'DB-function distributions'!$B$11:$B$65,0))</f>
        <v>0</v>
      </c>
      <c r="L31" s="212">
        <f>INDEX('DB-function distributions'!D$11:D$65,MATCH($D31,'DB-function distributions'!$B$11:$B$65,0))</f>
        <v>0.31</v>
      </c>
      <c r="M31" s="212">
        <f>INDEX('DB-function distributions'!E$11:E$65,MATCH($D31,'DB-function distributions'!$B$11:$B$65,0))</f>
        <v>0.53</v>
      </c>
      <c r="N31" s="212">
        <f>INDEX('DB-function distributions'!F$11:F$65,MATCH($D31,'DB-function distributions'!$B$11:$B$65,0))</f>
        <v>0</v>
      </c>
      <c r="O31" s="212">
        <f>INDEX('DB-function distributions'!G$11:G$65,MATCH($D31,'DB-function distributions'!$B$11:$B$65,0))</f>
        <v>0</v>
      </c>
      <c r="P31" s="212">
        <f>INDEX('DB-function distributions'!H$11:H$65,MATCH($D31,'DB-function distributions'!$B$11:$B$65,0))</f>
        <v>0</v>
      </c>
      <c r="Q31" s="212">
        <f>INDEX('DB-function distributions'!I$11:I$65,MATCH($D31,'DB-function distributions'!$B$11:$B$65,0))</f>
        <v>0</v>
      </c>
      <c r="R31" s="212">
        <f>INDEX('DB-function distributions'!J$11:J$65,MATCH($D31,'DB-function distributions'!$B$11:$B$65,0))</f>
        <v>0</v>
      </c>
      <c r="S31" s="212">
        <f>INDEX('DB-function distributions'!K$11:K$65,MATCH($D31,'DB-function distributions'!$B$11:$B$65,0))</f>
        <v>0</v>
      </c>
      <c r="T31" s="212">
        <f>INDEX('DB-function distributions'!L$11:L$65,MATCH($D31,'DB-function distributions'!$B$11:$B$65,0))</f>
        <v>0</v>
      </c>
      <c r="U31" s="212">
        <f>INDEX('DB-function distributions'!M$11:M$65,MATCH($D31,'DB-function distributions'!$B$11:$B$65,0))</f>
        <v>0.44</v>
      </c>
      <c r="V31" s="212">
        <f>INDEX('DB-function distributions'!N$11:N$65,MATCH($D31,'DB-function distributions'!$B$11:$B$65,0))</f>
        <v>0</v>
      </c>
      <c r="W31" s="212">
        <f>INDEX('DB-function distributions'!O$11:O$65,MATCH($D31,'DB-function distributions'!$B$11:$B$65,0))</f>
        <v>0</v>
      </c>
      <c r="X31" s="212">
        <f>INDEX('DB-function distributions'!P$11:P$65,MATCH($D31,'DB-function distributions'!$B$11:$B$65,0))</f>
        <v>0</v>
      </c>
      <c r="Y31" s="212">
        <f>INDEX('DB-function distributions'!Q$11:Q$65,MATCH($D31,'DB-function distributions'!$B$11:$B$65,0))</f>
        <v>0.33</v>
      </c>
      <c r="Z31" s="212">
        <f>INDEX('DB-function distributions'!R$11:R$65,MATCH($D31,'DB-function distributions'!$B$11:$B$65,0))</f>
        <v>0</v>
      </c>
      <c r="AC31" s="212" t="s">
        <v>340</v>
      </c>
      <c r="AD31" s="212" t="s">
        <v>332</v>
      </c>
      <c r="AE31" s="212" t="s">
        <v>333</v>
      </c>
      <c r="AF31" s="212" t="s">
        <v>46</v>
      </c>
      <c r="AG31" s="212" t="s">
        <v>335</v>
      </c>
      <c r="AH31" s="212" t="s">
        <v>556</v>
      </c>
      <c r="AJ31" s="227">
        <v>0.27329192546583847</v>
      </c>
      <c r="AK31" s="227">
        <v>0.19254658385093165</v>
      </c>
      <c r="AL31" s="227">
        <v>0.32919254658385094</v>
      </c>
      <c r="AM31" s="227">
        <v>0.20496894409937888</v>
      </c>
      <c r="AN31" s="227">
        <v>0</v>
      </c>
    </row>
    <row r="32" spans="1:40">
      <c r="A32" s="206">
        <f t="shared" si="0"/>
        <v>22</v>
      </c>
      <c r="B32" s="206" t="s">
        <v>71</v>
      </c>
      <c r="C32" s="206" t="s">
        <v>546</v>
      </c>
      <c r="D32" s="206">
        <v>43</v>
      </c>
      <c r="E32" s="206" t="s">
        <v>52</v>
      </c>
      <c r="K32" s="212">
        <f>INDEX('DB-function distributions'!C$11:C$65,MATCH($D32,'DB-function distributions'!$B$11:$B$65,0))</f>
        <v>0</v>
      </c>
      <c r="L32" s="212">
        <f>INDEX('DB-function distributions'!D$11:D$65,MATCH($D32,'DB-function distributions'!$B$11:$B$65,0))</f>
        <v>0.31</v>
      </c>
      <c r="M32" s="212">
        <f>INDEX('DB-function distributions'!E$11:E$65,MATCH($D32,'DB-function distributions'!$B$11:$B$65,0))</f>
        <v>0.53</v>
      </c>
      <c r="N32" s="212">
        <f>INDEX('DB-function distributions'!F$11:F$65,MATCH($D32,'DB-function distributions'!$B$11:$B$65,0))</f>
        <v>0</v>
      </c>
      <c r="O32" s="212">
        <f>INDEX('DB-function distributions'!G$11:G$65,MATCH($D32,'DB-function distributions'!$B$11:$B$65,0))</f>
        <v>0</v>
      </c>
      <c r="P32" s="212">
        <f>INDEX('DB-function distributions'!H$11:H$65,MATCH($D32,'DB-function distributions'!$B$11:$B$65,0))</f>
        <v>0</v>
      </c>
      <c r="Q32" s="212">
        <f>INDEX('DB-function distributions'!I$11:I$65,MATCH($D32,'DB-function distributions'!$B$11:$B$65,0))</f>
        <v>0</v>
      </c>
      <c r="R32" s="212">
        <f>INDEX('DB-function distributions'!J$11:J$65,MATCH($D32,'DB-function distributions'!$B$11:$B$65,0))</f>
        <v>0</v>
      </c>
      <c r="S32" s="212">
        <f>INDEX('DB-function distributions'!K$11:K$65,MATCH($D32,'DB-function distributions'!$B$11:$B$65,0))</f>
        <v>0</v>
      </c>
      <c r="T32" s="212">
        <f>INDEX('DB-function distributions'!L$11:L$65,MATCH($D32,'DB-function distributions'!$B$11:$B$65,0))</f>
        <v>0</v>
      </c>
      <c r="U32" s="212">
        <f>INDEX('DB-function distributions'!M$11:M$65,MATCH($D32,'DB-function distributions'!$B$11:$B$65,0))</f>
        <v>0.44</v>
      </c>
      <c r="V32" s="212">
        <f>INDEX('DB-function distributions'!N$11:N$65,MATCH($D32,'DB-function distributions'!$B$11:$B$65,0))</f>
        <v>0</v>
      </c>
      <c r="W32" s="212">
        <f>INDEX('DB-function distributions'!O$11:O$65,MATCH($D32,'DB-function distributions'!$B$11:$B$65,0))</f>
        <v>0</v>
      </c>
      <c r="X32" s="212">
        <f>INDEX('DB-function distributions'!P$11:P$65,MATCH($D32,'DB-function distributions'!$B$11:$B$65,0))</f>
        <v>0</v>
      </c>
      <c r="Y32" s="212">
        <f>INDEX('DB-function distributions'!Q$11:Q$65,MATCH($D32,'DB-function distributions'!$B$11:$B$65,0))</f>
        <v>0.33</v>
      </c>
      <c r="Z32" s="212">
        <f>INDEX('DB-function distributions'!R$11:R$65,MATCH($D32,'DB-function distributions'!$B$11:$B$65,0))</f>
        <v>0</v>
      </c>
      <c r="AC32" s="212" t="s">
        <v>340</v>
      </c>
      <c r="AD32" s="212" t="s">
        <v>332</v>
      </c>
      <c r="AE32" s="212" t="s">
        <v>333</v>
      </c>
      <c r="AF32" s="212" t="s">
        <v>46</v>
      </c>
      <c r="AG32" s="212" t="s">
        <v>335</v>
      </c>
      <c r="AH32" s="212" t="s">
        <v>556</v>
      </c>
      <c r="AJ32" s="227">
        <v>0.27329192546583847</v>
      </c>
      <c r="AK32" s="227">
        <v>0.19254658385093165</v>
      </c>
      <c r="AL32" s="227">
        <v>0.32919254658385094</v>
      </c>
      <c r="AM32" s="227">
        <v>0.20496894409937888</v>
      </c>
      <c r="AN32" s="227">
        <v>0</v>
      </c>
    </row>
    <row r="33" spans="1:40">
      <c r="A33" s="206">
        <f t="shared" si="0"/>
        <v>23</v>
      </c>
      <c r="B33" s="206" t="s">
        <v>72</v>
      </c>
      <c r="D33" s="206">
        <v>55</v>
      </c>
      <c r="E33" s="206" t="s">
        <v>159</v>
      </c>
      <c r="K33" s="212">
        <f>INDEX('DB-function distributions'!C$11:C$65,MATCH($D33,'DB-function distributions'!$B$11:$B$65,0))</f>
        <v>0.9</v>
      </c>
      <c r="L33" s="212">
        <f>INDEX('DB-function distributions'!D$11:D$65,MATCH($D33,'DB-function distributions'!$B$11:$B$65,0))</f>
        <v>2.62</v>
      </c>
      <c r="M33" s="212">
        <f>INDEX('DB-function distributions'!E$11:E$65,MATCH($D33,'DB-function distributions'!$B$11:$B$65,0))</f>
        <v>3.74</v>
      </c>
      <c r="N33" s="212">
        <f>INDEX('DB-function distributions'!F$11:F$65,MATCH($D33,'DB-function distributions'!$B$11:$B$65,0))</f>
        <v>0.36</v>
      </c>
      <c r="O33" s="212">
        <f>INDEX('DB-function distributions'!G$11:G$65,MATCH($D33,'DB-function distributions'!$B$11:$B$65,0))</f>
        <v>1.96</v>
      </c>
      <c r="P33" s="212">
        <f>INDEX('DB-function distributions'!H$11:H$65,MATCH($D33,'DB-function distributions'!$B$11:$B$65,0))</f>
        <v>1.06</v>
      </c>
      <c r="Q33" s="212">
        <f>INDEX('DB-function distributions'!I$11:I$65,MATCH($D33,'DB-function distributions'!$B$11:$B$65,0))</f>
        <v>0.46</v>
      </c>
      <c r="R33" s="212">
        <f>INDEX('DB-function distributions'!J$11:J$65,MATCH($D33,'DB-function distributions'!$B$11:$B$65,0))</f>
        <v>0.63</v>
      </c>
      <c r="S33" s="212">
        <f>INDEX('DB-function distributions'!K$11:K$65,MATCH($D33,'DB-function distributions'!$B$11:$B$65,0))</f>
        <v>1.87</v>
      </c>
      <c r="T33" s="212">
        <f>INDEX('DB-function distributions'!L$11:L$65,MATCH($D33,'DB-function distributions'!$B$11:$B$65,0))</f>
        <v>0</v>
      </c>
      <c r="U33" s="212">
        <f>INDEX('DB-function distributions'!M$11:M$65,MATCH($D33,'DB-function distributions'!$B$11:$B$65,0))</f>
        <v>2.6</v>
      </c>
      <c r="V33" s="212">
        <f>INDEX('DB-function distributions'!N$11:N$65,MATCH($D33,'DB-function distributions'!$B$11:$B$65,0))</f>
        <v>0.83</v>
      </c>
      <c r="W33" s="212">
        <f>INDEX('DB-function distributions'!O$11:O$65,MATCH($D33,'DB-function distributions'!$B$11:$B$65,0))</f>
        <v>1.33</v>
      </c>
      <c r="X33" s="212">
        <f>INDEX('DB-function distributions'!P$11:P$65,MATCH($D33,'DB-function distributions'!$B$11:$B$65,0))</f>
        <v>2.06</v>
      </c>
      <c r="Y33" s="212">
        <f>INDEX('DB-function distributions'!Q$11:Q$65,MATCH($D33,'DB-function distributions'!$B$11:$B$65,0))</f>
        <v>3.57</v>
      </c>
      <c r="Z33" s="212">
        <f>INDEX('DB-function distributions'!R$11:R$65,MATCH($D33,'DB-function distributions'!$B$11:$B$65,0))</f>
        <v>0</v>
      </c>
      <c r="AC33" s="212" t="s">
        <v>343</v>
      </c>
      <c r="AD33" s="212" t="s">
        <v>332</v>
      </c>
      <c r="AE33" s="212" t="s">
        <v>333</v>
      </c>
      <c r="AF33" s="212" t="s">
        <v>340</v>
      </c>
      <c r="AG33" s="212" t="s">
        <v>46</v>
      </c>
      <c r="AH33" s="212" t="s">
        <v>556</v>
      </c>
      <c r="AJ33" s="227">
        <v>0.14119259766963674</v>
      </c>
      <c r="AK33" s="227">
        <v>0.17957505140507199</v>
      </c>
      <c r="AL33" s="227">
        <v>0.25633995887594246</v>
      </c>
      <c r="AM33" s="227">
        <v>0.17820424948594929</v>
      </c>
      <c r="AN33" s="227">
        <v>0.24468814256339957</v>
      </c>
    </row>
    <row r="34" spans="1:40">
      <c r="A34" s="206">
        <f t="shared" si="0"/>
        <v>24</v>
      </c>
      <c r="B34" s="206" t="s">
        <v>73</v>
      </c>
      <c r="D34" s="206">
        <v>55</v>
      </c>
      <c r="E34" s="206" t="s">
        <v>46</v>
      </c>
      <c r="K34" s="212">
        <f>INDEX('DB-function distributions'!C$11:C$65,MATCH($D34,'DB-function distributions'!$B$11:$B$65,0))</f>
        <v>0.9</v>
      </c>
      <c r="L34" s="212">
        <f>INDEX('DB-function distributions'!D$11:D$65,MATCH($D34,'DB-function distributions'!$B$11:$B$65,0))</f>
        <v>2.62</v>
      </c>
      <c r="M34" s="212">
        <f>INDEX('DB-function distributions'!E$11:E$65,MATCH($D34,'DB-function distributions'!$B$11:$B$65,0))</f>
        <v>3.74</v>
      </c>
      <c r="N34" s="212">
        <f>INDEX('DB-function distributions'!F$11:F$65,MATCH($D34,'DB-function distributions'!$B$11:$B$65,0))</f>
        <v>0.36</v>
      </c>
      <c r="O34" s="212">
        <f>INDEX('DB-function distributions'!G$11:G$65,MATCH($D34,'DB-function distributions'!$B$11:$B$65,0))</f>
        <v>1.96</v>
      </c>
      <c r="P34" s="212">
        <f>INDEX('DB-function distributions'!H$11:H$65,MATCH($D34,'DB-function distributions'!$B$11:$B$65,0))</f>
        <v>1.06</v>
      </c>
      <c r="Q34" s="212">
        <f>INDEX('DB-function distributions'!I$11:I$65,MATCH($D34,'DB-function distributions'!$B$11:$B$65,0))</f>
        <v>0.46</v>
      </c>
      <c r="R34" s="212">
        <f>INDEX('DB-function distributions'!J$11:J$65,MATCH($D34,'DB-function distributions'!$B$11:$B$65,0))</f>
        <v>0.63</v>
      </c>
      <c r="S34" s="212">
        <f>INDEX('DB-function distributions'!K$11:K$65,MATCH($D34,'DB-function distributions'!$B$11:$B$65,0))</f>
        <v>1.87</v>
      </c>
      <c r="T34" s="212">
        <f>INDEX('DB-function distributions'!L$11:L$65,MATCH($D34,'DB-function distributions'!$B$11:$B$65,0))</f>
        <v>0</v>
      </c>
      <c r="U34" s="212">
        <f>INDEX('DB-function distributions'!M$11:M$65,MATCH($D34,'DB-function distributions'!$B$11:$B$65,0))</f>
        <v>2.6</v>
      </c>
      <c r="V34" s="212">
        <f>INDEX('DB-function distributions'!N$11:N$65,MATCH($D34,'DB-function distributions'!$B$11:$B$65,0))</f>
        <v>0.83</v>
      </c>
      <c r="W34" s="212">
        <f>INDEX('DB-function distributions'!O$11:O$65,MATCH($D34,'DB-function distributions'!$B$11:$B$65,0))</f>
        <v>1.33</v>
      </c>
      <c r="X34" s="212">
        <f>INDEX('DB-function distributions'!P$11:P$65,MATCH($D34,'DB-function distributions'!$B$11:$B$65,0))</f>
        <v>2.06</v>
      </c>
      <c r="Y34" s="212">
        <f>INDEX('DB-function distributions'!Q$11:Q$65,MATCH($D34,'DB-function distributions'!$B$11:$B$65,0))</f>
        <v>3.57</v>
      </c>
      <c r="Z34" s="212">
        <f>INDEX('DB-function distributions'!R$11:R$65,MATCH($D34,'DB-function distributions'!$B$11:$B$65,0))</f>
        <v>0</v>
      </c>
      <c r="AC34" s="212" t="s">
        <v>343</v>
      </c>
      <c r="AD34" s="212" t="s">
        <v>332</v>
      </c>
      <c r="AE34" s="212" t="s">
        <v>333</v>
      </c>
      <c r="AF34" s="212" t="s">
        <v>340</v>
      </c>
      <c r="AG34" s="212" t="s">
        <v>46</v>
      </c>
      <c r="AH34" s="212" t="s">
        <v>556</v>
      </c>
      <c r="AJ34" s="227">
        <v>0.14119259766963674</v>
      </c>
      <c r="AK34" s="227">
        <v>0.17957505140507199</v>
      </c>
      <c r="AL34" s="227">
        <v>0.25633995887594246</v>
      </c>
      <c r="AM34" s="227">
        <v>0.17820424948594929</v>
      </c>
      <c r="AN34" s="227">
        <v>0.24468814256339957</v>
      </c>
    </row>
    <row r="35" spans="1:40">
      <c r="A35" s="206">
        <f t="shared" si="0"/>
        <v>25</v>
      </c>
      <c r="B35" s="206" t="s">
        <v>582</v>
      </c>
      <c r="D35" s="206">
        <v>10</v>
      </c>
      <c r="E35" s="206" t="s">
        <v>74</v>
      </c>
      <c r="K35" s="212">
        <f>INDEX('DB-function distributions'!C$11:C$65,MATCH($D35,'DB-function distributions'!$B$11:$B$65,0))</f>
        <v>0.15</v>
      </c>
      <c r="L35" s="212">
        <f>INDEX('DB-function distributions'!D$11:D$65,MATCH($D35,'DB-function distributions'!$B$11:$B$65,0))</f>
        <v>0</v>
      </c>
      <c r="M35" s="212">
        <f>INDEX('DB-function distributions'!E$11:E$65,MATCH($D35,'DB-function distributions'!$B$11:$B$65,0))</f>
        <v>0</v>
      </c>
      <c r="N35" s="212">
        <f>INDEX('DB-function distributions'!F$11:F$65,MATCH($D35,'DB-function distributions'!$B$11:$B$65,0))</f>
        <v>0.06</v>
      </c>
      <c r="O35" s="212">
        <f>INDEX('DB-function distributions'!G$11:G$65,MATCH($D35,'DB-function distributions'!$B$11:$B$65,0))</f>
        <v>0.15</v>
      </c>
      <c r="P35" s="212">
        <f>INDEX('DB-function distributions'!H$11:H$65,MATCH($D35,'DB-function distributions'!$B$11:$B$65,0))</f>
        <v>0</v>
      </c>
      <c r="Q35" s="212">
        <f>INDEX('DB-function distributions'!I$11:I$65,MATCH($D35,'DB-function distributions'!$B$11:$B$65,0))</f>
        <v>7.0000000000000007E-2</v>
      </c>
      <c r="R35" s="212">
        <f>INDEX('DB-function distributions'!J$11:J$65,MATCH($D35,'DB-function distributions'!$B$11:$B$65,0))</f>
        <v>0</v>
      </c>
      <c r="S35" s="212">
        <f>INDEX('DB-function distributions'!K$11:K$65,MATCH($D35,'DB-function distributions'!$B$11:$B$65,0))</f>
        <v>0.1</v>
      </c>
      <c r="T35" s="212">
        <f>INDEX('DB-function distributions'!L$11:L$65,MATCH($D35,'DB-function distributions'!$B$11:$B$65,0))</f>
        <v>0.06</v>
      </c>
      <c r="U35" s="212">
        <f>INDEX('DB-function distributions'!M$11:M$65,MATCH($D35,'DB-function distributions'!$B$11:$B$65,0))</f>
        <v>0.3</v>
      </c>
      <c r="V35" s="212">
        <f>INDEX('DB-function distributions'!N$11:N$65,MATCH($D35,'DB-function distributions'!$B$11:$B$65,0))</f>
        <v>0.16</v>
      </c>
      <c r="W35" s="212">
        <f>INDEX('DB-function distributions'!O$11:O$65,MATCH($D35,'DB-function distributions'!$B$11:$B$65,0))</f>
        <v>0.34</v>
      </c>
      <c r="X35" s="212">
        <f>INDEX('DB-function distributions'!P$11:P$65,MATCH($D35,'DB-function distributions'!$B$11:$B$65,0))</f>
        <v>0.4</v>
      </c>
      <c r="Y35" s="212">
        <f>INDEX('DB-function distributions'!Q$11:Q$65,MATCH($D35,'DB-function distributions'!$B$11:$B$65,0))</f>
        <v>0.28999999999999998</v>
      </c>
      <c r="Z35" s="212">
        <f>INDEX('DB-function distributions'!R$11:R$65,MATCH($D35,'DB-function distributions'!$B$11:$B$65,0))</f>
        <v>0</v>
      </c>
      <c r="AC35" s="212" t="s">
        <v>343</v>
      </c>
      <c r="AD35" s="212" t="s">
        <v>341</v>
      </c>
      <c r="AE35" s="212" t="s">
        <v>342</v>
      </c>
      <c r="AF35" s="212" t="s">
        <v>340</v>
      </c>
      <c r="AG35" s="212" t="s">
        <v>46</v>
      </c>
      <c r="AH35" s="212" t="s">
        <v>556</v>
      </c>
      <c r="AJ35" s="227">
        <v>0.26845637583892618</v>
      </c>
      <c r="AK35" s="227">
        <v>0.10738255033557045</v>
      </c>
      <c r="AL35" s="227">
        <v>0.22818791946308722</v>
      </c>
      <c r="AM35" s="227">
        <v>0.20134228187919459</v>
      </c>
      <c r="AN35" s="227">
        <v>0.19463087248322145</v>
      </c>
    </row>
    <row r="36" spans="1:40">
      <c r="A36" s="206">
        <f t="shared" si="0"/>
        <v>26</v>
      </c>
      <c r="B36" s="206" t="s">
        <v>197</v>
      </c>
      <c r="C36" s="206" t="s">
        <v>548</v>
      </c>
      <c r="D36" s="206">
        <v>13</v>
      </c>
      <c r="E36" s="206" t="s">
        <v>198</v>
      </c>
      <c r="K36" s="212">
        <f>INDEX('DB-function distributions'!C$11:C$65,MATCH($D36,'DB-function distributions'!$B$11:$B$65,0))</f>
        <v>0</v>
      </c>
      <c r="L36" s="212">
        <f>INDEX('DB-function distributions'!D$11:D$65,MATCH($D36,'DB-function distributions'!$B$11:$B$65,0))</f>
        <v>0</v>
      </c>
      <c r="M36" s="212">
        <f>INDEX('DB-function distributions'!E$11:E$65,MATCH($D36,'DB-function distributions'!$B$11:$B$65,0))</f>
        <v>0</v>
      </c>
      <c r="N36" s="212">
        <f>INDEX('DB-function distributions'!F$11:F$65,MATCH($D36,'DB-function distributions'!$B$11:$B$65,0))</f>
        <v>0</v>
      </c>
      <c r="O36" s="212">
        <f>INDEX('DB-function distributions'!G$11:G$65,MATCH($D36,'DB-function distributions'!$B$11:$B$65,0))</f>
        <v>0</v>
      </c>
      <c r="P36" s="212">
        <f>INDEX('DB-function distributions'!H$11:H$65,MATCH($D36,'DB-function distributions'!$B$11:$B$65,0))</f>
        <v>0</v>
      </c>
      <c r="Q36" s="212">
        <f>INDEX('DB-function distributions'!I$11:I$65,MATCH($D36,'DB-function distributions'!$B$11:$B$65,0))</f>
        <v>0</v>
      </c>
      <c r="R36" s="212">
        <f>INDEX('DB-function distributions'!J$11:J$65,MATCH($D36,'DB-function distributions'!$B$11:$B$65,0))</f>
        <v>0</v>
      </c>
      <c r="S36" s="212">
        <f>INDEX('DB-function distributions'!K$11:K$65,MATCH($D36,'DB-function distributions'!$B$11:$B$65,0))</f>
        <v>0</v>
      </c>
      <c r="T36" s="212">
        <f>INDEX('DB-function distributions'!L$11:L$65,MATCH($D36,'DB-function distributions'!$B$11:$B$65,0))</f>
        <v>0</v>
      </c>
      <c r="U36" s="212">
        <f>INDEX('DB-function distributions'!M$11:M$65,MATCH($D36,'DB-function distributions'!$B$11:$B$65,0))</f>
        <v>0</v>
      </c>
      <c r="V36" s="212">
        <f>INDEX('DB-function distributions'!N$11:N$65,MATCH($D36,'DB-function distributions'!$B$11:$B$65,0))</f>
        <v>0</v>
      </c>
      <c r="W36" s="212">
        <f>INDEX('DB-function distributions'!O$11:O$65,MATCH($D36,'DB-function distributions'!$B$11:$B$65,0))</f>
        <v>0</v>
      </c>
      <c r="X36" s="212">
        <f>INDEX('DB-function distributions'!P$11:P$65,MATCH($D36,'DB-function distributions'!$B$11:$B$65,0))</f>
        <v>0</v>
      </c>
      <c r="Y36" s="212">
        <f>INDEX('DB-function distributions'!Q$11:Q$65,MATCH($D36,'DB-function distributions'!$B$11:$B$65,0))</f>
        <v>0.4</v>
      </c>
      <c r="Z36" s="212">
        <f>INDEX('DB-function distributions'!R$11:R$65,MATCH($D36,'DB-function distributions'!$B$11:$B$65,0))</f>
        <v>0</v>
      </c>
      <c r="AC36" s="212" t="s">
        <v>46</v>
      </c>
      <c r="AD36" s="212" t="s">
        <v>332</v>
      </c>
      <c r="AE36" s="212" t="s">
        <v>333</v>
      </c>
      <c r="AF36" s="212" t="s">
        <v>334</v>
      </c>
      <c r="AG36" s="212" t="s">
        <v>335</v>
      </c>
      <c r="AH36" s="212" t="s">
        <v>556</v>
      </c>
      <c r="AJ36" s="227">
        <v>1</v>
      </c>
      <c r="AK36" s="227">
        <v>0</v>
      </c>
      <c r="AL36" s="227">
        <v>0</v>
      </c>
      <c r="AM36" s="227">
        <v>0</v>
      </c>
      <c r="AN36" s="227">
        <v>0</v>
      </c>
    </row>
    <row r="37" spans="1:40">
      <c r="A37" s="206">
        <f t="shared" si="0"/>
        <v>27</v>
      </c>
      <c r="B37" s="206" t="s">
        <v>75</v>
      </c>
      <c r="D37" s="206">
        <v>55</v>
      </c>
      <c r="E37" s="206" t="s">
        <v>46</v>
      </c>
      <c r="K37" s="212">
        <f>INDEX('DB-function distributions'!C$11:C$65,MATCH($D37,'DB-function distributions'!$B$11:$B$65,0))</f>
        <v>0.9</v>
      </c>
      <c r="L37" s="212">
        <f>INDEX('DB-function distributions'!D$11:D$65,MATCH($D37,'DB-function distributions'!$B$11:$B$65,0))</f>
        <v>2.62</v>
      </c>
      <c r="M37" s="212">
        <f>INDEX('DB-function distributions'!E$11:E$65,MATCH($D37,'DB-function distributions'!$B$11:$B$65,0))</f>
        <v>3.74</v>
      </c>
      <c r="N37" s="212">
        <f>INDEX('DB-function distributions'!F$11:F$65,MATCH($D37,'DB-function distributions'!$B$11:$B$65,0))</f>
        <v>0.36</v>
      </c>
      <c r="O37" s="212">
        <f>INDEX('DB-function distributions'!G$11:G$65,MATCH($D37,'DB-function distributions'!$B$11:$B$65,0))</f>
        <v>1.96</v>
      </c>
      <c r="P37" s="212">
        <f>INDEX('DB-function distributions'!H$11:H$65,MATCH($D37,'DB-function distributions'!$B$11:$B$65,0))</f>
        <v>1.06</v>
      </c>
      <c r="Q37" s="212">
        <f>INDEX('DB-function distributions'!I$11:I$65,MATCH($D37,'DB-function distributions'!$B$11:$B$65,0))</f>
        <v>0.46</v>
      </c>
      <c r="R37" s="212">
        <f>INDEX('DB-function distributions'!J$11:J$65,MATCH($D37,'DB-function distributions'!$B$11:$B$65,0))</f>
        <v>0.63</v>
      </c>
      <c r="S37" s="212">
        <f>INDEX('DB-function distributions'!K$11:K$65,MATCH($D37,'DB-function distributions'!$B$11:$B$65,0))</f>
        <v>1.87</v>
      </c>
      <c r="T37" s="212">
        <f>INDEX('DB-function distributions'!L$11:L$65,MATCH($D37,'DB-function distributions'!$B$11:$B$65,0))</f>
        <v>0</v>
      </c>
      <c r="U37" s="212">
        <f>INDEX('DB-function distributions'!M$11:M$65,MATCH($D37,'DB-function distributions'!$B$11:$B$65,0))</f>
        <v>2.6</v>
      </c>
      <c r="V37" s="212">
        <f>INDEX('DB-function distributions'!N$11:N$65,MATCH($D37,'DB-function distributions'!$B$11:$B$65,0))</f>
        <v>0.83</v>
      </c>
      <c r="W37" s="212">
        <f>INDEX('DB-function distributions'!O$11:O$65,MATCH($D37,'DB-function distributions'!$B$11:$B$65,0))</f>
        <v>1.33</v>
      </c>
      <c r="X37" s="212">
        <f>INDEX('DB-function distributions'!P$11:P$65,MATCH($D37,'DB-function distributions'!$B$11:$B$65,0))</f>
        <v>2.06</v>
      </c>
      <c r="Y37" s="212">
        <f>INDEX('DB-function distributions'!Q$11:Q$65,MATCH($D37,'DB-function distributions'!$B$11:$B$65,0))</f>
        <v>3.57</v>
      </c>
      <c r="Z37" s="212">
        <f>INDEX('DB-function distributions'!R$11:R$65,MATCH($D37,'DB-function distributions'!$B$11:$B$65,0))</f>
        <v>0</v>
      </c>
      <c r="AC37" s="212" t="s">
        <v>343</v>
      </c>
      <c r="AD37" s="212" t="s">
        <v>332</v>
      </c>
      <c r="AE37" s="212" t="s">
        <v>333</v>
      </c>
      <c r="AF37" s="212" t="s">
        <v>340</v>
      </c>
      <c r="AG37" s="212" t="s">
        <v>46</v>
      </c>
      <c r="AH37" s="212" t="s">
        <v>556</v>
      </c>
      <c r="AJ37" s="227">
        <v>0.14119259766963674</v>
      </c>
      <c r="AK37" s="227">
        <v>0.17957505140507199</v>
      </c>
      <c r="AL37" s="227">
        <v>0.25633995887594246</v>
      </c>
      <c r="AM37" s="227">
        <v>0.17820424948594929</v>
      </c>
      <c r="AN37" s="227">
        <v>0.24468814256339957</v>
      </c>
    </row>
    <row r="38" spans="1:40">
      <c r="A38" s="206">
        <f t="shared" si="0"/>
        <v>28</v>
      </c>
      <c r="B38" s="206" t="s">
        <v>165</v>
      </c>
      <c r="D38" s="206">
        <v>55</v>
      </c>
      <c r="E38" s="206" t="s">
        <v>159</v>
      </c>
      <c r="K38" s="212">
        <f>INDEX('DB-function distributions'!C$11:C$65,MATCH($D38,'DB-function distributions'!$B$11:$B$65,0))</f>
        <v>0.9</v>
      </c>
      <c r="L38" s="212">
        <f>INDEX('DB-function distributions'!D$11:D$65,MATCH($D38,'DB-function distributions'!$B$11:$B$65,0))</f>
        <v>2.62</v>
      </c>
      <c r="M38" s="212">
        <f>INDEX('DB-function distributions'!E$11:E$65,MATCH($D38,'DB-function distributions'!$B$11:$B$65,0))</f>
        <v>3.74</v>
      </c>
      <c r="N38" s="212">
        <f>INDEX('DB-function distributions'!F$11:F$65,MATCH($D38,'DB-function distributions'!$B$11:$B$65,0))</f>
        <v>0.36</v>
      </c>
      <c r="O38" s="212">
        <f>INDEX('DB-function distributions'!G$11:G$65,MATCH($D38,'DB-function distributions'!$B$11:$B$65,0))</f>
        <v>1.96</v>
      </c>
      <c r="P38" s="212">
        <f>INDEX('DB-function distributions'!H$11:H$65,MATCH($D38,'DB-function distributions'!$B$11:$B$65,0))</f>
        <v>1.06</v>
      </c>
      <c r="Q38" s="212">
        <f>INDEX('DB-function distributions'!I$11:I$65,MATCH($D38,'DB-function distributions'!$B$11:$B$65,0))</f>
        <v>0.46</v>
      </c>
      <c r="R38" s="212">
        <f>INDEX('DB-function distributions'!J$11:J$65,MATCH($D38,'DB-function distributions'!$B$11:$B$65,0))</f>
        <v>0.63</v>
      </c>
      <c r="S38" s="212">
        <f>INDEX('DB-function distributions'!K$11:K$65,MATCH($D38,'DB-function distributions'!$B$11:$B$65,0))</f>
        <v>1.87</v>
      </c>
      <c r="T38" s="212">
        <f>INDEX('DB-function distributions'!L$11:L$65,MATCH($D38,'DB-function distributions'!$B$11:$B$65,0))</f>
        <v>0</v>
      </c>
      <c r="U38" s="212">
        <f>INDEX('DB-function distributions'!M$11:M$65,MATCH($D38,'DB-function distributions'!$B$11:$B$65,0))</f>
        <v>2.6</v>
      </c>
      <c r="V38" s="212">
        <f>INDEX('DB-function distributions'!N$11:N$65,MATCH($D38,'DB-function distributions'!$B$11:$B$65,0))</f>
        <v>0.83</v>
      </c>
      <c r="W38" s="212">
        <f>INDEX('DB-function distributions'!O$11:O$65,MATCH($D38,'DB-function distributions'!$B$11:$B$65,0))</f>
        <v>1.33</v>
      </c>
      <c r="X38" s="212">
        <f>INDEX('DB-function distributions'!P$11:P$65,MATCH($D38,'DB-function distributions'!$B$11:$B$65,0))</f>
        <v>2.06</v>
      </c>
      <c r="Y38" s="212">
        <f>INDEX('DB-function distributions'!Q$11:Q$65,MATCH($D38,'DB-function distributions'!$B$11:$B$65,0))</f>
        <v>3.57</v>
      </c>
      <c r="Z38" s="212">
        <f>INDEX('DB-function distributions'!R$11:R$65,MATCH($D38,'DB-function distributions'!$B$11:$B$65,0))</f>
        <v>0</v>
      </c>
      <c r="AC38" s="212" t="s">
        <v>343</v>
      </c>
      <c r="AD38" s="212" t="s">
        <v>332</v>
      </c>
      <c r="AE38" s="212" t="s">
        <v>333</v>
      </c>
      <c r="AF38" s="212" t="s">
        <v>340</v>
      </c>
      <c r="AG38" s="212" t="s">
        <v>46</v>
      </c>
      <c r="AH38" s="212" t="s">
        <v>556</v>
      </c>
      <c r="AJ38" s="227">
        <v>0.14119259766963674</v>
      </c>
      <c r="AK38" s="227">
        <v>0.17957505140507199</v>
      </c>
      <c r="AL38" s="227">
        <v>0.25633995887594246</v>
      </c>
      <c r="AM38" s="227">
        <v>0.17820424948594929</v>
      </c>
      <c r="AN38" s="227">
        <v>0.24468814256339957</v>
      </c>
    </row>
    <row r="39" spans="1:40">
      <c r="A39" s="206">
        <f t="shared" si="0"/>
        <v>29</v>
      </c>
      <c r="B39" s="206" t="s">
        <v>171</v>
      </c>
      <c r="C39" s="206" t="s">
        <v>549</v>
      </c>
      <c r="D39" s="206">
        <v>15</v>
      </c>
      <c r="E39" s="206" t="s">
        <v>55</v>
      </c>
      <c r="K39" s="212">
        <f>INDEX('DB-function distributions'!C$11:C$65,MATCH($D39,'DB-function distributions'!$B$11:$B$65,0))</f>
        <v>0</v>
      </c>
      <c r="L39" s="212">
        <f>INDEX('DB-function distributions'!D$11:D$65,MATCH($D39,'DB-function distributions'!$B$11:$B$65,0))</f>
        <v>0</v>
      </c>
      <c r="M39" s="212">
        <f>INDEX('DB-function distributions'!E$11:E$65,MATCH($D39,'DB-function distributions'!$B$11:$B$65,0))</f>
        <v>0</v>
      </c>
      <c r="N39" s="212">
        <f>INDEX('DB-function distributions'!F$11:F$65,MATCH($D39,'DB-function distributions'!$B$11:$B$65,0))</f>
        <v>0</v>
      </c>
      <c r="O39" s="212">
        <f>INDEX('DB-function distributions'!G$11:G$65,MATCH($D39,'DB-function distributions'!$B$11:$B$65,0))</f>
        <v>1.42</v>
      </c>
      <c r="P39" s="212">
        <f>INDEX('DB-function distributions'!H$11:H$65,MATCH($D39,'DB-function distributions'!$B$11:$B$65,0))</f>
        <v>0</v>
      </c>
      <c r="Q39" s="212">
        <f>INDEX('DB-function distributions'!I$11:I$65,MATCH($D39,'DB-function distributions'!$B$11:$B$65,0))</f>
        <v>0</v>
      </c>
      <c r="R39" s="212">
        <f>INDEX('DB-function distributions'!J$11:J$65,MATCH($D39,'DB-function distributions'!$B$11:$B$65,0))</f>
        <v>0</v>
      </c>
      <c r="S39" s="212">
        <f>INDEX('DB-function distributions'!K$11:K$65,MATCH($D39,'DB-function distributions'!$B$11:$B$65,0))</f>
        <v>0</v>
      </c>
      <c r="T39" s="212">
        <f>INDEX('DB-function distributions'!L$11:L$65,MATCH($D39,'DB-function distributions'!$B$11:$B$65,0))</f>
        <v>0</v>
      </c>
      <c r="U39" s="212">
        <f>INDEX('DB-function distributions'!M$11:M$65,MATCH($D39,'DB-function distributions'!$B$11:$B$65,0))</f>
        <v>0</v>
      </c>
      <c r="V39" s="212">
        <f>INDEX('DB-function distributions'!N$11:N$65,MATCH($D39,'DB-function distributions'!$B$11:$B$65,0))</f>
        <v>0</v>
      </c>
      <c r="W39" s="212">
        <f>INDEX('DB-function distributions'!O$11:O$65,MATCH($D39,'DB-function distributions'!$B$11:$B$65,0))</f>
        <v>0</v>
      </c>
      <c r="X39" s="212">
        <f>INDEX('DB-function distributions'!P$11:P$65,MATCH($D39,'DB-function distributions'!$B$11:$B$65,0))</f>
        <v>0</v>
      </c>
      <c r="Y39" s="212">
        <f>INDEX('DB-function distributions'!Q$11:Q$65,MATCH($D39,'DB-function distributions'!$B$11:$B$65,0))</f>
        <v>0.98</v>
      </c>
      <c r="Z39" s="212">
        <f>INDEX('DB-function distributions'!R$11:R$65,MATCH($D39,'DB-function distributions'!$B$11:$B$65,0))</f>
        <v>0</v>
      </c>
      <c r="AC39" s="212" t="s">
        <v>46</v>
      </c>
      <c r="AD39" s="212" t="s">
        <v>332</v>
      </c>
      <c r="AE39" s="212" t="s">
        <v>333</v>
      </c>
      <c r="AF39" s="212" t="s">
        <v>334</v>
      </c>
      <c r="AG39" s="212" t="s">
        <v>335</v>
      </c>
      <c r="AH39" s="212" t="s">
        <v>556</v>
      </c>
      <c r="AJ39" s="227">
        <v>0.40833333333333333</v>
      </c>
      <c r="AK39" s="227">
        <v>0</v>
      </c>
      <c r="AL39" s="227">
        <v>0</v>
      </c>
      <c r="AM39" s="227">
        <v>0</v>
      </c>
      <c r="AN39" s="227">
        <v>0.59166666666666667</v>
      </c>
    </row>
    <row r="40" spans="1:40">
      <c r="A40" s="206">
        <f t="shared" si="0"/>
        <v>30</v>
      </c>
      <c r="B40" s="206" t="s">
        <v>76</v>
      </c>
      <c r="C40" s="206" t="s">
        <v>549</v>
      </c>
      <c r="D40" s="206">
        <v>15</v>
      </c>
      <c r="E40" s="206" t="s">
        <v>55</v>
      </c>
      <c r="K40" s="212">
        <f>INDEX('DB-function distributions'!C$11:C$65,MATCH($D40,'DB-function distributions'!$B$11:$B$65,0))</f>
        <v>0</v>
      </c>
      <c r="L40" s="212">
        <f>INDEX('DB-function distributions'!D$11:D$65,MATCH($D40,'DB-function distributions'!$B$11:$B$65,0))</f>
        <v>0</v>
      </c>
      <c r="M40" s="212">
        <f>INDEX('DB-function distributions'!E$11:E$65,MATCH($D40,'DB-function distributions'!$B$11:$B$65,0))</f>
        <v>0</v>
      </c>
      <c r="N40" s="212">
        <f>INDEX('DB-function distributions'!F$11:F$65,MATCH($D40,'DB-function distributions'!$B$11:$B$65,0))</f>
        <v>0</v>
      </c>
      <c r="O40" s="212">
        <f>INDEX('DB-function distributions'!G$11:G$65,MATCH($D40,'DB-function distributions'!$B$11:$B$65,0))</f>
        <v>1.42</v>
      </c>
      <c r="P40" s="212">
        <f>INDEX('DB-function distributions'!H$11:H$65,MATCH($D40,'DB-function distributions'!$B$11:$B$65,0))</f>
        <v>0</v>
      </c>
      <c r="Q40" s="212">
        <f>INDEX('DB-function distributions'!I$11:I$65,MATCH($D40,'DB-function distributions'!$B$11:$B$65,0))</f>
        <v>0</v>
      </c>
      <c r="R40" s="212">
        <f>INDEX('DB-function distributions'!J$11:J$65,MATCH($D40,'DB-function distributions'!$B$11:$B$65,0))</f>
        <v>0</v>
      </c>
      <c r="S40" s="212">
        <f>INDEX('DB-function distributions'!K$11:K$65,MATCH($D40,'DB-function distributions'!$B$11:$B$65,0))</f>
        <v>0</v>
      </c>
      <c r="T40" s="212">
        <f>INDEX('DB-function distributions'!L$11:L$65,MATCH($D40,'DB-function distributions'!$B$11:$B$65,0))</f>
        <v>0</v>
      </c>
      <c r="U40" s="212">
        <f>INDEX('DB-function distributions'!M$11:M$65,MATCH($D40,'DB-function distributions'!$B$11:$B$65,0))</f>
        <v>0</v>
      </c>
      <c r="V40" s="212">
        <f>INDEX('DB-function distributions'!N$11:N$65,MATCH($D40,'DB-function distributions'!$B$11:$B$65,0))</f>
        <v>0</v>
      </c>
      <c r="W40" s="212">
        <f>INDEX('DB-function distributions'!O$11:O$65,MATCH($D40,'DB-function distributions'!$B$11:$B$65,0))</f>
        <v>0</v>
      </c>
      <c r="X40" s="212">
        <f>INDEX('DB-function distributions'!P$11:P$65,MATCH($D40,'DB-function distributions'!$B$11:$B$65,0))</f>
        <v>0</v>
      </c>
      <c r="Y40" s="212">
        <f>INDEX('DB-function distributions'!Q$11:Q$65,MATCH($D40,'DB-function distributions'!$B$11:$B$65,0))</f>
        <v>0.98</v>
      </c>
      <c r="Z40" s="212">
        <f>INDEX('DB-function distributions'!R$11:R$65,MATCH($D40,'DB-function distributions'!$B$11:$B$65,0))</f>
        <v>0</v>
      </c>
      <c r="AC40" s="212" t="s">
        <v>46</v>
      </c>
      <c r="AD40" s="212" t="s">
        <v>332</v>
      </c>
      <c r="AE40" s="212" t="s">
        <v>333</v>
      </c>
      <c r="AF40" s="212" t="s">
        <v>334</v>
      </c>
      <c r="AG40" s="212" t="s">
        <v>335</v>
      </c>
      <c r="AH40" s="212" t="s">
        <v>556</v>
      </c>
      <c r="AJ40" s="227">
        <v>0.40833333333333333</v>
      </c>
      <c r="AK40" s="227">
        <v>0</v>
      </c>
      <c r="AL40" s="227">
        <v>0</v>
      </c>
      <c r="AM40" s="227">
        <v>0</v>
      </c>
      <c r="AN40" s="227">
        <v>0.59166666666666667</v>
      </c>
    </row>
    <row r="41" spans="1:40">
      <c r="A41" s="206">
        <f t="shared" si="0"/>
        <v>31</v>
      </c>
      <c r="B41" s="206" t="s">
        <v>155</v>
      </c>
      <c r="D41" s="206">
        <v>43</v>
      </c>
      <c r="E41" s="206" t="s">
        <v>52</v>
      </c>
      <c r="K41" s="212">
        <f>INDEX('DB-function distributions'!C$11:C$65,MATCH($D41,'DB-function distributions'!$B$11:$B$65,0))</f>
        <v>0</v>
      </c>
      <c r="L41" s="212">
        <f>INDEX('DB-function distributions'!D$11:D$65,MATCH($D41,'DB-function distributions'!$B$11:$B$65,0))</f>
        <v>0.31</v>
      </c>
      <c r="M41" s="212">
        <f>INDEX('DB-function distributions'!E$11:E$65,MATCH($D41,'DB-function distributions'!$B$11:$B$65,0))</f>
        <v>0.53</v>
      </c>
      <c r="N41" s="212">
        <f>INDEX('DB-function distributions'!F$11:F$65,MATCH($D41,'DB-function distributions'!$B$11:$B$65,0))</f>
        <v>0</v>
      </c>
      <c r="O41" s="212">
        <f>INDEX('DB-function distributions'!G$11:G$65,MATCH($D41,'DB-function distributions'!$B$11:$B$65,0))</f>
        <v>0</v>
      </c>
      <c r="P41" s="212">
        <f>INDEX('DB-function distributions'!H$11:H$65,MATCH($D41,'DB-function distributions'!$B$11:$B$65,0))</f>
        <v>0</v>
      </c>
      <c r="Q41" s="212">
        <f>INDEX('DB-function distributions'!I$11:I$65,MATCH($D41,'DB-function distributions'!$B$11:$B$65,0))</f>
        <v>0</v>
      </c>
      <c r="R41" s="212">
        <f>INDEX('DB-function distributions'!J$11:J$65,MATCH($D41,'DB-function distributions'!$B$11:$B$65,0))</f>
        <v>0</v>
      </c>
      <c r="S41" s="212">
        <f>INDEX('DB-function distributions'!K$11:K$65,MATCH($D41,'DB-function distributions'!$B$11:$B$65,0))</f>
        <v>0</v>
      </c>
      <c r="T41" s="212">
        <f>INDEX('DB-function distributions'!L$11:L$65,MATCH($D41,'DB-function distributions'!$B$11:$B$65,0))</f>
        <v>0</v>
      </c>
      <c r="U41" s="212">
        <f>INDEX('DB-function distributions'!M$11:M$65,MATCH($D41,'DB-function distributions'!$B$11:$B$65,0))</f>
        <v>0.44</v>
      </c>
      <c r="V41" s="212">
        <f>INDEX('DB-function distributions'!N$11:N$65,MATCH($D41,'DB-function distributions'!$B$11:$B$65,0))</f>
        <v>0</v>
      </c>
      <c r="W41" s="212">
        <f>INDEX('DB-function distributions'!O$11:O$65,MATCH($D41,'DB-function distributions'!$B$11:$B$65,0))</f>
        <v>0</v>
      </c>
      <c r="X41" s="212">
        <f>INDEX('DB-function distributions'!P$11:P$65,MATCH($D41,'DB-function distributions'!$B$11:$B$65,0))</f>
        <v>0</v>
      </c>
      <c r="Y41" s="212">
        <f>INDEX('DB-function distributions'!Q$11:Q$65,MATCH($D41,'DB-function distributions'!$B$11:$B$65,0))</f>
        <v>0.33</v>
      </c>
      <c r="Z41" s="212">
        <f>INDEX('DB-function distributions'!R$11:R$65,MATCH($D41,'DB-function distributions'!$B$11:$B$65,0))</f>
        <v>0</v>
      </c>
      <c r="AC41" s="212" t="s">
        <v>340</v>
      </c>
      <c r="AD41" s="212" t="s">
        <v>332</v>
      </c>
      <c r="AE41" s="212" t="s">
        <v>333</v>
      </c>
      <c r="AF41" s="212" t="s">
        <v>46</v>
      </c>
      <c r="AG41" s="212" t="s">
        <v>335</v>
      </c>
      <c r="AH41" s="212" t="s">
        <v>556</v>
      </c>
      <c r="AJ41" s="227">
        <v>0.27329192546583847</v>
      </c>
      <c r="AK41" s="227">
        <v>0.19254658385093165</v>
      </c>
      <c r="AL41" s="227">
        <v>0.32919254658385094</v>
      </c>
      <c r="AM41" s="227">
        <v>0.20496894409937888</v>
      </c>
      <c r="AN41" s="227">
        <v>0</v>
      </c>
    </row>
    <row r="42" spans="1:40">
      <c r="A42" s="206">
        <f t="shared" si="0"/>
        <v>32</v>
      </c>
      <c r="B42" s="206" t="s">
        <v>77</v>
      </c>
      <c r="D42" s="206">
        <v>16</v>
      </c>
      <c r="E42" s="206" t="s">
        <v>78</v>
      </c>
      <c r="K42" s="212">
        <f>INDEX('DB-function distributions'!C$11:C$65,MATCH($D42,'DB-function distributions'!$B$11:$B$65,0))</f>
        <v>0</v>
      </c>
      <c r="L42" s="212">
        <f>INDEX('DB-function distributions'!D$11:D$65,MATCH($D42,'DB-function distributions'!$B$11:$B$65,0))</f>
        <v>0</v>
      </c>
      <c r="M42" s="212">
        <f>INDEX('DB-function distributions'!E$11:E$65,MATCH($D42,'DB-function distributions'!$B$11:$B$65,0))</f>
        <v>0</v>
      </c>
      <c r="N42" s="212">
        <f>INDEX('DB-function distributions'!F$11:F$65,MATCH($D42,'DB-function distributions'!$B$11:$B$65,0))</f>
        <v>0</v>
      </c>
      <c r="O42" s="212">
        <f>INDEX('DB-function distributions'!G$11:G$65,MATCH($D42,'DB-function distributions'!$B$11:$B$65,0))</f>
        <v>0</v>
      </c>
      <c r="P42" s="212">
        <f>INDEX('DB-function distributions'!H$11:H$65,MATCH($D42,'DB-function distributions'!$B$11:$B$65,0))</f>
        <v>0</v>
      </c>
      <c r="Q42" s="212">
        <f>INDEX('DB-function distributions'!I$11:I$65,MATCH($D42,'DB-function distributions'!$B$11:$B$65,0))</f>
        <v>0</v>
      </c>
      <c r="R42" s="212">
        <f>INDEX('DB-function distributions'!J$11:J$65,MATCH($D42,'DB-function distributions'!$B$11:$B$65,0))</f>
        <v>0</v>
      </c>
      <c r="S42" s="212">
        <f>INDEX('DB-function distributions'!K$11:K$65,MATCH($D42,'DB-function distributions'!$B$11:$B$65,0))</f>
        <v>0</v>
      </c>
      <c r="T42" s="212">
        <f>INDEX('DB-function distributions'!L$11:L$65,MATCH($D42,'DB-function distributions'!$B$11:$B$65,0))</f>
        <v>0</v>
      </c>
      <c r="U42" s="212">
        <f>INDEX('DB-function distributions'!M$11:M$65,MATCH($D42,'DB-function distributions'!$B$11:$B$65,0))</f>
        <v>0</v>
      </c>
      <c r="V42" s="212">
        <f>INDEX('DB-function distributions'!N$11:N$65,MATCH($D42,'DB-function distributions'!$B$11:$B$65,0))</f>
        <v>0</v>
      </c>
      <c r="W42" s="212">
        <f>INDEX('DB-function distributions'!O$11:O$65,MATCH($D42,'DB-function distributions'!$B$11:$B$65,0))</f>
        <v>0</v>
      </c>
      <c r="X42" s="212">
        <f>INDEX('DB-function distributions'!P$11:P$65,MATCH($D42,'DB-function distributions'!$B$11:$B$65,0))</f>
        <v>0</v>
      </c>
      <c r="Y42" s="212">
        <f>INDEX('DB-function distributions'!Q$11:Q$65,MATCH($D42,'DB-function distributions'!$B$11:$B$65,0))</f>
        <v>0.11</v>
      </c>
      <c r="Z42" s="212">
        <f>INDEX('DB-function distributions'!R$11:R$65,MATCH($D42,'DB-function distributions'!$B$11:$B$65,0))</f>
        <v>0</v>
      </c>
      <c r="AC42" s="212" t="s">
        <v>46</v>
      </c>
      <c r="AD42" s="212" t="s">
        <v>332</v>
      </c>
      <c r="AE42" s="212" t="s">
        <v>333</v>
      </c>
      <c r="AF42" s="212" t="s">
        <v>334</v>
      </c>
      <c r="AG42" s="212" t="s">
        <v>335</v>
      </c>
      <c r="AH42" s="212" t="s">
        <v>556</v>
      </c>
      <c r="AJ42" s="227">
        <v>1</v>
      </c>
      <c r="AK42" s="227">
        <v>0</v>
      </c>
      <c r="AL42" s="227">
        <v>0</v>
      </c>
      <c r="AM42" s="227">
        <v>0</v>
      </c>
      <c r="AN42" s="227">
        <v>0</v>
      </c>
    </row>
    <row r="43" spans="1:40">
      <c r="A43" s="206">
        <f t="shared" si="0"/>
        <v>33</v>
      </c>
      <c r="B43" s="206" t="s">
        <v>79</v>
      </c>
      <c r="D43" s="206">
        <v>17</v>
      </c>
      <c r="E43" s="206" t="s">
        <v>80</v>
      </c>
      <c r="K43" s="212">
        <f>INDEX('DB-function distributions'!C$11:C$65,MATCH($D43,'DB-function distributions'!$B$11:$B$65,0))</f>
        <v>0</v>
      </c>
      <c r="L43" s="212">
        <f>INDEX('DB-function distributions'!D$11:D$65,MATCH($D43,'DB-function distributions'!$B$11:$B$65,0))</f>
        <v>0</v>
      </c>
      <c r="M43" s="212">
        <f>INDEX('DB-function distributions'!E$11:E$65,MATCH($D43,'DB-function distributions'!$B$11:$B$65,0))</f>
        <v>0</v>
      </c>
      <c r="N43" s="212">
        <f>INDEX('DB-function distributions'!F$11:F$65,MATCH($D43,'DB-function distributions'!$B$11:$B$65,0))</f>
        <v>0.02</v>
      </c>
      <c r="O43" s="212">
        <f>INDEX('DB-function distributions'!G$11:G$65,MATCH($D43,'DB-function distributions'!$B$11:$B$65,0))</f>
        <v>0</v>
      </c>
      <c r="P43" s="212">
        <f>INDEX('DB-function distributions'!H$11:H$65,MATCH($D43,'DB-function distributions'!$B$11:$B$65,0))</f>
        <v>0</v>
      </c>
      <c r="Q43" s="212">
        <f>INDEX('DB-function distributions'!I$11:I$65,MATCH($D43,'DB-function distributions'!$B$11:$B$65,0))</f>
        <v>0</v>
      </c>
      <c r="R43" s="212">
        <f>INDEX('DB-function distributions'!J$11:J$65,MATCH($D43,'DB-function distributions'!$B$11:$B$65,0))</f>
        <v>0.02</v>
      </c>
      <c r="S43" s="212">
        <f>INDEX('DB-function distributions'!K$11:K$65,MATCH($D43,'DB-function distributions'!$B$11:$B$65,0))</f>
        <v>0</v>
      </c>
      <c r="T43" s="212">
        <f>INDEX('DB-function distributions'!L$11:L$65,MATCH($D43,'DB-function distributions'!$B$11:$B$65,0))</f>
        <v>0</v>
      </c>
      <c r="U43" s="212">
        <f>INDEX('DB-function distributions'!M$11:M$65,MATCH($D43,'DB-function distributions'!$B$11:$B$65,0))</f>
        <v>0</v>
      </c>
      <c r="V43" s="212">
        <f>INDEX('DB-function distributions'!N$11:N$65,MATCH($D43,'DB-function distributions'!$B$11:$B$65,0))</f>
        <v>0</v>
      </c>
      <c r="W43" s="212">
        <f>INDEX('DB-function distributions'!O$11:O$65,MATCH($D43,'DB-function distributions'!$B$11:$B$65,0))</f>
        <v>0</v>
      </c>
      <c r="X43" s="212">
        <f>INDEX('DB-function distributions'!P$11:P$65,MATCH($D43,'DB-function distributions'!$B$11:$B$65,0))</f>
        <v>0</v>
      </c>
      <c r="Y43" s="212">
        <f>INDEX('DB-function distributions'!Q$11:Q$65,MATCH($D43,'DB-function distributions'!$B$11:$B$65,0))</f>
        <v>0.04</v>
      </c>
      <c r="Z43" s="212">
        <f>INDEX('DB-function distributions'!R$11:R$65,MATCH($D43,'DB-function distributions'!$B$11:$B$65,0))</f>
        <v>0</v>
      </c>
      <c r="AC43" s="212" t="s">
        <v>348</v>
      </c>
      <c r="AD43" s="212" t="s">
        <v>46</v>
      </c>
      <c r="AE43" s="212" t="s">
        <v>333</v>
      </c>
      <c r="AF43" s="212" t="s">
        <v>334</v>
      </c>
      <c r="AG43" s="212" t="s">
        <v>335</v>
      </c>
      <c r="AH43" s="212" t="s">
        <v>556</v>
      </c>
      <c r="AJ43" s="227">
        <v>0.25</v>
      </c>
      <c r="AK43" s="227">
        <v>0.5</v>
      </c>
      <c r="AL43" s="227">
        <v>0</v>
      </c>
      <c r="AM43" s="227">
        <v>0.25</v>
      </c>
      <c r="AN43" s="227">
        <v>0</v>
      </c>
    </row>
    <row r="44" spans="1:40">
      <c r="A44" s="206">
        <f t="shared" si="0"/>
        <v>34</v>
      </c>
      <c r="B44" s="206" t="s">
        <v>195</v>
      </c>
      <c r="C44" s="206" t="s">
        <v>549</v>
      </c>
      <c r="D44" s="206">
        <v>15</v>
      </c>
      <c r="E44" s="206" t="s">
        <v>55</v>
      </c>
      <c r="K44" s="212">
        <f>INDEX('DB-function distributions'!C$11:C$65,MATCH($D44,'DB-function distributions'!$B$11:$B$65,0))</f>
        <v>0</v>
      </c>
      <c r="L44" s="212">
        <f>INDEX('DB-function distributions'!D$11:D$65,MATCH($D44,'DB-function distributions'!$B$11:$B$65,0))</f>
        <v>0</v>
      </c>
      <c r="M44" s="212">
        <f>INDEX('DB-function distributions'!E$11:E$65,MATCH($D44,'DB-function distributions'!$B$11:$B$65,0))</f>
        <v>0</v>
      </c>
      <c r="N44" s="212">
        <f>INDEX('DB-function distributions'!F$11:F$65,MATCH($D44,'DB-function distributions'!$B$11:$B$65,0))</f>
        <v>0</v>
      </c>
      <c r="O44" s="212">
        <f>INDEX('DB-function distributions'!G$11:G$65,MATCH($D44,'DB-function distributions'!$B$11:$B$65,0))</f>
        <v>1.42</v>
      </c>
      <c r="P44" s="212">
        <f>INDEX('DB-function distributions'!H$11:H$65,MATCH($D44,'DB-function distributions'!$B$11:$B$65,0))</f>
        <v>0</v>
      </c>
      <c r="Q44" s="212">
        <f>INDEX('DB-function distributions'!I$11:I$65,MATCH($D44,'DB-function distributions'!$B$11:$B$65,0))</f>
        <v>0</v>
      </c>
      <c r="R44" s="212">
        <f>INDEX('DB-function distributions'!J$11:J$65,MATCH($D44,'DB-function distributions'!$B$11:$B$65,0))</f>
        <v>0</v>
      </c>
      <c r="S44" s="212">
        <f>INDEX('DB-function distributions'!K$11:K$65,MATCH($D44,'DB-function distributions'!$B$11:$B$65,0))</f>
        <v>0</v>
      </c>
      <c r="T44" s="212">
        <f>INDEX('DB-function distributions'!L$11:L$65,MATCH($D44,'DB-function distributions'!$B$11:$B$65,0))</f>
        <v>0</v>
      </c>
      <c r="U44" s="212">
        <f>INDEX('DB-function distributions'!M$11:M$65,MATCH($D44,'DB-function distributions'!$B$11:$B$65,0))</f>
        <v>0</v>
      </c>
      <c r="V44" s="212">
        <f>INDEX('DB-function distributions'!N$11:N$65,MATCH($D44,'DB-function distributions'!$B$11:$B$65,0))</f>
        <v>0</v>
      </c>
      <c r="W44" s="212">
        <f>INDEX('DB-function distributions'!O$11:O$65,MATCH($D44,'DB-function distributions'!$B$11:$B$65,0))</f>
        <v>0</v>
      </c>
      <c r="X44" s="212">
        <f>INDEX('DB-function distributions'!P$11:P$65,MATCH($D44,'DB-function distributions'!$B$11:$B$65,0))</f>
        <v>0</v>
      </c>
      <c r="Y44" s="212">
        <f>INDEX('DB-function distributions'!Q$11:Q$65,MATCH($D44,'DB-function distributions'!$B$11:$B$65,0))</f>
        <v>0.98</v>
      </c>
      <c r="Z44" s="212">
        <f>INDEX('DB-function distributions'!R$11:R$65,MATCH($D44,'DB-function distributions'!$B$11:$B$65,0))</f>
        <v>0</v>
      </c>
      <c r="AC44" s="212" t="s">
        <v>46</v>
      </c>
      <c r="AD44" s="212" t="s">
        <v>332</v>
      </c>
      <c r="AE44" s="212" t="s">
        <v>333</v>
      </c>
      <c r="AF44" s="212" t="s">
        <v>334</v>
      </c>
      <c r="AG44" s="212" t="s">
        <v>335</v>
      </c>
      <c r="AH44" s="212" t="s">
        <v>556</v>
      </c>
      <c r="AJ44" s="227">
        <v>0.40833333333333333</v>
      </c>
      <c r="AK44" s="227">
        <v>0</v>
      </c>
      <c r="AL44" s="227">
        <v>0</v>
      </c>
      <c r="AM44" s="227">
        <v>0</v>
      </c>
      <c r="AN44" s="227">
        <v>0.59166666666666667</v>
      </c>
    </row>
    <row r="45" spans="1:40">
      <c r="A45" s="206">
        <f t="shared" si="0"/>
        <v>35</v>
      </c>
      <c r="B45" s="206" t="s">
        <v>154</v>
      </c>
      <c r="C45" s="206" t="s">
        <v>549</v>
      </c>
      <c r="D45" s="206">
        <v>9</v>
      </c>
      <c r="E45" s="206" t="s">
        <v>126</v>
      </c>
      <c r="K45" s="212">
        <f>INDEX('DB-function distributions'!C$11:C$65,MATCH($D45,'DB-function distributions'!$B$11:$B$65,0))</f>
        <v>0.42</v>
      </c>
      <c r="L45" s="212">
        <f>INDEX('DB-function distributions'!D$11:D$65,MATCH($D45,'DB-function distributions'!$B$11:$B$65,0))</f>
        <v>0</v>
      </c>
      <c r="M45" s="212">
        <f>INDEX('DB-function distributions'!E$11:E$65,MATCH($D45,'DB-function distributions'!$B$11:$B$65,0))</f>
        <v>0</v>
      </c>
      <c r="N45" s="212">
        <f>INDEX('DB-function distributions'!F$11:F$65,MATCH($D45,'DB-function distributions'!$B$11:$B$65,0))</f>
        <v>0.25</v>
      </c>
      <c r="O45" s="212">
        <f>INDEX('DB-function distributions'!G$11:G$65,MATCH($D45,'DB-function distributions'!$B$11:$B$65,0))</f>
        <v>1.39</v>
      </c>
      <c r="P45" s="212">
        <f>INDEX('DB-function distributions'!H$11:H$65,MATCH($D45,'DB-function distributions'!$B$11:$B$65,0))</f>
        <v>0.92</v>
      </c>
      <c r="Q45" s="212">
        <f>INDEX('DB-function distributions'!I$11:I$65,MATCH($D45,'DB-function distributions'!$B$11:$B$65,0))</f>
        <v>0.36</v>
      </c>
      <c r="R45" s="212">
        <f>INDEX('DB-function distributions'!J$11:J$65,MATCH($D45,'DB-function distributions'!$B$11:$B$65,0))</f>
        <v>0.28999999999999998</v>
      </c>
      <c r="S45" s="212">
        <f>INDEX('DB-function distributions'!K$11:K$65,MATCH($D45,'DB-function distributions'!$B$11:$B$65,0))</f>
        <v>0</v>
      </c>
      <c r="T45" s="212">
        <f>INDEX('DB-function distributions'!L$11:L$65,MATCH($D45,'DB-function distributions'!$B$11:$B$65,0))</f>
        <v>0</v>
      </c>
      <c r="U45" s="212">
        <f>INDEX('DB-function distributions'!M$11:M$65,MATCH($D45,'DB-function distributions'!$B$11:$B$65,0))</f>
        <v>0.62</v>
      </c>
      <c r="V45" s="212">
        <f>INDEX('DB-function distributions'!N$11:N$65,MATCH($D45,'DB-function distributions'!$B$11:$B$65,0))</f>
        <v>0.41</v>
      </c>
      <c r="W45" s="212">
        <f>INDEX('DB-function distributions'!O$11:O$65,MATCH($D45,'DB-function distributions'!$B$11:$B$65,0))</f>
        <v>0.79</v>
      </c>
      <c r="X45" s="212">
        <f>INDEX('DB-function distributions'!P$11:P$65,MATCH($D45,'DB-function distributions'!$B$11:$B$65,0))</f>
        <v>0</v>
      </c>
      <c r="Y45" s="212">
        <f>INDEX('DB-function distributions'!Q$11:Q$65,MATCH($D45,'DB-function distributions'!$B$11:$B$65,0))</f>
        <v>0.99</v>
      </c>
      <c r="Z45" s="212">
        <f>INDEX('DB-function distributions'!R$11:R$65,MATCH($D45,'DB-function distributions'!$B$11:$B$65,0))</f>
        <v>0</v>
      </c>
      <c r="AC45" s="212" t="s">
        <v>46</v>
      </c>
      <c r="AD45" s="212" t="s">
        <v>336</v>
      </c>
      <c r="AE45" s="212" t="s">
        <v>342</v>
      </c>
      <c r="AF45" s="212" t="s">
        <v>340</v>
      </c>
      <c r="AG45" s="212" t="s">
        <v>335</v>
      </c>
      <c r="AH45" s="212" t="s">
        <v>556</v>
      </c>
      <c r="AJ45" s="227">
        <v>0.21019108280254778</v>
      </c>
      <c r="AK45" s="227">
        <v>0.19532908704883228</v>
      </c>
      <c r="AL45" s="227">
        <v>0.16772823779193208</v>
      </c>
      <c r="AM45" s="227">
        <v>0.1316348195329087</v>
      </c>
      <c r="AN45" s="227">
        <v>0.29511677282377918</v>
      </c>
    </row>
    <row r="46" spans="1:40">
      <c r="A46" s="206">
        <f t="shared" si="0"/>
        <v>36</v>
      </c>
      <c r="B46" s="206" t="s">
        <v>82</v>
      </c>
      <c r="C46" s="206" t="s">
        <v>546</v>
      </c>
      <c r="D46" s="206">
        <v>18</v>
      </c>
      <c r="E46" s="206" t="s">
        <v>83</v>
      </c>
      <c r="K46" s="212">
        <f>INDEX('DB-function distributions'!C$11:C$65,MATCH($D46,'DB-function distributions'!$B$11:$B$65,0))</f>
        <v>0</v>
      </c>
      <c r="L46" s="212">
        <f>INDEX('DB-function distributions'!D$11:D$65,MATCH($D46,'DB-function distributions'!$B$11:$B$65,0))</f>
        <v>0</v>
      </c>
      <c r="M46" s="212">
        <f>INDEX('DB-function distributions'!E$11:E$65,MATCH($D46,'DB-function distributions'!$B$11:$B$65,0))</f>
        <v>0</v>
      </c>
      <c r="N46" s="212">
        <f>INDEX('DB-function distributions'!F$11:F$65,MATCH($D46,'DB-function distributions'!$B$11:$B$65,0))</f>
        <v>0</v>
      </c>
      <c r="O46" s="212">
        <f>INDEX('DB-function distributions'!G$11:G$65,MATCH($D46,'DB-function distributions'!$B$11:$B$65,0))</f>
        <v>0</v>
      </c>
      <c r="P46" s="212">
        <f>INDEX('DB-function distributions'!H$11:H$65,MATCH($D46,'DB-function distributions'!$B$11:$B$65,0))</f>
        <v>0</v>
      </c>
      <c r="Q46" s="212">
        <f>INDEX('DB-function distributions'!I$11:I$65,MATCH($D46,'DB-function distributions'!$B$11:$B$65,0))</f>
        <v>0</v>
      </c>
      <c r="R46" s="212">
        <f>INDEX('DB-function distributions'!J$11:J$65,MATCH($D46,'DB-function distributions'!$B$11:$B$65,0))</f>
        <v>0</v>
      </c>
      <c r="S46" s="212">
        <f>INDEX('DB-function distributions'!K$11:K$65,MATCH($D46,'DB-function distributions'!$B$11:$B$65,0))</f>
        <v>0</v>
      </c>
      <c r="T46" s="212">
        <f>INDEX('DB-function distributions'!L$11:L$65,MATCH($D46,'DB-function distributions'!$B$11:$B$65,0))</f>
        <v>0</v>
      </c>
      <c r="U46" s="212">
        <f>INDEX('DB-function distributions'!M$11:M$65,MATCH($D46,'DB-function distributions'!$B$11:$B$65,0))</f>
        <v>0</v>
      </c>
      <c r="V46" s="212">
        <f>INDEX('DB-function distributions'!N$11:N$65,MATCH($D46,'DB-function distributions'!$B$11:$B$65,0))</f>
        <v>0</v>
      </c>
      <c r="W46" s="212">
        <f>INDEX('DB-function distributions'!O$11:O$65,MATCH($D46,'DB-function distributions'!$B$11:$B$65,0))</f>
        <v>0</v>
      </c>
      <c r="X46" s="212">
        <f>INDEX('DB-function distributions'!P$11:P$65,MATCH($D46,'DB-function distributions'!$B$11:$B$65,0))</f>
        <v>0</v>
      </c>
      <c r="Y46" s="212">
        <f>INDEX('DB-function distributions'!Q$11:Q$65,MATCH($D46,'DB-function distributions'!$B$11:$B$65,0))</f>
        <v>0.13</v>
      </c>
      <c r="Z46" s="212">
        <f>INDEX('DB-function distributions'!R$11:R$65,MATCH($D46,'DB-function distributions'!$B$11:$B$65,0))</f>
        <v>0</v>
      </c>
      <c r="AC46" s="212" t="s">
        <v>46</v>
      </c>
      <c r="AD46" s="212" t="s">
        <v>332</v>
      </c>
      <c r="AE46" s="212" t="s">
        <v>333</v>
      </c>
      <c r="AF46" s="212" t="s">
        <v>334</v>
      </c>
      <c r="AG46" s="212" t="s">
        <v>335</v>
      </c>
      <c r="AH46" s="212" t="s">
        <v>556</v>
      </c>
      <c r="AJ46" s="227">
        <v>1</v>
      </c>
      <c r="AK46" s="227">
        <v>0</v>
      </c>
      <c r="AL46" s="227">
        <v>0</v>
      </c>
      <c r="AM46" s="227">
        <v>0</v>
      </c>
      <c r="AN46" s="227">
        <v>0</v>
      </c>
    </row>
    <row r="47" spans="1:40">
      <c r="A47" s="206">
        <f t="shared" si="0"/>
        <v>37</v>
      </c>
      <c r="B47" s="206" t="s">
        <v>84</v>
      </c>
      <c r="C47" s="206" t="s">
        <v>549</v>
      </c>
      <c r="D47" s="206">
        <v>19</v>
      </c>
      <c r="E47" s="206" t="s">
        <v>85</v>
      </c>
      <c r="K47" s="212">
        <f>INDEX('DB-function distributions'!C$11:C$65,MATCH($D47,'DB-function distributions'!$B$11:$B$65,0))</f>
        <v>0.16</v>
      </c>
      <c r="L47" s="212">
        <f>INDEX('DB-function distributions'!D$11:D$65,MATCH($D47,'DB-function distributions'!$B$11:$B$65,0))</f>
        <v>0</v>
      </c>
      <c r="M47" s="212">
        <f>INDEX('DB-function distributions'!E$11:E$65,MATCH($D47,'DB-function distributions'!$B$11:$B$65,0))</f>
        <v>0</v>
      </c>
      <c r="N47" s="212">
        <f>INDEX('DB-function distributions'!F$11:F$65,MATCH($D47,'DB-function distributions'!$B$11:$B$65,0))</f>
        <v>0</v>
      </c>
      <c r="O47" s="212">
        <f>INDEX('DB-function distributions'!G$11:G$65,MATCH($D47,'DB-function distributions'!$B$11:$B$65,0))</f>
        <v>0.11</v>
      </c>
      <c r="P47" s="212">
        <f>INDEX('DB-function distributions'!H$11:H$65,MATCH($D47,'DB-function distributions'!$B$11:$B$65,0))</f>
        <v>0.06</v>
      </c>
      <c r="Q47" s="212">
        <f>INDEX('DB-function distributions'!I$11:I$65,MATCH($D47,'DB-function distributions'!$B$11:$B$65,0))</f>
        <v>0</v>
      </c>
      <c r="R47" s="212">
        <f>INDEX('DB-function distributions'!J$11:J$65,MATCH($D47,'DB-function distributions'!$B$11:$B$65,0))</f>
        <v>0</v>
      </c>
      <c r="S47" s="212">
        <f>INDEX('DB-function distributions'!K$11:K$65,MATCH($D47,'DB-function distributions'!$B$11:$B$65,0))</f>
        <v>0</v>
      </c>
      <c r="T47" s="212">
        <f>INDEX('DB-function distributions'!L$11:L$65,MATCH($D47,'DB-function distributions'!$B$11:$B$65,0))</f>
        <v>0</v>
      </c>
      <c r="U47" s="212">
        <f>INDEX('DB-function distributions'!M$11:M$65,MATCH($D47,'DB-function distributions'!$B$11:$B$65,0))</f>
        <v>0</v>
      </c>
      <c r="V47" s="212">
        <f>INDEX('DB-function distributions'!N$11:N$65,MATCH($D47,'DB-function distributions'!$B$11:$B$65,0))</f>
        <v>0</v>
      </c>
      <c r="W47" s="212">
        <f>INDEX('DB-function distributions'!O$11:O$65,MATCH($D47,'DB-function distributions'!$B$11:$B$65,0))</f>
        <v>0</v>
      </c>
      <c r="X47" s="212">
        <f>INDEX('DB-function distributions'!P$11:P$65,MATCH($D47,'DB-function distributions'!$B$11:$B$65,0))</f>
        <v>0</v>
      </c>
      <c r="Y47" s="212">
        <f>INDEX('DB-function distributions'!Q$11:Q$65,MATCH($D47,'DB-function distributions'!$B$11:$B$65,0))</f>
        <v>0.16</v>
      </c>
      <c r="Z47" s="212">
        <f>INDEX('DB-function distributions'!R$11:R$65,MATCH($D47,'DB-function distributions'!$B$11:$B$65,0))</f>
        <v>0</v>
      </c>
      <c r="AC47" s="212" t="s">
        <v>331</v>
      </c>
      <c r="AD47" s="212" t="s">
        <v>336</v>
      </c>
      <c r="AE47" s="212" t="s">
        <v>46</v>
      </c>
      <c r="AF47" s="212" t="s">
        <v>334</v>
      </c>
      <c r="AG47" s="212" t="s">
        <v>335</v>
      </c>
      <c r="AH47" s="212" t="s">
        <v>556</v>
      </c>
      <c r="AJ47" s="227">
        <v>0.32653061224489799</v>
      </c>
      <c r="AK47" s="227">
        <v>0.12244897959183673</v>
      </c>
      <c r="AL47" s="227">
        <v>0.32653061224489799</v>
      </c>
      <c r="AM47" s="227">
        <v>0</v>
      </c>
      <c r="AN47" s="227">
        <v>0.22448979591836735</v>
      </c>
    </row>
    <row r="48" spans="1:40">
      <c r="A48" s="206">
        <f t="shared" si="0"/>
        <v>38</v>
      </c>
      <c r="B48" s="206" t="s">
        <v>167</v>
      </c>
      <c r="D48" s="206">
        <v>20</v>
      </c>
      <c r="E48" s="206" t="s">
        <v>86</v>
      </c>
      <c r="K48" s="212">
        <f>INDEX('DB-function distributions'!C$11:C$65,MATCH($D48,'DB-function distributions'!$B$11:$B$65,0))</f>
        <v>0</v>
      </c>
      <c r="L48" s="212">
        <f>INDEX('DB-function distributions'!D$11:D$65,MATCH($D48,'DB-function distributions'!$B$11:$B$65,0))</f>
        <v>0</v>
      </c>
      <c r="M48" s="212">
        <f>INDEX('DB-function distributions'!E$11:E$65,MATCH($D48,'DB-function distributions'!$B$11:$B$65,0))</f>
        <v>0</v>
      </c>
      <c r="N48" s="212">
        <f>INDEX('DB-function distributions'!F$11:F$65,MATCH($D48,'DB-function distributions'!$B$11:$B$65,0))</f>
        <v>0</v>
      </c>
      <c r="O48" s="212">
        <f>INDEX('DB-function distributions'!G$11:G$65,MATCH($D48,'DB-function distributions'!$B$11:$B$65,0))</f>
        <v>0</v>
      </c>
      <c r="P48" s="212">
        <f>INDEX('DB-function distributions'!H$11:H$65,MATCH($D48,'DB-function distributions'!$B$11:$B$65,0))</f>
        <v>0</v>
      </c>
      <c r="Q48" s="212">
        <f>INDEX('DB-function distributions'!I$11:I$65,MATCH($D48,'DB-function distributions'!$B$11:$B$65,0))</f>
        <v>0</v>
      </c>
      <c r="R48" s="212">
        <f>INDEX('DB-function distributions'!J$11:J$65,MATCH($D48,'DB-function distributions'!$B$11:$B$65,0))</f>
        <v>0</v>
      </c>
      <c r="S48" s="212">
        <f>INDEX('DB-function distributions'!K$11:K$65,MATCH($D48,'DB-function distributions'!$B$11:$B$65,0))</f>
        <v>0</v>
      </c>
      <c r="T48" s="212">
        <f>INDEX('DB-function distributions'!L$11:L$65,MATCH($D48,'DB-function distributions'!$B$11:$B$65,0))</f>
        <v>0</v>
      </c>
      <c r="U48" s="212">
        <f>INDEX('DB-function distributions'!M$11:M$65,MATCH($D48,'DB-function distributions'!$B$11:$B$65,0))</f>
        <v>0.11</v>
      </c>
      <c r="V48" s="212">
        <f>INDEX('DB-function distributions'!N$11:N$65,MATCH($D48,'DB-function distributions'!$B$11:$B$65,0))</f>
        <v>0.11</v>
      </c>
      <c r="W48" s="212">
        <f>INDEX('DB-function distributions'!O$11:O$65,MATCH($D48,'DB-function distributions'!$B$11:$B$65,0))</f>
        <v>0</v>
      </c>
      <c r="X48" s="212">
        <f>INDEX('DB-function distributions'!P$11:P$65,MATCH($D48,'DB-function distributions'!$B$11:$B$65,0))</f>
        <v>0.16</v>
      </c>
      <c r="Y48" s="212">
        <f>INDEX('DB-function distributions'!Q$11:Q$65,MATCH($D48,'DB-function distributions'!$B$11:$B$65,0))</f>
        <v>0.15</v>
      </c>
      <c r="Z48" s="212">
        <f>INDEX('DB-function distributions'!R$11:R$65,MATCH($D48,'DB-function distributions'!$B$11:$B$65,0))</f>
        <v>0</v>
      </c>
      <c r="AC48" s="212" t="s">
        <v>340</v>
      </c>
      <c r="AD48" s="212" t="s">
        <v>341</v>
      </c>
      <c r="AE48" s="212" t="s">
        <v>343</v>
      </c>
      <c r="AF48" s="212" t="s">
        <v>46</v>
      </c>
      <c r="AG48" s="212" t="s">
        <v>335</v>
      </c>
      <c r="AH48" s="212" t="s">
        <v>556</v>
      </c>
      <c r="AJ48" s="227">
        <v>0.20754716981132074</v>
      </c>
      <c r="AK48" s="227">
        <v>0.20754716981132074</v>
      </c>
      <c r="AL48" s="227">
        <v>0.30188679245283018</v>
      </c>
      <c r="AM48" s="227">
        <v>0.28301886792452829</v>
      </c>
      <c r="AN48" s="227">
        <v>0</v>
      </c>
    </row>
    <row r="49" spans="1:40">
      <c r="A49" s="206">
        <f t="shared" si="0"/>
        <v>39</v>
      </c>
      <c r="B49" s="206" t="s">
        <v>87</v>
      </c>
      <c r="D49" s="206">
        <v>25</v>
      </c>
      <c r="E49" s="206" t="s">
        <v>189</v>
      </c>
      <c r="K49" s="212">
        <f>INDEX('DB-function distributions'!C$11:C$65,MATCH($D49,'DB-function distributions'!$B$11:$B$65,0))</f>
        <v>0</v>
      </c>
      <c r="L49" s="212">
        <f>INDEX('DB-function distributions'!D$11:D$65,MATCH($D49,'DB-function distributions'!$B$11:$B$65,0))</f>
        <v>0</v>
      </c>
      <c r="M49" s="212">
        <f>INDEX('DB-function distributions'!E$11:E$65,MATCH($D49,'DB-function distributions'!$B$11:$B$65,0))</f>
        <v>0</v>
      </c>
      <c r="N49" s="212">
        <f>INDEX('DB-function distributions'!F$11:F$65,MATCH($D49,'DB-function distributions'!$B$11:$B$65,0))</f>
        <v>0</v>
      </c>
      <c r="O49" s="212">
        <f>INDEX('DB-function distributions'!G$11:G$65,MATCH($D49,'DB-function distributions'!$B$11:$B$65,0))</f>
        <v>0</v>
      </c>
      <c r="P49" s="212">
        <f>INDEX('DB-function distributions'!H$11:H$65,MATCH($D49,'DB-function distributions'!$B$11:$B$65,0))</f>
        <v>0</v>
      </c>
      <c r="Q49" s="212">
        <f>INDEX('DB-function distributions'!I$11:I$65,MATCH($D49,'DB-function distributions'!$B$11:$B$65,0))</f>
        <v>0</v>
      </c>
      <c r="R49" s="212">
        <f>INDEX('DB-function distributions'!J$11:J$65,MATCH($D49,'DB-function distributions'!$B$11:$B$65,0))</f>
        <v>0</v>
      </c>
      <c r="S49" s="212">
        <f>INDEX('DB-function distributions'!K$11:K$65,MATCH($D49,'DB-function distributions'!$B$11:$B$65,0))</f>
        <v>0</v>
      </c>
      <c r="T49" s="212">
        <f>INDEX('DB-function distributions'!L$11:L$65,MATCH($D49,'DB-function distributions'!$B$11:$B$65,0))</f>
        <v>0</v>
      </c>
      <c r="U49" s="212">
        <f>INDEX('DB-function distributions'!M$11:M$65,MATCH($D49,'DB-function distributions'!$B$11:$B$65,0))</f>
        <v>0.19</v>
      </c>
      <c r="V49" s="212">
        <f>INDEX('DB-function distributions'!N$11:N$65,MATCH($D49,'DB-function distributions'!$B$11:$B$65,0))</f>
        <v>0</v>
      </c>
      <c r="W49" s="212">
        <f>INDEX('DB-function distributions'!O$11:O$65,MATCH($D49,'DB-function distributions'!$B$11:$B$65,0))</f>
        <v>0</v>
      </c>
      <c r="X49" s="212">
        <f>INDEX('DB-function distributions'!P$11:P$65,MATCH($D49,'DB-function distributions'!$B$11:$B$65,0))</f>
        <v>0</v>
      </c>
      <c r="Y49" s="212">
        <f>INDEX('DB-function distributions'!Q$11:Q$65,MATCH($D49,'DB-function distributions'!$B$11:$B$65,0))</f>
        <v>0.16</v>
      </c>
      <c r="Z49" s="212">
        <f>INDEX('DB-function distributions'!R$11:R$65,MATCH($D49,'DB-function distributions'!$B$11:$B$65,0))</f>
        <v>0</v>
      </c>
      <c r="AC49" s="212" t="s">
        <v>340</v>
      </c>
      <c r="AD49" s="212" t="s">
        <v>46</v>
      </c>
      <c r="AE49" s="212" t="s">
        <v>333</v>
      </c>
      <c r="AF49" s="212" t="s">
        <v>334</v>
      </c>
      <c r="AG49" s="212" t="s">
        <v>335</v>
      </c>
      <c r="AH49" s="212" t="s">
        <v>556</v>
      </c>
      <c r="AJ49" s="227">
        <v>0.54285714285714293</v>
      </c>
      <c r="AK49" s="227">
        <v>0.45714285714285718</v>
      </c>
      <c r="AL49" s="227">
        <v>0</v>
      </c>
      <c r="AM49" s="227">
        <v>0</v>
      </c>
      <c r="AN49" s="227">
        <v>0</v>
      </c>
    </row>
    <row r="50" spans="1:40">
      <c r="A50" s="206">
        <f t="shared" si="0"/>
        <v>40</v>
      </c>
      <c r="B50" s="206" t="s">
        <v>89</v>
      </c>
      <c r="D50" s="206">
        <v>21</v>
      </c>
      <c r="E50" s="206" t="s">
        <v>90</v>
      </c>
      <c r="K50" s="212">
        <f>INDEX('DB-function distributions'!C$11:C$65,MATCH($D50,'DB-function distributions'!$B$11:$B$65,0))</f>
        <v>0</v>
      </c>
      <c r="L50" s="212">
        <f>INDEX('DB-function distributions'!D$11:D$65,MATCH($D50,'DB-function distributions'!$B$11:$B$65,0))</f>
        <v>0</v>
      </c>
      <c r="M50" s="212">
        <f>INDEX('DB-function distributions'!E$11:E$65,MATCH($D50,'DB-function distributions'!$B$11:$B$65,0))</f>
        <v>0</v>
      </c>
      <c r="N50" s="212">
        <f>INDEX('DB-function distributions'!F$11:F$65,MATCH($D50,'DB-function distributions'!$B$11:$B$65,0))</f>
        <v>0</v>
      </c>
      <c r="O50" s="212">
        <f>INDEX('DB-function distributions'!G$11:G$65,MATCH($D50,'DB-function distributions'!$B$11:$B$65,0))</f>
        <v>0</v>
      </c>
      <c r="P50" s="212">
        <f>INDEX('DB-function distributions'!H$11:H$65,MATCH($D50,'DB-function distributions'!$B$11:$B$65,0))</f>
        <v>0</v>
      </c>
      <c r="Q50" s="212">
        <f>INDEX('DB-function distributions'!I$11:I$65,MATCH($D50,'DB-function distributions'!$B$11:$B$65,0))</f>
        <v>0</v>
      </c>
      <c r="R50" s="212">
        <f>INDEX('DB-function distributions'!J$11:J$65,MATCH($D50,'DB-function distributions'!$B$11:$B$65,0))</f>
        <v>0</v>
      </c>
      <c r="S50" s="212">
        <f>INDEX('DB-function distributions'!K$11:K$65,MATCH($D50,'DB-function distributions'!$B$11:$B$65,0))</f>
        <v>0</v>
      </c>
      <c r="T50" s="212">
        <f>INDEX('DB-function distributions'!L$11:L$65,MATCH($D50,'DB-function distributions'!$B$11:$B$65,0))</f>
        <v>0</v>
      </c>
      <c r="U50" s="212">
        <f>INDEX('DB-function distributions'!M$11:M$65,MATCH($D50,'DB-function distributions'!$B$11:$B$65,0))</f>
        <v>0</v>
      </c>
      <c r="V50" s="212">
        <f>INDEX('DB-function distributions'!N$11:N$65,MATCH($D50,'DB-function distributions'!$B$11:$B$65,0))</f>
        <v>0</v>
      </c>
      <c r="W50" s="212">
        <f>INDEX('DB-function distributions'!O$11:O$65,MATCH($D50,'DB-function distributions'!$B$11:$B$65,0))</f>
        <v>0</v>
      </c>
      <c r="X50" s="212">
        <f>INDEX('DB-function distributions'!P$11:P$65,MATCH($D50,'DB-function distributions'!$B$11:$B$65,0))</f>
        <v>0</v>
      </c>
      <c r="Y50" s="212">
        <f>INDEX('DB-function distributions'!Q$11:Q$65,MATCH($D50,'DB-function distributions'!$B$11:$B$65,0))</f>
        <v>0.09</v>
      </c>
      <c r="Z50" s="212">
        <f>INDEX('DB-function distributions'!R$11:R$65,MATCH($D50,'DB-function distributions'!$B$11:$B$65,0))</f>
        <v>0</v>
      </c>
      <c r="AC50" s="212" t="s">
        <v>46</v>
      </c>
      <c r="AD50" s="212" t="s">
        <v>332</v>
      </c>
      <c r="AE50" s="212" t="s">
        <v>333</v>
      </c>
      <c r="AF50" s="212" t="s">
        <v>334</v>
      </c>
      <c r="AG50" s="212" t="s">
        <v>335</v>
      </c>
      <c r="AH50" s="212" t="s">
        <v>556</v>
      </c>
      <c r="AJ50" s="227">
        <v>1</v>
      </c>
      <c r="AK50" s="227">
        <v>0</v>
      </c>
      <c r="AL50" s="227">
        <v>0</v>
      </c>
      <c r="AM50" s="227">
        <v>0</v>
      </c>
      <c r="AN50" s="227">
        <v>0</v>
      </c>
    </row>
    <row r="51" spans="1:40">
      <c r="A51" s="206">
        <f t="shared" si="0"/>
        <v>41</v>
      </c>
      <c r="B51" s="206" t="s">
        <v>91</v>
      </c>
      <c r="C51" s="206" t="s">
        <v>548</v>
      </c>
      <c r="D51" s="206">
        <v>22</v>
      </c>
      <c r="E51" s="206" t="s">
        <v>92</v>
      </c>
      <c r="K51" s="212">
        <f>INDEX('DB-function distributions'!C$11:C$65,MATCH($D51,'DB-function distributions'!$B$11:$B$65,0))</f>
        <v>0</v>
      </c>
      <c r="L51" s="212">
        <f>INDEX('DB-function distributions'!D$11:D$65,MATCH($D51,'DB-function distributions'!$B$11:$B$65,0))</f>
        <v>0</v>
      </c>
      <c r="M51" s="212">
        <f>INDEX('DB-function distributions'!E$11:E$65,MATCH($D51,'DB-function distributions'!$B$11:$B$65,0))</f>
        <v>0</v>
      </c>
      <c r="N51" s="212">
        <f>INDEX('DB-function distributions'!F$11:F$65,MATCH($D51,'DB-function distributions'!$B$11:$B$65,0))</f>
        <v>0.02</v>
      </c>
      <c r="O51" s="212">
        <f>INDEX('DB-function distributions'!G$11:G$65,MATCH($D51,'DB-function distributions'!$B$11:$B$65,0))</f>
        <v>0</v>
      </c>
      <c r="P51" s="212">
        <f>INDEX('DB-function distributions'!H$11:H$65,MATCH($D51,'DB-function distributions'!$B$11:$B$65,0))</f>
        <v>0</v>
      </c>
      <c r="Q51" s="212">
        <f>INDEX('DB-function distributions'!I$11:I$65,MATCH($D51,'DB-function distributions'!$B$11:$B$65,0))</f>
        <v>0</v>
      </c>
      <c r="R51" s="212">
        <f>INDEX('DB-function distributions'!J$11:J$65,MATCH($D51,'DB-function distributions'!$B$11:$B$65,0))</f>
        <v>0</v>
      </c>
      <c r="S51" s="212">
        <f>INDEX('DB-function distributions'!K$11:K$65,MATCH($D51,'DB-function distributions'!$B$11:$B$65,0))</f>
        <v>0</v>
      </c>
      <c r="T51" s="212">
        <f>INDEX('DB-function distributions'!L$11:L$65,MATCH($D51,'DB-function distributions'!$B$11:$B$65,0))</f>
        <v>0</v>
      </c>
      <c r="U51" s="212">
        <f>INDEX('DB-function distributions'!M$11:M$65,MATCH($D51,'DB-function distributions'!$B$11:$B$65,0))</f>
        <v>0.22</v>
      </c>
      <c r="V51" s="212">
        <f>INDEX('DB-function distributions'!N$11:N$65,MATCH($D51,'DB-function distributions'!$B$11:$B$65,0))</f>
        <v>0</v>
      </c>
      <c r="W51" s="212">
        <f>INDEX('DB-function distributions'!O$11:O$65,MATCH($D51,'DB-function distributions'!$B$11:$B$65,0))</f>
        <v>0.11</v>
      </c>
      <c r="X51" s="212">
        <f>INDEX('DB-function distributions'!P$11:P$65,MATCH($D51,'DB-function distributions'!$B$11:$B$65,0))</f>
        <v>0</v>
      </c>
      <c r="Y51" s="212">
        <f>INDEX('DB-function distributions'!Q$11:Q$65,MATCH($D51,'DB-function distributions'!$B$11:$B$65,0))</f>
        <v>0.19</v>
      </c>
      <c r="Z51" s="212">
        <f>INDEX('DB-function distributions'!R$11:R$65,MATCH($D51,'DB-function distributions'!$B$11:$B$65,0))</f>
        <v>0</v>
      </c>
      <c r="AC51" s="212" t="s">
        <v>340</v>
      </c>
      <c r="AD51" s="212" t="s">
        <v>342</v>
      </c>
      <c r="AE51" s="212" t="s">
        <v>46</v>
      </c>
      <c r="AF51" s="212" t="s">
        <v>334</v>
      </c>
      <c r="AG51" s="212" t="s">
        <v>335</v>
      </c>
      <c r="AH51" s="212" t="s">
        <v>556</v>
      </c>
      <c r="AJ51" s="227">
        <v>0.40740740740740738</v>
      </c>
      <c r="AK51" s="227">
        <v>0.20370370370370369</v>
      </c>
      <c r="AL51" s="227">
        <v>0.35185185185185186</v>
      </c>
      <c r="AM51" s="227">
        <v>3.7037037037037035E-2</v>
      </c>
      <c r="AN51" s="227">
        <v>0</v>
      </c>
    </row>
    <row r="52" spans="1:40">
      <c r="A52" s="206">
        <f t="shared" si="0"/>
        <v>42</v>
      </c>
      <c r="B52" s="206" t="s">
        <v>160</v>
      </c>
      <c r="D52" s="206">
        <v>36</v>
      </c>
      <c r="E52" s="206" t="s">
        <v>115</v>
      </c>
      <c r="K52" s="212">
        <f>INDEX('DB-function distributions'!C$11:C$65,MATCH($D52,'DB-function distributions'!$B$11:$B$65,0))</f>
        <v>0.11</v>
      </c>
      <c r="L52" s="212">
        <f>INDEX('DB-function distributions'!D$11:D$65,MATCH($D52,'DB-function distributions'!$B$11:$B$65,0))</f>
        <v>0</v>
      </c>
      <c r="M52" s="212">
        <f>INDEX('DB-function distributions'!E$11:E$65,MATCH($D52,'DB-function distributions'!$B$11:$B$65,0))</f>
        <v>0</v>
      </c>
      <c r="N52" s="212">
        <f>INDEX('DB-function distributions'!F$11:F$65,MATCH($D52,'DB-function distributions'!$B$11:$B$65,0))</f>
        <v>0</v>
      </c>
      <c r="O52" s="212">
        <f>INDEX('DB-function distributions'!G$11:G$65,MATCH($D52,'DB-function distributions'!$B$11:$B$65,0))</f>
        <v>0.63</v>
      </c>
      <c r="P52" s="212">
        <f>INDEX('DB-function distributions'!H$11:H$65,MATCH($D52,'DB-function distributions'!$B$11:$B$65,0))</f>
        <v>0</v>
      </c>
      <c r="Q52" s="212">
        <f>INDEX('DB-function distributions'!I$11:I$65,MATCH($D52,'DB-function distributions'!$B$11:$B$65,0))</f>
        <v>0</v>
      </c>
      <c r="R52" s="212">
        <f>INDEX('DB-function distributions'!J$11:J$65,MATCH($D52,'DB-function distributions'!$B$11:$B$65,0))</f>
        <v>0</v>
      </c>
      <c r="S52" s="212">
        <f>INDEX('DB-function distributions'!K$11:K$65,MATCH($D52,'DB-function distributions'!$B$11:$B$65,0))</f>
        <v>0</v>
      </c>
      <c r="T52" s="212">
        <f>INDEX('DB-function distributions'!L$11:L$65,MATCH($D52,'DB-function distributions'!$B$11:$B$65,0))</f>
        <v>0</v>
      </c>
      <c r="U52" s="212">
        <f>INDEX('DB-function distributions'!M$11:M$65,MATCH($D52,'DB-function distributions'!$B$11:$B$65,0))</f>
        <v>0</v>
      </c>
      <c r="V52" s="212">
        <f>INDEX('DB-function distributions'!N$11:N$65,MATCH($D52,'DB-function distributions'!$B$11:$B$65,0))</f>
        <v>0</v>
      </c>
      <c r="W52" s="212">
        <f>INDEX('DB-function distributions'!O$11:O$65,MATCH($D52,'DB-function distributions'!$B$11:$B$65,0))</f>
        <v>0</v>
      </c>
      <c r="X52" s="212">
        <f>INDEX('DB-function distributions'!P$11:P$65,MATCH($D52,'DB-function distributions'!$B$11:$B$65,0))</f>
        <v>0</v>
      </c>
      <c r="Y52" s="212">
        <f>INDEX('DB-function distributions'!Q$11:Q$65,MATCH($D52,'DB-function distributions'!$B$11:$B$65,0))</f>
        <v>0.24</v>
      </c>
      <c r="Z52" s="212">
        <f>INDEX('DB-function distributions'!R$11:R$65,MATCH($D52,'DB-function distributions'!$B$11:$B$65,0))</f>
        <v>0</v>
      </c>
      <c r="AC52" s="212" t="s">
        <v>331</v>
      </c>
      <c r="AD52" s="212" t="s">
        <v>46</v>
      </c>
      <c r="AE52" s="212" t="s">
        <v>333</v>
      </c>
      <c r="AF52" s="212" t="s">
        <v>334</v>
      </c>
      <c r="AG52" s="212" t="s">
        <v>335</v>
      </c>
      <c r="AH52" s="212" t="s">
        <v>556</v>
      </c>
      <c r="AJ52" s="227">
        <v>0.11224489795918367</v>
      </c>
      <c r="AK52" s="227">
        <v>0.24489795918367346</v>
      </c>
      <c r="AL52" s="227">
        <v>0</v>
      </c>
      <c r="AM52" s="227">
        <v>0</v>
      </c>
      <c r="AN52" s="227">
        <v>0.6428571428571429</v>
      </c>
    </row>
    <row r="53" spans="1:40">
      <c r="A53" s="206">
        <f t="shared" si="0"/>
        <v>43</v>
      </c>
      <c r="B53" s="206" t="s">
        <v>93</v>
      </c>
      <c r="D53" s="206">
        <v>6</v>
      </c>
      <c r="E53" s="206" t="s">
        <v>192</v>
      </c>
      <c r="K53" s="212">
        <f>INDEX('DB-function distributions'!C$11:C$65,MATCH($D53,'DB-function distributions'!$B$11:$B$65,0))</f>
        <v>0</v>
      </c>
      <c r="L53" s="212">
        <f>INDEX('DB-function distributions'!D$11:D$65,MATCH($D53,'DB-function distributions'!$B$11:$B$65,0))</f>
        <v>0.06</v>
      </c>
      <c r="M53" s="212">
        <f>INDEX('DB-function distributions'!E$11:E$65,MATCH($D53,'DB-function distributions'!$B$11:$B$65,0))</f>
        <v>0.04</v>
      </c>
      <c r="N53" s="212">
        <f>INDEX('DB-function distributions'!F$11:F$65,MATCH($D53,'DB-function distributions'!$B$11:$B$65,0))</f>
        <v>0</v>
      </c>
      <c r="O53" s="212">
        <f>INDEX('DB-function distributions'!G$11:G$65,MATCH($D53,'DB-function distributions'!$B$11:$B$65,0))</f>
        <v>0.05</v>
      </c>
      <c r="P53" s="212">
        <f>INDEX('DB-function distributions'!H$11:H$65,MATCH($D53,'DB-function distributions'!$B$11:$B$65,0))</f>
        <v>0.01</v>
      </c>
      <c r="Q53" s="212">
        <f>INDEX('DB-function distributions'!I$11:I$65,MATCH($D53,'DB-function distributions'!$B$11:$B$65,0))</f>
        <v>0.04</v>
      </c>
      <c r="R53" s="212">
        <f>INDEX('DB-function distributions'!J$11:J$65,MATCH($D53,'DB-function distributions'!$B$11:$B$65,0))</f>
        <v>0</v>
      </c>
      <c r="S53" s="212">
        <f>INDEX('DB-function distributions'!K$11:K$65,MATCH($D53,'DB-function distributions'!$B$11:$B$65,0))</f>
        <v>0</v>
      </c>
      <c r="T53" s="212">
        <f>INDEX('DB-function distributions'!L$11:L$65,MATCH($D53,'DB-function distributions'!$B$11:$B$65,0))</f>
        <v>0</v>
      </c>
      <c r="U53" s="212">
        <f>INDEX('DB-function distributions'!M$11:M$65,MATCH($D53,'DB-function distributions'!$B$11:$B$65,0))</f>
        <v>7.0000000000000007E-2</v>
      </c>
      <c r="V53" s="212">
        <f>INDEX('DB-function distributions'!N$11:N$65,MATCH($D53,'DB-function distributions'!$B$11:$B$65,0))</f>
        <v>7.0000000000000007E-2</v>
      </c>
      <c r="W53" s="212">
        <f>INDEX('DB-function distributions'!O$11:O$65,MATCH($D53,'DB-function distributions'!$B$11:$B$65,0))</f>
        <v>0.04</v>
      </c>
      <c r="X53" s="212">
        <f>INDEX('DB-function distributions'!P$11:P$65,MATCH($D53,'DB-function distributions'!$B$11:$B$65,0))</f>
        <v>0</v>
      </c>
      <c r="Y53" s="212">
        <f>INDEX('DB-function distributions'!Q$11:Q$65,MATCH($D53,'DB-function distributions'!$B$11:$B$65,0))</f>
        <v>0.06</v>
      </c>
      <c r="Z53" s="212">
        <f>INDEX('DB-function distributions'!R$11:R$65,MATCH($D53,'DB-function distributions'!$B$11:$B$65,0))</f>
        <v>0</v>
      </c>
      <c r="AC53" s="212" t="s">
        <v>340</v>
      </c>
      <c r="AD53" s="212" t="s">
        <v>332</v>
      </c>
      <c r="AE53" s="212" t="s">
        <v>341</v>
      </c>
      <c r="AF53" s="212" t="s">
        <v>46</v>
      </c>
      <c r="AG53" s="212" t="s">
        <v>335</v>
      </c>
      <c r="AH53" s="212" t="s">
        <v>556</v>
      </c>
      <c r="AJ53" s="227">
        <v>0.22580645161290325</v>
      </c>
      <c r="AK53" s="227">
        <v>0.19354838709677419</v>
      </c>
      <c r="AL53" s="227">
        <v>0.22580645161290325</v>
      </c>
      <c r="AM53" s="227">
        <v>0.19354838709677419</v>
      </c>
      <c r="AN53" s="227">
        <v>0.16129032258064518</v>
      </c>
    </row>
    <row r="54" spans="1:40">
      <c r="A54" s="206">
        <f t="shared" si="0"/>
        <v>44</v>
      </c>
      <c r="B54" s="206" t="s">
        <v>94</v>
      </c>
      <c r="D54" s="206">
        <v>27</v>
      </c>
      <c r="E54" s="206" t="s">
        <v>95</v>
      </c>
      <c r="K54" s="212">
        <f>INDEX('DB-function distributions'!C$11:C$65,MATCH($D54,'DB-function distributions'!$B$11:$B$65,0))</f>
        <v>0</v>
      </c>
      <c r="L54" s="212">
        <f>INDEX('DB-function distributions'!D$11:D$65,MATCH($D54,'DB-function distributions'!$B$11:$B$65,0))</f>
        <v>0</v>
      </c>
      <c r="M54" s="212">
        <f>INDEX('DB-function distributions'!E$11:E$65,MATCH($D54,'DB-function distributions'!$B$11:$B$65,0))</f>
        <v>0</v>
      </c>
      <c r="N54" s="212">
        <f>INDEX('DB-function distributions'!F$11:F$65,MATCH($D54,'DB-function distributions'!$B$11:$B$65,0))</f>
        <v>0</v>
      </c>
      <c r="O54" s="212">
        <f>INDEX('DB-function distributions'!G$11:G$65,MATCH($D54,'DB-function distributions'!$B$11:$B$65,0))</f>
        <v>0.46</v>
      </c>
      <c r="P54" s="212">
        <f>INDEX('DB-function distributions'!H$11:H$65,MATCH($D54,'DB-function distributions'!$B$11:$B$65,0))</f>
        <v>0.25</v>
      </c>
      <c r="Q54" s="212">
        <f>INDEX('DB-function distributions'!I$11:I$65,MATCH($D54,'DB-function distributions'!$B$11:$B$65,0))</f>
        <v>0</v>
      </c>
      <c r="R54" s="212">
        <f>INDEX('DB-function distributions'!J$11:J$65,MATCH($D54,'DB-function distributions'!$B$11:$B$65,0))</f>
        <v>0</v>
      </c>
      <c r="S54" s="212">
        <f>INDEX('DB-function distributions'!K$11:K$65,MATCH($D54,'DB-function distributions'!$B$11:$B$65,0))</f>
        <v>1.31</v>
      </c>
      <c r="T54" s="212">
        <f>INDEX('DB-function distributions'!L$11:L$65,MATCH($D54,'DB-function distributions'!$B$11:$B$65,0))</f>
        <v>0</v>
      </c>
      <c r="U54" s="212">
        <f>INDEX('DB-function distributions'!M$11:M$65,MATCH($D54,'DB-function distributions'!$B$11:$B$65,0))</f>
        <v>0</v>
      </c>
      <c r="V54" s="212">
        <f>INDEX('DB-function distributions'!N$11:N$65,MATCH($D54,'DB-function distributions'!$B$11:$B$65,0))</f>
        <v>0</v>
      </c>
      <c r="W54" s="212">
        <f>INDEX('DB-function distributions'!O$11:O$65,MATCH($D54,'DB-function distributions'!$B$11:$B$65,0))</f>
        <v>0</v>
      </c>
      <c r="X54" s="212">
        <f>INDEX('DB-function distributions'!P$11:P$65,MATCH($D54,'DB-function distributions'!$B$11:$B$65,0))</f>
        <v>0</v>
      </c>
      <c r="Y54" s="212">
        <f>INDEX('DB-function distributions'!Q$11:Q$65,MATCH($D54,'DB-function distributions'!$B$11:$B$65,0))</f>
        <v>1.08</v>
      </c>
      <c r="Z54" s="212">
        <f>INDEX('DB-function distributions'!R$11:R$65,MATCH($D54,'DB-function distributions'!$B$11:$B$65,0))</f>
        <v>0</v>
      </c>
      <c r="AC54" s="212" t="s">
        <v>336</v>
      </c>
      <c r="AD54" s="212" t="s">
        <v>338</v>
      </c>
      <c r="AE54" s="212" t="s">
        <v>46</v>
      </c>
      <c r="AF54" s="212" t="s">
        <v>334</v>
      </c>
      <c r="AG54" s="212" t="s">
        <v>335</v>
      </c>
      <c r="AH54" s="212" t="s">
        <v>556</v>
      </c>
      <c r="AJ54" s="227">
        <v>8.0645161290322578E-2</v>
      </c>
      <c r="AK54" s="227">
        <v>0.42258064516129035</v>
      </c>
      <c r="AL54" s="227">
        <v>0.34838709677419355</v>
      </c>
      <c r="AM54" s="227">
        <v>0</v>
      </c>
      <c r="AN54" s="227">
        <v>0.14838709677419354</v>
      </c>
    </row>
    <row r="55" spans="1:40">
      <c r="A55" s="206">
        <f t="shared" si="0"/>
        <v>45</v>
      </c>
      <c r="B55" s="206" t="s">
        <v>550</v>
      </c>
      <c r="C55" s="206" t="s">
        <v>549</v>
      </c>
      <c r="D55" s="206">
        <v>15</v>
      </c>
      <c r="E55" s="206" t="s">
        <v>55</v>
      </c>
      <c r="K55" s="212">
        <f>INDEX('DB-function distributions'!C$11:C$65,MATCH($D55,'DB-function distributions'!$B$11:$B$65,0))</f>
        <v>0</v>
      </c>
      <c r="L55" s="212">
        <f>INDEX('DB-function distributions'!D$11:D$65,MATCH($D55,'DB-function distributions'!$B$11:$B$65,0))</f>
        <v>0</v>
      </c>
      <c r="M55" s="212">
        <f>INDEX('DB-function distributions'!E$11:E$65,MATCH($D55,'DB-function distributions'!$B$11:$B$65,0))</f>
        <v>0</v>
      </c>
      <c r="N55" s="212">
        <f>INDEX('DB-function distributions'!F$11:F$65,MATCH($D55,'DB-function distributions'!$B$11:$B$65,0))</f>
        <v>0</v>
      </c>
      <c r="O55" s="212">
        <f>INDEX('DB-function distributions'!G$11:G$65,MATCH($D55,'DB-function distributions'!$B$11:$B$65,0))</f>
        <v>1.42</v>
      </c>
      <c r="P55" s="212">
        <f>INDEX('DB-function distributions'!H$11:H$65,MATCH($D55,'DB-function distributions'!$B$11:$B$65,0))</f>
        <v>0</v>
      </c>
      <c r="Q55" s="212">
        <f>INDEX('DB-function distributions'!I$11:I$65,MATCH($D55,'DB-function distributions'!$B$11:$B$65,0))</f>
        <v>0</v>
      </c>
      <c r="R55" s="212">
        <f>INDEX('DB-function distributions'!J$11:J$65,MATCH($D55,'DB-function distributions'!$B$11:$B$65,0))</f>
        <v>0</v>
      </c>
      <c r="S55" s="212">
        <f>INDEX('DB-function distributions'!K$11:K$65,MATCH($D55,'DB-function distributions'!$B$11:$B$65,0))</f>
        <v>0</v>
      </c>
      <c r="T55" s="212">
        <f>INDEX('DB-function distributions'!L$11:L$65,MATCH($D55,'DB-function distributions'!$B$11:$B$65,0))</f>
        <v>0</v>
      </c>
      <c r="U55" s="212">
        <f>INDEX('DB-function distributions'!M$11:M$65,MATCH($D55,'DB-function distributions'!$B$11:$B$65,0))</f>
        <v>0</v>
      </c>
      <c r="V55" s="212">
        <f>INDEX('DB-function distributions'!N$11:N$65,MATCH($D55,'DB-function distributions'!$B$11:$B$65,0))</f>
        <v>0</v>
      </c>
      <c r="W55" s="212">
        <f>INDEX('DB-function distributions'!O$11:O$65,MATCH($D55,'DB-function distributions'!$B$11:$B$65,0))</f>
        <v>0</v>
      </c>
      <c r="X55" s="212">
        <f>INDEX('DB-function distributions'!P$11:P$65,MATCH($D55,'DB-function distributions'!$B$11:$B$65,0))</f>
        <v>0</v>
      </c>
      <c r="Y55" s="212">
        <f>INDEX('DB-function distributions'!Q$11:Q$65,MATCH($D55,'DB-function distributions'!$B$11:$B$65,0))</f>
        <v>0.98</v>
      </c>
      <c r="Z55" s="212">
        <f>INDEX('DB-function distributions'!R$11:R$65,MATCH($D55,'DB-function distributions'!$B$11:$B$65,0))</f>
        <v>0</v>
      </c>
      <c r="AC55" s="212" t="s">
        <v>46</v>
      </c>
      <c r="AD55" s="212" t="s">
        <v>332</v>
      </c>
      <c r="AE55" s="212" t="s">
        <v>333</v>
      </c>
      <c r="AF55" s="212" t="s">
        <v>334</v>
      </c>
      <c r="AG55" s="212" t="s">
        <v>335</v>
      </c>
      <c r="AH55" s="212" t="s">
        <v>556</v>
      </c>
      <c r="AJ55" s="227">
        <v>0.40833333333333333</v>
      </c>
      <c r="AK55" s="227">
        <v>0</v>
      </c>
      <c r="AL55" s="227">
        <v>0</v>
      </c>
      <c r="AM55" s="227">
        <v>0</v>
      </c>
      <c r="AN55" s="227">
        <v>0.59166666666666667</v>
      </c>
    </row>
    <row r="56" spans="1:40">
      <c r="A56" s="206">
        <f t="shared" si="0"/>
        <v>46</v>
      </c>
      <c r="B56" s="206" t="s">
        <v>99</v>
      </c>
      <c r="D56" s="206">
        <v>49</v>
      </c>
      <c r="E56" s="206" t="s">
        <v>162</v>
      </c>
      <c r="K56" s="212">
        <f>INDEX('DB-function distributions'!C$11:C$65,MATCH($D56,'DB-function distributions'!$B$11:$B$65,0))</f>
        <v>0</v>
      </c>
      <c r="L56" s="212">
        <f>INDEX('DB-function distributions'!D$11:D$65,MATCH($D56,'DB-function distributions'!$B$11:$B$65,0))</f>
        <v>0.28999999999999998</v>
      </c>
      <c r="M56" s="212">
        <f>INDEX('DB-function distributions'!E$11:E$65,MATCH($D56,'DB-function distributions'!$B$11:$B$65,0))</f>
        <v>0.44</v>
      </c>
      <c r="N56" s="212">
        <f>INDEX('DB-function distributions'!F$11:F$65,MATCH($D56,'DB-function distributions'!$B$11:$B$65,0))</f>
        <v>0</v>
      </c>
      <c r="O56" s="212">
        <f>INDEX('DB-function distributions'!G$11:G$65,MATCH($D56,'DB-function distributions'!$B$11:$B$65,0))</f>
        <v>0</v>
      </c>
      <c r="P56" s="212">
        <f>INDEX('DB-function distributions'!H$11:H$65,MATCH($D56,'DB-function distributions'!$B$11:$B$65,0))</f>
        <v>0</v>
      </c>
      <c r="Q56" s="212">
        <f>INDEX('DB-function distributions'!I$11:I$65,MATCH($D56,'DB-function distributions'!$B$11:$B$65,0))</f>
        <v>0</v>
      </c>
      <c r="R56" s="212">
        <f>INDEX('DB-function distributions'!J$11:J$65,MATCH($D56,'DB-function distributions'!$B$11:$B$65,0))</f>
        <v>0</v>
      </c>
      <c r="S56" s="212">
        <f>INDEX('DB-function distributions'!K$11:K$65,MATCH($D56,'DB-function distributions'!$B$11:$B$65,0))</f>
        <v>0.09</v>
      </c>
      <c r="T56" s="212">
        <f>INDEX('DB-function distributions'!L$11:L$65,MATCH($D56,'DB-function distributions'!$B$11:$B$65,0))</f>
        <v>0</v>
      </c>
      <c r="U56" s="212">
        <f>INDEX('DB-function distributions'!M$11:M$65,MATCH($D56,'DB-function distributions'!$B$11:$B$65,0))</f>
        <v>0.42</v>
      </c>
      <c r="V56" s="212">
        <f>INDEX('DB-function distributions'!N$11:N$65,MATCH($D56,'DB-function distributions'!$B$11:$B$65,0))</f>
        <v>0</v>
      </c>
      <c r="W56" s="212">
        <f>INDEX('DB-function distributions'!O$11:O$65,MATCH($D56,'DB-function distributions'!$B$11:$B$65,0))</f>
        <v>0</v>
      </c>
      <c r="X56" s="212">
        <f>INDEX('DB-function distributions'!P$11:P$65,MATCH($D56,'DB-function distributions'!$B$11:$B$65,0))</f>
        <v>0</v>
      </c>
      <c r="Y56" s="212">
        <f>INDEX('DB-function distributions'!Q$11:Q$65,MATCH($D56,'DB-function distributions'!$B$11:$B$65,0))</f>
        <v>0.35</v>
      </c>
      <c r="Z56" s="212">
        <f>INDEX('DB-function distributions'!R$11:R$65,MATCH($D56,'DB-function distributions'!$B$11:$B$65,0))</f>
        <v>0</v>
      </c>
      <c r="AC56" s="212" t="s">
        <v>338</v>
      </c>
      <c r="AD56" s="212" t="s">
        <v>332</v>
      </c>
      <c r="AE56" s="212" t="s">
        <v>333</v>
      </c>
      <c r="AF56" s="212" t="s">
        <v>340</v>
      </c>
      <c r="AG56" s="212" t="s">
        <v>46</v>
      </c>
      <c r="AH56" s="212" t="s">
        <v>556</v>
      </c>
      <c r="AJ56" s="227">
        <v>5.6603773584905662E-2</v>
      </c>
      <c r="AK56" s="227">
        <v>0.18238993710691825</v>
      </c>
      <c r="AL56" s="227">
        <v>0.27672955974842772</v>
      </c>
      <c r="AM56" s="227">
        <v>0.26415094339622641</v>
      </c>
      <c r="AN56" s="227">
        <v>0.22012578616352202</v>
      </c>
    </row>
    <row r="57" spans="1:40">
      <c r="A57" s="206">
        <f t="shared" si="0"/>
        <v>47</v>
      </c>
      <c r="B57" s="206" t="s">
        <v>100</v>
      </c>
      <c r="D57" s="206">
        <v>30</v>
      </c>
      <c r="E57" s="206" t="s">
        <v>101</v>
      </c>
      <c r="K57" s="212">
        <f>INDEX('DB-function distributions'!C$11:C$65,MATCH($D57,'DB-function distributions'!$B$11:$B$65,0))</f>
        <v>0.18</v>
      </c>
      <c r="L57" s="212">
        <f>INDEX('DB-function distributions'!D$11:D$65,MATCH($D57,'DB-function distributions'!$B$11:$B$65,0))</f>
        <v>0</v>
      </c>
      <c r="M57" s="212">
        <f>INDEX('DB-function distributions'!E$11:E$65,MATCH($D57,'DB-function distributions'!$B$11:$B$65,0))</f>
        <v>0</v>
      </c>
      <c r="N57" s="212">
        <f>INDEX('DB-function distributions'!F$11:F$65,MATCH($D57,'DB-function distributions'!$B$11:$B$65,0))</f>
        <v>0</v>
      </c>
      <c r="O57" s="212">
        <f>INDEX('DB-function distributions'!G$11:G$65,MATCH($D57,'DB-function distributions'!$B$11:$B$65,0))</f>
        <v>0</v>
      </c>
      <c r="P57" s="212">
        <f>INDEX('DB-function distributions'!H$11:H$65,MATCH($D57,'DB-function distributions'!$B$11:$B$65,0))</f>
        <v>0</v>
      </c>
      <c r="Q57" s="212">
        <f>INDEX('DB-function distributions'!I$11:I$65,MATCH($D57,'DB-function distributions'!$B$11:$B$65,0))</f>
        <v>0</v>
      </c>
      <c r="R57" s="212">
        <f>INDEX('DB-function distributions'!J$11:J$65,MATCH($D57,'DB-function distributions'!$B$11:$B$65,0))</f>
        <v>0</v>
      </c>
      <c r="S57" s="212">
        <f>INDEX('DB-function distributions'!K$11:K$65,MATCH($D57,'DB-function distributions'!$B$11:$B$65,0))</f>
        <v>0</v>
      </c>
      <c r="T57" s="212">
        <f>INDEX('DB-function distributions'!L$11:L$65,MATCH($D57,'DB-function distributions'!$B$11:$B$65,0))</f>
        <v>0</v>
      </c>
      <c r="U57" s="212">
        <f>INDEX('DB-function distributions'!M$11:M$65,MATCH($D57,'DB-function distributions'!$B$11:$B$65,0))</f>
        <v>0</v>
      </c>
      <c r="V57" s="212">
        <f>INDEX('DB-function distributions'!N$11:N$65,MATCH($D57,'DB-function distributions'!$B$11:$B$65,0))</f>
        <v>0</v>
      </c>
      <c r="W57" s="212">
        <f>INDEX('DB-function distributions'!O$11:O$65,MATCH($D57,'DB-function distributions'!$B$11:$B$65,0))</f>
        <v>0</v>
      </c>
      <c r="X57" s="212">
        <f>INDEX('DB-function distributions'!P$11:P$65,MATCH($D57,'DB-function distributions'!$B$11:$B$65,0))</f>
        <v>0</v>
      </c>
      <c r="Y57" s="212">
        <f>INDEX('DB-function distributions'!Q$11:Q$65,MATCH($D57,'DB-function distributions'!$B$11:$B$65,0))</f>
        <v>0.39</v>
      </c>
      <c r="Z57" s="212">
        <f>INDEX('DB-function distributions'!R$11:R$65,MATCH($D57,'DB-function distributions'!$B$11:$B$65,0))</f>
        <v>0</v>
      </c>
      <c r="AC57" s="212" t="s">
        <v>331</v>
      </c>
      <c r="AD57" s="212" t="s">
        <v>46</v>
      </c>
      <c r="AE57" s="212" t="s">
        <v>333</v>
      </c>
      <c r="AF57" s="212" t="s">
        <v>334</v>
      </c>
      <c r="AG57" s="212" t="s">
        <v>335</v>
      </c>
      <c r="AH57" s="212" t="s">
        <v>556</v>
      </c>
      <c r="AJ57" s="227">
        <v>0.31578947368421045</v>
      </c>
      <c r="AK57" s="227">
        <v>0.68421052631578938</v>
      </c>
      <c r="AL57" s="227">
        <v>0</v>
      </c>
      <c r="AM57" s="227">
        <v>0</v>
      </c>
      <c r="AN57" s="227">
        <v>0</v>
      </c>
    </row>
    <row r="58" spans="1:40">
      <c r="A58" s="206">
        <f t="shared" si="0"/>
        <v>48</v>
      </c>
      <c r="B58" s="206" t="s">
        <v>102</v>
      </c>
      <c r="D58" s="206">
        <v>55</v>
      </c>
      <c r="E58" s="206" t="s">
        <v>161</v>
      </c>
      <c r="K58" s="212">
        <f>INDEX('DB-function distributions'!C$11:C$65,MATCH($D58,'DB-function distributions'!$B$11:$B$65,0))</f>
        <v>0.9</v>
      </c>
      <c r="L58" s="212">
        <f>INDEX('DB-function distributions'!D$11:D$65,MATCH($D58,'DB-function distributions'!$B$11:$B$65,0))</f>
        <v>2.62</v>
      </c>
      <c r="M58" s="212">
        <f>INDEX('DB-function distributions'!E$11:E$65,MATCH($D58,'DB-function distributions'!$B$11:$B$65,0))</f>
        <v>3.74</v>
      </c>
      <c r="N58" s="212">
        <f>INDEX('DB-function distributions'!F$11:F$65,MATCH($D58,'DB-function distributions'!$B$11:$B$65,0))</f>
        <v>0.36</v>
      </c>
      <c r="O58" s="212">
        <f>INDEX('DB-function distributions'!G$11:G$65,MATCH($D58,'DB-function distributions'!$B$11:$B$65,0))</f>
        <v>1.96</v>
      </c>
      <c r="P58" s="212">
        <f>INDEX('DB-function distributions'!H$11:H$65,MATCH($D58,'DB-function distributions'!$B$11:$B$65,0))</f>
        <v>1.06</v>
      </c>
      <c r="Q58" s="212">
        <f>INDEX('DB-function distributions'!I$11:I$65,MATCH($D58,'DB-function distributions'!$B$11:$B$65,0))</f>
        <v>0.46</v>
      </c>
      <c r="R58" s="212">
        <f>INDEX('DB-function distributions'!J$11:J$65,MATCH($D58,'DB-function distributions'!$B$11:$B$65,0))</f>
        <v>0.63</v>
      </c>
      <c r="S58" s="212">
        <f>INDEX('DB-function distributions'!K$11:K$65,MATCH($D58,'DB-function distributions'!$B$11:$B$65,0))</f>
        <v>1.87</v>
      </c>
      <c r="T58" s="212">
        <f>INDEX('DB-function distributions'!L$11:L$65,MATCH($D58,'DB-function distributions'!$B$11:$B$65,0))</f>
        <v>0</v>
      </c>
      <c r="U58" s="212">
        <f>INDEX('DB-function distributions'!M$11:M$65,MATCH($D58,'DB-function distributions'!$B$11:$B$65,0))</f>
        <v>2.6</v>
      </c>
      <c r="V58" s="212">
        <f>INDEX('DB-function distributions'!N$11:N$65,MATCH($D58,'DB-function distributions'!$B$11:$B$65,0))</f>
        <v>0.83</v>
      </c>
      <c r="W58" s="212">
        <f>INDEX('DB-function distributions'!O$11:O$65,MATCH($D58,'DB-function distributions'!$B$11:$B$65,0))</f>
        <v>1.33</v>
      </c>
      <c r="X58" s="212">
        <f>INDEX('DB-function distributions'!P$11:P$65,MATCH($D58,'DB-function distributions'!$B$11:$B$65,0))</f>
        <v>2.06</v>
      </c>
      <c r="Y58" s="212">
        <f>INDEX('DB-function distributions'!Q$11:Q$65,MATCH($D58,'DB-function distributions'!$B$11:$B$65,0))</f>
        <v>3.57</v>
      </c>
      <c r="Z58" s="212">
        <f>INDEX('DB-function distributions'!R$11:R$65,MATCH($D58,'DB-function distributions'!$B$11:$B$65,0))</f>
        <v>0</v>
      </c>
      <c r="AC58" s="212" t="s">
        <v>343</v>
      </c>
      <c r="AD58" s="212" t="s">
        <v>332</v>
      </c>
      <c r="AE58" s="212" t="s">
        <v>333</v>
      </c>
      <c r="AF58" s="212" t="s">
        <v>340</v>
      </c>
      <c r="AG58" s="212" t="s">
        <v>46</v>
      </c>
      <c r="AH58" s="212" t="s">
        <v>556</v>
      </c>
      <c r="AJ58" s="227">
        <v>0.14119259766963674</v>
      </c>
      <c r="AK58" s="227">
        <v>0.17957505140507199</v>
      </c>
      <c r="AL58" s="227">
        <v>0.25633995887594246</v>
      </c>
      <c r="AM58" s="227">
        <v>0.17820424948594929</v>
      </c>
      <c r="AN58" s="227">
        <v>0.24468814256339957</v>
      </c>
    </row>
    <row r="59" spans="1:40">
      <c r="A59" s="206">
        <f t="shared" si="0"/>
        <v>49</v>
      </c>
      <c r="B59" s="206" t="s">
        <v>103</v>
      </c>
      <c r="D59" s="206">
        <v>31</v>
      </c>
      <c r="E59" s="206" t="s">
        <v>104</v>
      </c>
      <c r="K59" s="212">
        <f>INDEX('DB-function distributions'!C$11:C$65,MATCH($D59,'DB-function distributions'!$B$11:$B$65,0))</f>
        <v>0</v>
      </c>
      <c r="L59" s="212">
        <f>INDEX('DB-function distributions'!D$11:D$65,MATCH($D59,'DB-function distributions'!$B$11:$B$65,0))</f>
        <v>0</v>
      </c>
      <c r="M59" s="212">
        <f>INDEX('DB-function distributions'!E$11:E$65,MATCH($D59,'DB-function distributions'!$B$11:$B$65,0))</f>
        <v>0</v>
      </c>
      <c r="N59" s="212">
        <f>INDEX('DB-function distributions'!F$11:F$65,MATCH($D59,'DB-function distributions'!$B$11:$B$65,0))</f>
        <v>0.06</v>
      </c>
      <c r="O59" s="212">
        <f>INDEX('DB-function distributions'!G$11:G$65,MATCH($D59,'DB-function distributions'!$B$11:$B$65,0))</f>
        <v>0</v>
      </c>
      <c r="P59" s="212">
        <f>INDEX('DB-function distributions'!H$11:H$65,MATCH($D59,'DB-function distributions'!$B$11:$B$65,0))</f>
        <v>0</v>
      </c>
      <c r="Q59" s="212">
        <f>INDEX('DB-function distributions'!I$11:I$65,MATCH($D59,'DB-function distributions'!$B$11:$B$65,0))</f>
        <v>0.1</v>
      </c>
      <c r="R59" s="212">
        <f>INDEX('DB-function distributions'!J$11:J$65,MATCH($D59,'DB-function distributions'!$B$11:$B$65,0))</f>
        <v>0</v>
      </c>
      <c r="S59" s="212">
        <f>INDEX('DB-function distributions'!K$11:K$65,MATCH($D59,'DB-function distributions'!$B$11:$B$65,0))</f>
        <v>0</v>
      </c>
      <c r="T59" s="212">
        <f>INDEX('DB-function distributions'!L$11:L$65,MATCH($D59,'DB-function distributions'!$B$11:$B$65,0))</f>
        <v>0</v>
      </c>
      <c r="U59" s="212">
        <f>INDEX('DB-function distributions'!M$11:M$65,MATCH($D59,'DB-function distributions'!$B$11:$B$65,0))</f>
        <v>0</v>
      </c>
      <c r="V59" s="212">
        <f>INDEX('DB-function distributions'!N$11:N$65,MATCH($D59,'DB-function distributions'!$B$11:$B$65,0))</f>
        <v>0.16</v>
      </c>
      <c r="W59" s="212">
        <f>INDEX('DB-function distributions'!O$11:O$65,MATCH($D59,'DB-function distributions'!$B$11:$B$65,0))</f>
        <v>0.15</v>
      </c>
      <c r="X59" s="212">
        <f>INDEX('DB-function distributions'!P$11:P$65,MATCH($D59,'DB-function distributions'!$B$11:$B$65,0))</f>
        <v>0</v>
      </c>
      <c r="Y59" s="212">
        <f>INDEX('DB-function distributions'!Q$11:Q$65,MATCH($D59,'DB-function distributions'!$B$11:$B$65,0))</f>
        <v>0.31</v>
      </c>
      <c r="Z59" s="212">
        <f>INDEX('DB-function distributions'!R$11:R$65,MATCH($D59,'DB-function distributions'!$B$11:$B$65,0))</f>
        <v>0</v>
      </c>
      <c r="AC59" s="212" t="s">
        <v>337</v>
      </c>
      <c r="AD59" s="212" t="s">
        <v>341</v>
      </c>
      <c r="AE59" s="212" t="s">
        <v>342</v>
      </c>
      <c r="AF59" s="212" t="s">
        <v>334</v>
      </c>
      <c r="AG59" s="212" t="s">
        <v>46</v>
      </c>
      <c r="AH59" s="212" t="s">
        <v>556</v>
      </c>
      <c r="AJ59" s="227">
        <v>0.12820512820512822</v>
      </c>
      <c r="AK59" s="227">
        <v>0.20512820512820512</v>
      </c>
      <c r="AL59" s="227">
        <v>0.19230769230769229</v>
      </c>
      <c r="AM59" s="227">
        <v>7.6923076923076913E-2</v>
      </c>
      <c r="AN59" s="227">
        <v>0.39743589743589741</v>
      </c>
    </row>
    <row r="60" spans="1:40">
      <c r="A60" s="206">
        <f t="shared" si="0"/>
        <v>50</v>
      </c>
      <c r="B60" s="206" t="s">
        <v>105</v>
      </c>
      <c r="D60" s="206">
        <v>32</v>
      </c>
      <c r="E60" s="206" t="s">
        <v>106</v>
      </c>
      <c r="K60" s="212">
        <f>INDEX('DB-function distributions'!C$11:C$65,MATCH($D60,'DB-function distributions'!$B$11:$B$65,0))</f>
        <v>0</v>
      </c>
      <c r="L60" s="212">
        <f>INDEX('DB-function distributions'!D$11:D$65,MATCH($D60,'DB-function distributions'!$B$11:$B$65,0))</f>
        <v>0</v>
      </c>
      <c r="M60" s="212">
        <f>INDEX('DB-function distributions'!E$11:E$65,MATCH($D60,'DB-function distributions'!$B$11:$B$65,0))</f>
        <v>0</v>
      </c>
      <c r="N60" s="212">
        <f>INDEX('DB-function distributions'!F$11:F$65,MATCH($D60,'DB-function distributions'!$B$11:$B$65,0))</f>
        <v>0.06</v>
      </c>
      <c r="O60" s="212">
        <f>INDEX('DB-function distributions'!G$11:G$65,MATCH($D60,'DB-function distributions'!$B$11:$B$65,0))</f>
        <v>0.13</v>
      </c>
      <c r="P60" s="212">
        <f>INDEX('DB-function distributions'!H$11:H$65,MATCH($D60,'DB-function distributions'!$B$11:$B$65,0))</f>
        <v>7.0000000000000007E-2</v>
      </c>
      <c r="Q60" s="212">
        <f>INDEX('DB-function distributions'!I$11:I$65,MATCH($D60,'DB-function distributions'!$B$11:$B$65,0))</f>
        <v>0</v>
      </c>
      <c r="R60" s="212">
        <f>INDEX('DB-function distributions'!J$11:J$65,MATCH($D60,'DB-function distributions'!$B$11:$B$65,0))</f>
        <v>0</v>
      </c>
      <c r="S60" s="212">
        <f>INDEX('DB-function distributions'!K$11:K$65,MATCH($D60,'DB-function distributions'!$B$11:$B$65,0))</f>
        <v>0</v>
      </c>
      <c r="T60" s="212">
        <f>INDEX('DB-function distributions'!L$11:L$65,MATCH($D60,'DB-function distributions'!$B$11:$B$65,0))</f>
        <v>0</v>
      </c>
      <c r="U60" s="212">
        <f>INDEX('DB-function distributions'!M$11:M$65,MATCH($D60,'DB-function distributions'!$B$11:$B$65,0))</f>
        <v>0</v>
      </c>
      <c r="V60" s="212">
        <f>INDEX('DB-function distributions'!N$11:N$65,MATCH($D60,'DB-function distributions'!$B$11:$B$65,0))</f>
        <v>0</v>
      </c>
      <c r="W60" s="212">
        <f>INDEX('DB-function distributions'!O$11:O$65,MATCH($D60,'DB-function distributions'!$B$11:$B$65,0))</f>
        <v>0</v>
      </c>
      <c r="X60" s="212">
        <f>INDEX('DB-function distributions'!P$11:P$65,MATCH($D60,'DB-function distributions'!$B$11:$B$65,0))</f>
        <v>0</v>
      </c>
      <c r="Y60" s="212">
        <f>INDEX('DB-function distributions'!Q$11:Q$65,MATCH($D60,'DB-function distributions'!$B$11:$B$65,0))</f>
        <v>0.18</v>
      </c>
      <c r="Z60" s="212">
        <f>INDEX('DB-function distributions'!R$11:R$65,MATCH($D60,'DB-function distributions'!$B$11:$B$65,0))</f>
        <v>0</v>
      </c>
      <c r="AC60" s="212" t="s">
        <v>336</v>
      </c>
      <c r="AD60" s="212" t="s">
        <v>46</v>
      </c>
      <c r="AE60" s="212" t="s">
        <v>333</v>
      </c>
      <c r="AF60" s="212" t="s">
        <v>334</v>
      </c>
      <c r="AG60" s="212" t="s">
        <v>335</v>
      </c>
      <c r="AH60" s="212" t="s">
        <v>556</v>
      </c>
      <c r="AJ60" s="227">
        <v>0.15909090909090912</v>
      </c>
      <c r="AK60" s="227">
        <v>0.40909090909090906</v>
      </c>
      <c r="AL60" s="227">
        <v>0</v>
      </c>
      <c r="AM60" s="227">
        <v>0.13636363636363635</v>
      </c>
      <c r="AN60" s="227">
        <v>0.29545454545454547</v>
      </c>
    </row>
    <row r="61" spans="1:40">
      <c r="A61" s="206">
        <f t="shared" si="0"/>
        <v>51</v>
      </c>
      <c r="B61" s="206" t="s">
        <v>218</v>
      </c>
      <c r="C61" s="206" t="s">
        <v>412</v>
      </c>
      <c r="D61" s="206">
        <v>33</v>
      </c>
      <c r="E61" s="206" t="s">
        <v>107</v>
      </c>
      <c r="K61" s="212">
        <f>INDEX('DB-function distributions'!C$11:C$65,MATCH($D61,'DB-function distributions'!$B$11:$B$65,0))</f>
        <v>0</v>
      </c>
      <c r="L61" s="212">
        <f>INDEX('DB-function distributions'!D$11:D$65,MATCH($D61,'DB-function distributions'!$B$11:$B$65,0))</f>
        <v>0</v>
      </c>
      <c r="M61" s="212">
        <f>INDEX('DB-function distributions'!E$11:E$65,MATCH($D61,'DB-function distributions'!$B$11:$B$65,0))</f>
        <v>5</v>
      </c>
      <c r="N61" s="212">
        <f>INDEX('DB-function distributions'!F$11:F$65,MATCH($D61,'DB-function distributions'!$B$11:$B$65,0))</f>
        <v>0</v>
      </c>
      <c r="O61" s="212">
        <f>INDEX('DB-function distributions'!G$11:G$65,MATCH($D61,'DB-function distributions'!$B$11:$B$65,0))</f>
        <v>0</v>
      </c>
      <c r="P61" s="212">
        <f>INDEX('DB-function distributions'!H$11:H$65,MATCH($D61,'DB-function distributions'!$B$11:$B$65,0))</f>
        <v>0</v>
      </c>
      <c r="Q61" s="212">
        <f>INDEX('DB-function distributions'!I$11:I$65,MATCH($D61,'DB-function distributions'!$B$11:$B$65,0))</f>
        <v>0</v>
      </c>
      <c r="R61" s="212">
        <f>INDEX('DB-function distributions'!J$11:J$65,MATCH($D61,'DB-function distributions'!$B$11:$B$65,0))</f>
        <v>0</v>
      </c>
      <c r="S61" s="212">
        <f>INDEX('DB-function distributions'!K$11:K$65,MATCH($D61,'DB-function distributions'!$B$11:$B$65,0))</f>
        <v>2.08</v>
      </c>
      <c r="T61" s="212">
        <f>INDEX('DB-function distributions'!L$11:L$65,MATCH($D61,'DB-function distributions'!$B$11:$B$65,0))</f>
        <v>0</v>
      </c>
      <c r="U61" s="212">
        <f>INDEX('DB-function distributions'!M$11:M$65,MATCH($D61,'DB-function distributions'!$B$11:$B$65,0))</f>
        <v>2.39</v>
      </c>
      <c r="V61" s="212">
        <f>INDEX('DB-function distributions'!N$11:N$65,MATCH($D61,'DB-function distributions'!$B$11:$B$65,0))</f>
        <v>0</v>
      </c>
      <c r="W61" s="212">
        <f>INDEX('DB-function distributions'!O$11:O$65,MATCH($D61,'DB-function distributions'!$B$11:$B$65,0))</f>
        <v>0</v>
      </c>
      <c r="X61" s="212">
        <f>INDEX('DB-function distributions'!P$11:P$65,MATCH($D61,'DB-function distributions'!$B$11:$B$65,0))</f>
        <v>0</v>
      </c>
      <c r="Y61" s="212">
        <f>INDEX('DB-function distributions'!Q$11:Q$65,MATCH($D61,'DB-function distributions'!$B$11:$B$65,0))</f>
        <v>3.36</v>
      </c>
      <c r="Z61" s="212">
        <f>INDEX('DB-function distributions'!R$11:R$65,MATCH($D61,'DB-function distributions'!$B$11:$B$65,0))</f>
        <v>0</v>
      </c>
      <c r="AC61" s="212" t="s">
        <v>338</v>
      </c>
      <c r="AD61" s="212" t="s">
        <v>340</v>
      </c>
      <c r="AE61" s="212" t="s">
        <v>333</v>
      </c>
      <c r="AF61" s="212" t="s">
        <v>46</v>
      </c>
      <c r="AG61" s="212" t="s">
        <v>335</v>
      </c>
      <c r="AH61" s="212" t="s">
        <v>556</v>
      </c>
      <c r="AJ61" s="227">
        <v>0.16212003117692908</v>
      </c>
      <c r="AK61" s="227">
        <v>0.18628215120810601</v>
      </c>
      <c r="AL61" s="227">
        <v>0.38971161340607952</v>
      </c>
      <c r="AM61" s="227">
        <v>0.26188620420888542</v>
      </c>
      <c r="AN61" s="227">
        <v>0</v>
      </c>
    </row>
    <row r="62" spans="1:40">
      <c r="A62" s="206">
        <f t="shared" si="0"/>
        <v>52</v>
      </c>
      <c r="B62" s="206" t="s">
        <v>108</v>
      </c>
      <c r="D62" s="206">
        <v>35</v>
      </c>
      <c r="E62" s="206" t="s">
        <v>109</v>
      </c>
      <c r="K62" s="212">
        <f>INDEX('DB-function distributions'!C$11:C$65,MATCH($D62,'DB-function distributions'!$B$11:$B$65,0))</f>
        <v>0.3</v>
      </c>
      <c r="L62" s="212">
        <f>INDEX('DB-function distributions'!D$11:D$65,MATCH($D62,'DB-function distributions'!$B$11:$B$65,0))</f>
        <v>0</v>
      </c>
      <c r="M62" s="212">
        <f>INDEX('DB-function distributions'!E$11:E$65,MATCH($D62,'DB-function distributions'!$B$11:$B$65,0))</f>
        <v>0</v>
      </c>
      <c r="N62" s="212">
        <f>INDEX('DB-function distributions'!F$11:F$65,MATCH($D62,'DB-function distributions'!$B$11:$B$65,0))</f>
        <v>0</v>
      </c>
      <c r="O62" s="212">
        <f>INDEX('DB-function distributions'!G$11:G$65,MATCH($D62,'DB-function distributions'!$B$11:$B$65,0))</f>
        <v>0.53</v>
      </c>
      <c r="P62" s="212">
        <f>INDEX('DB-function distributions'!H$11:H$65,MATCH($D62,'DB-function distributions'!$B$11:$B$65,0))</f>
        <v>0.33</v>
      </c>
      <c r="Q62" s="212">
        <f>INDEX('DB-function distributions'!I$11:I$65,MATCH($D62,'DB-function distributions'!$B$11:$B$65,0))</f>
        <v>0</v>
      </c>
      <c r="R62" s="212">
        <f>INDEX('DB-function distributions'!J$11:J$65,MATCH($D62,'DB-function distributions'!$B$11:$B$65,0))</f>
        <v>0.33</v>
      </c>
      <c r="S62" s="212">
        <f>INDEX('DB-function distributions'!K$11:K$65,MATCH($D62,'DB-function distributions'!$B$11:$B$65,0))</f>
        <v>0</v>
      </c>
      <c r="T62" s="212">
        <f>INDEX('DB-function distributions'!L$11:L$65,MATCH($D62,'DB-function distributions'!$B$11:$B$65,0))</f>
        <v>0</v>
      </c>
      <c r="U62" s="212">
        <f>INDEX('DB-function distributions'!M$11:M$65,MATCH($D62,'DB-function distributions'!$B$11:$B$65,0))</f>
        <v>0.94</v>
      </c>
      <c r="V62" s="212">
        <f>INDEX('DB-function distributions'!N$11:N$65,MATCH($D62,'DB-function distributions'!$B$11:$B$65,0))</f>
        <v>0</v>
      </c>
      <c r="W62" s="212">
        <f>INDEX('DB-function distributions'!O$11:O$65,MATCH($D62,'DB-function distributions'!$B$11:$B$65,0))</f>
        <v>0</v>
      </c>
      <c r="X62" s="212">
        <f>INDEX('DB-function distributions'!P$11:P$65,MATCH($D62,'DB-function distributions'!$B$11:$B$65,0))</f>
        <v>0</v>
      </c>
      <c r="Y62" s="212">
        <f>INDEX('DB-function distributions'!Q$11:Q$65,MATCH($D62,'DB-function distributions'!$B$11:$B$65,0))</f>
        <v>1.1499999999999999</v>
      </c>
      <c r="Z62" s="212">
        <f>INDEX('DB-function distributions'!R$11:R$65,MATCH($D62,'DB-function distributions'!$B$11:$B$65,0))</f>
        <v>0</v>
      </c>
      <c r="AC62" s="212" t="s">
        <v>46</v>
      </c>
      <c r="AD62" s="212" t="s">
        <v>336</v>
      </c>
      <c r="AE62" s="212" t="s">
        <v>348</v>
      </c>
      <c r="AF62" s="212" t="s">
        <v>340</v>
      </c>
      <c r="AG62" s="212" t="s">
        <v>335</v>
      </c>
      <c r="AH62" s="212" t="s">
        <v>556</v>
      </c>
      <c r="AJ62" s="227">
        <v>0.3506097560975609</v>
      </c>
      <c r="AK62" s="227">
        <v>0.10060975609756097</v>
      </c>
      <c r="AL62" s="227">
        <v>0.10060975609756097</v>
      </c>
      <c r="AM62" s="227">
        <v>0.28658536585365851</v>
      </c>
      <c r="AN62" s="227">
        <v>0.16158536585365854</v>
      </c>
    </row>
    <row r="63" spans="1:40">
      <c r="A63" s="206">
        <f t="shared" si="0"/>
        <v>53</v>
      </c>
      <c r="B63" s="206" t="s">
        <v>110</v>
      </c>
      <c r="D63" s="206">
        <v>43</v>
      </c>
      <c r="E63" s="206" t="s">
        <v>52</v>
      </c>
      <c r="K63" s="212">
        <f>INDEX('DB-function distributions'!C$11:C$65,MATCH($D63,'DB-function distributions'!$B$11:$B$65,0))</f>
        <v>0</v>
      </c>
      <c r="L63" s="212">
        <f>INDEX('DB-function distributions'!D$11:D$65,MATCH($D63,'DB-function distributions'!$B$11:$B$65,0))</f>
        <v>0.31</v>
      </c>
      <c r="M63" s="212">
        <f>INDEX('DB-function distributions'!E$11:E$65,MATCH($D63,'DB-function distributions'!$B$11:$B$65,0))</f>
        <v>0.53</v>
      </c>
      <c r="N63" s="212">
        <f>INDEX('DB-function distributions'!F$11:F$65,MATCH($D63,'DB-function distributions'!$B$11:$B$65,0))</f>
        <v>0</v>
      </c>
      <c r="O63" s="212">
        <f>INDEX('DB-function distributions'!G$11:G$65,MATCH($D63,'DB-function distributions'!$B$11:$B$65,0))</f>
        <v>0</v>
      </c>
      <c r="P63" s="212">
        <f>INDEX('DB-function distributions'!H$11:H$65,MATCH($D63,'DB-function distributions'!$B$11:$B$65,0))</f>
        <v>0</v>
      </c>
      <c r="Q63" s="212">
        <f>INDEX('DB-function distributions'!I$11:I$65,MATCH($D63,'DB-function distributions'!$B$11:$B$65,0))</f>
        <v>0</v>
      </c>
      <c r="R63" s="212">
        <f>INDEX('DB-function distributions'!J$11:J$65,MATCH($D63,'DB-function distributions'!$B$11:$B$65,0))</f>
        <v>0</v>
      </c>
      <c r="S63" s="212">
        <f>INDEX('DB-function distributions'!K$11:K$65,MATCH($D63,'DB-function distributions'!$B$11:$B$65,0))</f>
        <v>0</v>
      </c>
      <c r="T63" s="212">
        <f>INDEX('DB-function distributions'!L$11:L$65,MATCH($D63,'DB-function distributions'!$B$11:$B$65,0))</f>
        <v>0</v>
      </c>
      <c r="U63" s="212">
        <f>INDEX('DB-function distributions'!M$11:M$65,MATCH($D63,'DB-function distributions'!$B$11:$B$65,0))</f>
        <v>0.44</v>
      </c>
      <c r="V63" s="212">
        <f>INDEX('DB-function distributions'!N$11:N$65,MATCH($D63,'DB-function distributions'!$B$11:$B$65,0))</f>
        <v>0</v>
      </c>
      <c r="W63" s="212">
        <f>INDEX('DB-function distributions'!O$11:O$65,MATCH($D63,'DB-function distributions'!$B$11:$B$65,0))</f>
        <v>0</v>
      </c>
      <c r="X63" s="212">
        <f>INDEX('DB-function distributions'!P$11:P$65,MATCH($D63,'DB-function distributions'!$B$11:$B$65,0))</f>
        <v>0</v>
      </c>
      <c r="Y63" s="212">
        <f>INDEX('DB-function distributions'!Q$11:Q$65,MATCH($D63,'DB-function distributions'!$B$11:$B$65,0))</f>
        <v>0.33</v>
      </c>
      <c r="Z63" s="212">
        <f>INDEX('DB-function distributions'!R$11:R$65,MATCH($D63,'DB-function distributions'!$B$11:$B$65,0))</f>
        <v>0</v>
      </c>
      <c r="AC63" s="212" t="s">
        <v>340</v>
      </c>
      <c r="AD63" s="212" t="s">
        <v>332</v>
      </c>
      <c r="AE63" s="212" t="s">
        <v>333</v>
      </c>
      <c r="AF63" s="212" t="s">
        <v>46</v>
      </c>
      <c r="AG63" s="212" t="s">
        <v>335</v>
      </c>
      <c r="AH63" s="212" t="s">
        <v>556</v>
      </c>
      <c r="AJ63" s="227">
        <v>0.27329192546583847</v>
      </c>
      <c r="AK63" s="227">
        <v>0.19254658385093165</v>
      </c>
      <c r="AL63" s="227">
        <v>0.32919254658385094</v>
      </c>
      <c r="AM63" s="227">
        <v>0.20496894409937888</v>
      </c>
      <c r="AN63" s="227">
        <v>0</v>
      </c>
    </row>
    <row r="64" spans="1:40">
      <c r="A64" s="206">
        <f t="shared" si="0"/>
        <v>54</v>
      </c>
      <c r="B64" s="206" t="s">
        <v>111</v>
      </c>
      <c r="D64" s="206">
        <v>55</v>
      </c>
      <c r="E64" s="206" t="s">
        <v>46</v>
      </c>
      <c r="K64" s="212">
        <f>INDEX('DB-function distributions'!C$11:C$65,MATCH($D64,'DB-function distributions'!$B$11:$B$65,0))</f>
        <v>0.9</v>
      </c>
      <c r="L64" s="212">
        <f>INDEX('DB-function distributions'!D$11:D$65,MATCH($D64,'DB-function distributions'!$B$11:$B$65,0))</f>
        <v>2.62</v>
      </c>
      <c r="M64" s="212">
        <f>INDEX('DB-function distributions'!E$11:E$65,MATCH($D64,'DB-function distributions'!$B$11:$B$65,0))</f>
        <v>3.74</v>
      </c>
      <c r="N64" s="212">
        <f>INDEX('DB-function distributions'!F$11:F$65,MATCH($D64,'DB-function distributions'!$B$11:$B$65,0))</f>
        <v>0.36</v>
      </c>
      <c r="O64" s="212">
        <f>INDEX('DB-function distributions'!G$11:G$65,MATCH($D64,'DB-function distributions'!$B$11:$B$65,0))</f>
        <v>1.96</v>
      </c>
      <c r="P64" s="212">
        <f>INDEX('DB-function distributions'!H$11:H$65,MATCH($D64,'DB-function distributions'!$B$11:$B$65,0))</f>
        <v>1.06</v>
      </c>
      <c r="Q64" s="212">
        <f>INDEX('DB-function distributions'!I$11:I$65,MATCH($D64,'DB-function distributions'!$B$11:$B$65,0))</f>
        <v>0.46</v>
      </c>
      <c r="R64" s="212">
        <f>INDEX('DB-function distributions'!J$11:J$65,MATCH($D64,'DB-function distributions'!$B$11:$B$65,0))</f>
        <v>0.63</v>
      </c>
      <c r="S64" s="212">
        <f>INDEX('DB-function distributions'!K$11:K$65,MATCH($D64,'DB-function distributions'!$B$11:$B$65,0))</f>
        <v>1.87</v>
      </c>
      <c r="T64" s="212">
        <f>INDEX('DB-function distributions'!L$11:L$65,MATCH($D64,'DB-function distributions'!$B$11:$B$65,0))</f>
        <v>0</v>
      </c>
      <c r="U64" s="212">
        <f>INDEX('DB-function distributions'!M$11:M$65,MATCH($D64,'DB-function distributions'!$B$11:$B$65,0))</f>
        <v>2.6</v>
      </c>
      <c r="V64" s="212">
        <f>INDEX('DB-function distributions'!N$11:N$65,MATCH($D64,'DB-function distributions'!$B$11:$B$65,0))</f>
        <v>0.83</v>
      </c>
      <c r="W64" s="212">
        <f>INDEX('DB-function distributions'!O$11:O$65,MATCH($D64,'DB-function distributions'!$B$11:$B$65,0))</f>
        <v>1.33</v>
      </c>
      <c r="X64" s="212">
        <f>INDEX('DB-function distributions'!P$11:P$65,MATCH($D64,'DB-function distributions'!$B$11:$B$65,0))</f>
        <v>2.06</v>
      </c>
      <c r="Y64" s="212">
        <f>INDEX('DB-function distributions'!Q$11:Q$65,MATCH($D64,'DB-function distributions'!$B$11:$B$65,0))</f>
        <v>3.57</v>
      </c>
      <c r="Z64" s="212">
        <f>INDEX('DB-function distributions'!R$11:R$65,MATCH($D64,'DB-function distributions'!$B$11:$B$65,0))</f>
        <v>0</v>
      </c>
      <c r="AC64" s="212" t="s">
        <v>343</v>
      </c>
      <c r="AD64" s="212" t="s">
        <v>332</v>
      </c>
      <c r="AE64" s="212" t="s">
        <v>333</v>
      </c>
      <c r="AF64" s="212" t="s">
        <v>340</v>
      </c>
      <c r="AG64" s="212" t="s">
        <v>46</v>
      </c>
      <c r="AH64" s="212" t="s">
        <v>556</v>
      </c>
      <c r="AJ64" s="227">
        <v>0.14119259766963674</v>
      </c>
      <c r="AK64" s="227">
        <v>0.17957505140507199</v>
      </c>
      <c r="AL64" s="227">
        <v>0.25633995887594246</v>
      </c>
      <c r="AM64" s="227">
        <v>0.17820424948594929</v>
      </c>
      <c r="AN64" s="227">
        <v>0.24468814256339957</v>
      </c>
    </row>
    <row r="65" spans="1:40">
      <c r="A65" s="206">
        <f t="shared" si="0"/>
        <v>55</v>
      </c>
      <c r="B65" s="206" t="s">
        <v>112</v>
      </c>
      <c r="C65" s="206" t="s">
        <v>549</v>
      </c>
      <c r="D65" s="206">
        <v>15</v>
      </c>
      <c r="E65" s="206" t="s">
        <v>55</v>
      </c>
      <c r="K65" s="212">
        <f>INDEX('DB-function distributions'!C$11:C$65,MATCH($D65,'DB-function distributions'!$B$11:$B$65,0))</f>
        <v>0</v>
      </c>
      <c r="L65" s="212">
        <f>INDEX('DB-function distributions'!D$11:D$65,MATCH($D65,'DB-function distributions'!$B$11:$B$65,0))</f>
        <v>0</v>
      </c>
      <c r="M65" s="212">
        <f>INDEX('DB-function distributions'!E$11:E$65,MATCH($D65,'DB-function distributions'!$B$11:$B$65,0))</f>
        <v>0</v>
      </c>
      <c r="N65" s="212">
        <f>INDEX('DB-function distributions'!F$11:F$65,MATCH($D65,'DB-function distributions'!$B$11:$B$65,0))</f>
        <v>0</v>
      </c>
      <c r="O65" s="212">
        <f>INDEX('DB-function distributions'!G$11:G$65,MATCH($D65,'DB-function distributions'!$B$11:$B$65,0))</f>
        <v>1.42</v>
      </c>
      <c r="P65" s="212">
        <f>INDEX('DB-function distributions'!H$11:H$65,MATCH($D65,'DB-function distributions'!$B$11:$B$65,0))</f>
        <v>0</v>
      </c>
      <c r="Q65" s="212">
        <f>INDEX('DB-function distributions'!I$11:I$65,MATCH($D65,'DB-function distributions'!$B$11:$B$65,0))</f>
        <v>0</v>
      </c>
      <c r="R65" s="212">
        <f>INDEX('DB-function distributions'!J$11:J$65,MATCH($D65,'DB-function distributions'!$B$11:$B$65,0))</f>
        <v>0</v>
      </c>
      <c r="S65" s="212">
        <f>INDEX('DB-function distributions'!K$11:K$65,MATCH($D65,'DB-function distributions'!$B$11:$B$65,0))</f>
        <v>0</v>
      </c>
      <c r="T65" s="212">
        <f>INDEX('DB-function distributions'!L$11:L$65,MATCH($D65,'DB-function distributions'!$B$11:$B$65,0))</f>
        <v>0</v>
      </c>
      <c r="U65" s="212">
        <f>INDEX('DB-function distributions'!M$11:M$65,MATCH($D65,'DB-function distributions'!$B$11:$B$65,0))</f>
        <v>0</v>
      </c>
      <c r="V65" s="212">
        <f>INDEX('DB-function distributions'!N$11:N$65,MATCH($D65,'DB-function distributions'!$B$11:$B$65,0))</f>
        <v>0</v>
      </c>
      <c r="W65" s="212">
        <f>INDEX('DB-function distributions'!O$11:O$65,MATCH($D65,'DB-function distributions'!$B$11:$B$65,0))</f>
        <v>0</v>
      </c>
      <c r="X65" s="212">
        <f>INDEX('DB-function distributions'!P$11:P$65,MATCH($D65,'DB-function distributions'!$B$11:$B$65,0))</f>
        <v>0</v>
      </c>
      <c r="Y65" s="212">
        <f>INDEX('DB-function distributions'!Q$11:Q$65,MATCH($D65,'DB-function distributions'!$B$11:$B$65,0))</f>
        <v>0.98</v>
      </c>
      <c r="Z65" s="212">
        <f>INDEX('DB-function distributions'!R$11:R$65,MATCH($D65,'DB-function distributions'!$B$11:$B$65,0))</f>
        <v>0</v>
      </c>
      <c r="AC65" s="212" t="s">
        <v>46</v>
      </c>
      <c r="AD65" s="212" t="s">
        <v>332</v>
      </c>
      <c r="AE65" s="212" t="s">
        <v>333</v>
      </c>
      <c r="AF65" s="212" t="s">
        <v>334</v>
      </c>
      <c r="AG65" s="212" t="s">
        <v>335</v>
      </c>
      <c r="AH65" s="212" t="s">
        <v>556</v>
      </c>
      <c r="AJ65" s="227">
        <v>0.40833333333333333</v>
      </c>
      <c r="AK65" s="227">
        <v>0</v>
      </c>
      <c r="AL65" s="227">
        <v>0</v>
      </c>
      <c r="AM65" s="227">
        <v>0</v>
      </c>
      <c r="AN65" s="227">
        <v>0.59166666666666667</v>
      </c>
    </row>
    <row r="66" spans="1:40">
      <c r="A66" s="206">
        <f t="shared" si="0"/>
        <v>56</v>
      </c>
      <c r="B66" s="206" t="s">
        <v>113</v>
      </c>
      <c r="D66" s="206">
        <v>43</v>
      </c>
      <c r="E66" s="206" t="s">
        <v>52</v>
      </c>
      <c r="K66" s="212">
        <f>INDEX('DB-function distributions'!C$11:C$65,MATCH($D66,'DB-function distributions'!$B$11:$B$65,0))</f>
        <v>0</v>
      </c>
      <c r="L66" s="212">
        <f>INDEX('DB-function distributions'!D$11:D$65,MATCH($D66,'DB-function distributions'!$B$11:$B$65,0))</f>
        <v>0.31</v>
      </c>
      <c r="M66" s="212">
        <f>INDEX('DB-function distributions'!E$11:E$65,MATCH($D66,'DB-function distributions'!$B$11:$B$65,0))</f>
        <v>0.53</v>
      </c>
      <c r="N66" s="212">
        <f>INDEX('DB-function distributions'!F$11:F$65,MATCH($D66,'DB-function distributions'!$B$11:$B$65,0))</f>
        <v>0</v>
      </c>
      <c r="O66" s="212">
        <f>INDEX('DB-function distributions'!G$11:G$65,MATCH($D66,'DB-function distributions'!$B$11:$B$65,0))</f>
        <v>0</v>
      </c>
      <c r="P66" s="212">
        <f>INDEX('DB-function distributions'!H$11:H$65,MATCH($D66,'DB-function distributions'!$B$11:$B$65,0))</f>
        <v>0</v>
      </c>
      <c r="Q66" s="212">
        <f>INDEX('DB-function distributions'!I$11:I$65,MATCH($D66,'DB-function distributions'!$B$11:$B$65,0))</f>
        <v>0</v>
      </c>
      <c r="R66" s="212">
        <f>INDEX('DB-function distributions'!J$11:J$65,MATCH($D66,'DB-function distributions'!$B$11:$B$65,0))</f>
        <v>0</v>
      </c>
      <c r="S66" s="212">
        <f>INDEX('DB-function distributions'!K$11:K$65,MATCH($D66,'DB-function distributions'!$B$11:$B$65,0))</f>
        <v>0</v>
      </c>
      <c r="T66" s="212">
        <f>INDEX('DB-function distributions'!L$11:L$65,MATCH($D66,'DB-function distributions'!$B$11:$B$65,0))</f>
        <v>0</v>
      </c>
      <c r="U66" s="212">
        <f>INDEX('DB-function distributions'!M$11:M$65,MATCH($D66,'DB-function distributions'!$B$11:$B$65,0))</f>
        <v>0.44</v>
      </c>
      <c r="V66" s="212">
        <f>INDEX('DB-function distributions'!N$11:N$65,MATCH($D66,'DB-function distributions'!$B$11:$B$65,0))</f>
        <v>0</v>
      </c>
      <c r="W66" s="212">
        <f>INDEX('DB-function distributions'!O$11:O$65,MATCH($D66,'DB-function distributions'!$B$11:$B$65,0))</f>
        <v>0</v>
      </c>
      <c r="X66" s="212">
        <f>INDEX('DB-function distributions'!P$11:P$65,MATCH($D66,'DB-function distributions'!$B$11:$B$65,0))</f>
        <v>0</v>
      </c>
      <c r="Y66" s="212">
        <f>INDEX('DB-function distributions'!Q$11:Q$65,MATCH($D66,'DB-function distributions'!$B$11:$B$65,0))</f>
        <v>0.33</v>
      </c>
      <c r="Z66" s="212">
        <f>INDEX('DB-function distributions'!R$11:R$65,MATCH($D66,'DB-function distributions'!$B$11:$B$65,0))</f>
        <v>0</v>
      </c>
      <c r="AC66" s="212" t="s">
        <v>340</v>
      </c>
      <c r="AD66" s="212" t="s">
        <v>332</v>
      </c>
      <c r="AE66" s="212" t="s">
        <v>333</v>
      </c>
      <c r="AF66" s="212" t="s">
        <v>46</v>
      </c>
      <c r="AG66" s="212" t="s">
        <v>335</v>
      </c>
      <c r="AH66" s="212" t="s">
        <v>556</v>
      </c>
      <c r="AJ66" s="227">
        <v>0.27329192546583847</v>
      </c>
      <c r="AK66" s="227">
        <v>0.19254658385093165</v>
      </c>
      <c r="AL66" s="227">
        <v>0.32919254658385094</v>
      </c>
      <c r="AM66" s="227">
        <v>0.20496894409937888</v>
      </c>
      <c r="AN66" s="227">
        <v>0</v>
      </c>
    </row>
    <row r="67" spans="1:40">
      <c r="A67" s="206">
        <f t="shared" si="0"/>
        <v>57</v>
      </c>
      <c r="B67" s="206" t="s">
        <v>114</v>
      </c>
      <c r="D67" s="206">
        <v>36</v>
      </c>
      <c r="E67" s="206" t="s">
        <v>115</v>
      </c>
      <c r="K67" s="212">
        <f>INDEX('DB-function distributions'!C$11:C$65,MATCH($D67,'DB-function distributions'!$B$11:$B$65,0))</f>
        <v>0.11</v>
      </c>
      <c r="L67" s="212">
        <f>INDEX('DB-function distributions'!D$11:D$65,MATCH($D67,'DB-function distributions'!$B$11:$B$65,0))</f>
        <v>0</v>
      </c>
      <c r="M67" s="212">
        <f>INDEX('DB-function distributions'!E$11:E$65,MATCH($D67,'DB-function distributions'!$B$11:$B$65,0))</f>
        <v>0</v>
      </c>
      <c r="N67" s="212">
        <f>INDEX('DB-function distributions'!F$11:F$65,MATCH($D67,'DB-function distributions'!$B$11:$B$65,0))</f>
        <v>0</v>
      </c>
      <c r="O67" s="212">
        <f>INDEX('DB-function distributions'!G$11:G$65,MATCH($D67,'DB-function distributions'!$B$11:$B$65,0))</f>
        <v>0.63</v>
      </c>
      <c r="P67" s="212">
        <f>INDEX('DB-function distributions'!H$11:H$65,MATCH($D67,'DB-function distributions'!$B$11:$B$65,0))</f>
        <v>0</v>
      </c>
      <c r="Q67" s="212">
        <f>INDEX('DB-function distributions'!I$11:I$65,MATCH($D67,'DB-function distributions'!$B$11:$B$65,0))</f>
        <v>0</v>
      </c>
      <c r="R67" s="212">
        <f>INDEX('DB-function distributions'!J$11:J$65,MATCH($D67,'DB-function distributions'!$B$11:$B$65,0))</f>
        <v>0</v>
      </c>
      <c r="S67" s="212">
        <f>INDEX('DB-function distributions'!K$11:K$65,MATCH($D67,'DB-function distributions'!$B$11:$B$65,0))</f>
        <v>0</v>
      </c>
      <c r="T67" s="212">
        <f>INDEX('DB-function distributions'!L$11:L$65,MATCH($D67,'DB-function distributions'!$B$11:$B$65,0))</f>
        <v>0</v>
      </c>
      <c r="U67" s="212">
        <f>INDEX('DB-function distributions'!M$11:M$65,MATCH($D67,'DB-function distributions'!$B$11:$B$65,0))</f>
        <v>0</v>
      </c>
      <c r="V67" s="212">
        <f>INDEX('DB-function distributions'!N$11:N$65,MATCH($D67,'DB-function distributions'!$B$11:$B$65,0))</f>
        <v>0</v>
      </c>
      <c r="W67" s="212">
        <f>INDEX('DB-function distributions'!O$11:O$65,MATCH($D67,'DB-function distributions'!$B$11:$B$65,0))</f>
        <v>0</v>
      </c>
      <c r="X67" s="212">
        <f>INDEX('DB-function distributions'!P$11:P$65,MATCH($D67,'DB-function distributions'!$B$11:$B$65,0))</f>
        <v>0</v>
      </c>
      <c r="Y67" s="212">
        <f>INDEX('DB-function distributions'!Q$11:Q$65,MATCH($D67,'DB-function distributions'!$B$11:$B$65,0))</f>
        <v>0.24</v>
      </c>
      <c r="Z67" s="212">
        <f>INDEX('DB-function distributions'!R$11:R$65,MATCH($D67,'DB-function distributions'!$B$11:$B$65,0))</f>
        <v>0</v>
      </c>
      <c r="AC67" s="212" t="s">
        <v>331</v>
      </c>
      <c r="AD67" s="212" t="s">
        <v>46</v>
      </c>
      <c r="AE67" s="212" t="s">
        <v>333</v>
      </c>
      <c r="AF67" s="212" t="s">
        <v>334</v>
      </c>
      <c r="AG67" s="212" t="s">
        <v>335</v>
      </c>
      <c r="AH67" s="212" t="s">
        <v>556</v>
      </c>
      <c r="AJ67" s="227">
        <v>0.11224489795918367</v>
      </c>
      <c r="AK67" s="227">
        <v>0.24489795918367346</v>
      </c>
      <c r="AL67" s="227">
        <v>0</v>
      </c>
      <c r="AM67" s="227">
        <v>0</v>
      </c>
      <c r="AN67" s="227">
        <v>0.6428571428571429</v>
      </c>
    </row>
    <row r="68" spans="1:40">
      <c r="A68" s="206">
        <f t="shared" si="0"/>
        <v>58</v>
      </c>
      <c r="B68" s="206" t="s">
        <v>196</v>
      </c>
      <c r="D68" s="206">
        <v>10</v>
      </c>
      <c r="E68" s="206" t="s">
        <v>163</v>
      </c>
      <c r="K68" s="212">
        <f>INDEX('DB-function distributions'!C$11:C$65,MATCH($D68,'DB-function distributions'!$B$11:$B$65,0))</f>
        <v>0.15</v>
      </c>
      <c r="L68" s="212">
        <f>INDEX('DB-function distributions'!D$11:D$65,MATCH($D68,'DB-function distributions'!$B$11:$B$65,0))</f>
        <v>0</v>
      </c>
      <c r="M68" s="212">
        <f>INDEX('DB-function distributions'!E$11:E$65,MATCH($D68,'DB-function distributions'!$B$11:$B$65,0))</f>
        <v>0</v>
      </c>
      <c r="N68" s="212">
        <f>INDEX('DB-function distributions'!F$11:F$65,MATCH($D68,'DB-function distributions'!$B$11:$B$65,0))</f>
        <v>0.06</v>
      </c>
      <c r="O68" s="212">
        <f>INDEX('DB-function distributions'!G$11:G$65,MATCH($D68,'DB-function distributions'!$B$11:$B$65,0))</f>
        <v>0.15</v>
      </c>
      <c r="P68" s="212">
        <f>INDEX('DB-function distributions'!H$11:H$65,MATCH($D68,'DB-function distributions'!$B$11:$B$65,0))</f>
        <v>0</v>
      </c>
      <c r="Q68" s="212">
        <f>INDEX('DB-function distributions'!I$11:I$65,MATCH($D68,'DB-function distributions'!$B$11:$B$65,0))</f>
        <v>7.0000000000000007E-2</v>
      </c>
      <c r="R68" s="212">
        <f>INDEX('DB-function distributions'!J$11:J$65,MATCH($D68,'DB-function distributions'!$B$11:$B$65,0))</f>
        <v>0</v>
      </c>
      <c r="S68" s="212">
        <f>INDEX('DB-function distributions'!K$11:K$65,MATCH($D68,'DB-function distributions'!$B$11:$B$65,0))</f>
        <v>0.1</v>
      </c>
      <c r="T68" s="212">
        <f>INDEX('DB-function distributions'!L$11:L$65,MATCH($D68,'DB-function distributions'!$B$11:$B$65,0))</f>
        <v>0.06</v>
      </c>
      <c r="U68" s="212">
        <f>INDEX('DB-function distributions'!M$11:M$65,MATCH($D68,'DB-function distributions'!$B$11:$B$65,0))</f>
        <v>0.3</v>
      </c>
      <c r="V68" s="212">
        <f>INDEX('DB-function distributions'!N$11:N$65,MATCH($D68,'DB-function distributions'!$B$11:$B$65,0))</f>
        <v>0.16</v>
      </c>
      <c r="W68" s="212">
        <f>INDEX('DB-function distributions'!O$11:O$65,MATCH($D68,'DB-function distributions'!$B$11:$B$65,0))</f>
        <v>0.34</v>
      </c>
      <c r="X68" s="212">
        <f>INDEX('DB-function distributions'!P$11:P$65,MATCH($D68,'DB-function distributions'!$B$11:$B$65,0))</f>
        <v>0.4</v>
      </c>
      <c r="Y68" s="212">
        <f>INDEX('DB-function distributions'!Q$11:Q$65,MATCH($D68,'DB-function distributions'!$B$11:$B$65,0))</f>
        <v>0.28999999999999998</v>
      </c>
      <c r="Z68" s="212">
        <f>INDEX('DB-function distributions'!R$11:R$65,MATCH($D68,'DB-function distributions'!$B$11:$B$65,0))</f>
        <v>0</v>
      </c>
      <c r="AC68" s="212" t="s">
        <v>343</v>
      </c>
      <c r="AD68" s="212" t="s">
        <v>341</v>
      </c>
      <c r="AE68" s="212" t="s">
        <v>342</v>
      </c>
      <c r="AF68" s="212" t="s">
        <v>340</v>
      </c>
      <c r="AG68" s="212" t="s">
        <v>46</v>
      </c>
      <c r="AH68" s="212" t="s">
        <v>556</v>
      </c>
      <c r="AJ68" s="227">
        <v>0.26845637583892618</v>
      </c>
      <c r="AK68" s="227">
        <v>0.10738255033557045</v>
      </c>
      <c r="AL68" s="227">
        <v>0.22818791946308722</v>
      </c>
      <c r="AM68" s="227">
        <v>0.20134228187919459</v>
      </c>
      <c r="AN68" s="227">
        <v>0.19463087248322145</v>
      </c>
    </row>
    <row r="69" spans="1:40">
      <c r="A69" s="206">
        <f t="shared" si="0"/>
        <v>59</v>
      </c>
      <c r="B69" s="206" t="s">
        <v>116</v>
      </c>
      <c r="C69" s="206" t="s">
        <v>549</v>
      </c>
      <c r="D69" s="206">
        <v>15</v>
      </c>
      <c r="E69" s="206" t="s">
        <v>172</v>
      </c>
      <c r="K69" s="212">
        <f>INDEX('DB-function distributions'!C$11:C$65,MATCH($D69,'DB-function distributions'!$B$11:$B$65,0))</f>
        <v>0</v>
      </c>
      <c r="L69" s="212">
        <f>INDEX('DB-function distributions'!D$11:D$65,MATCH($D69,'DB-function distributions'!$B$11:$B$65,0))</f>
        <v>0</v>
      </c>
      <c r="M69" s="212">
        <f>INDEX('DB-function distributions'!E$11:E$65,MATCH($D69,'DB-function distributions'!$B$11:$B$65,0))</f>
        <v>0</v>
      </c>
      <c r="N69" s="212">
        <f>INDEX('DB-function distributions'!F$11:F$65,MATCH($D69,'DB-function distributions'!$B$11:$B$65,0))</f>
        <v>0</v>
      </c>
      <c r="O69" s="212">
        <f>INDEX('DB-function distributions'!G$11:G$65,MATCH($D69,'DB-function distributions'!$B$11:$B$65,0))</f>
        <v>1.42</v>
      </c>
      <c r="P69" s="212">
        <f>INDEX('DB-function distributions'!H$11:H$65,MATCH($D69,'DB-function distributions'!$B$11:$B$65,0))</f>
        <v>0</v>
      </c>
      <c r="Q69" s="212">
        <f>INDEX('DB-function distributions'!I$11:I$65,MATCH($D69,'DB-function distributions'!$B$11:$B$65,0))</f>
        <v>0</v>
      </c>
      <c r="R69" s="212">
        <f>INDEX('DB-function distributions'!J$11:J$65,MATCH($D69,'DB-function distributions'!$B$11:$B$65,0))</f>
        <v>0</v>
      </c>
      <c r="S69" s="212">
        <f>INDEX('DB-function distributions'!K$11:K$65,MATCH($D69,'DB-function distributions'!$B$11:$B$65,0))</f>
        <v>0</v>
      </c>
      <c r="T69" s="212">
        <f>INDEX('DB-function distributions'!L$11:L$65,MATCH($D69,'DB-function distributions'!$B$11:$B$65,0))</f>
        <v>0</v>
      </c>
      <c r="U69" s="212">
        <f>INDEX('DB-function distributions'!M$11:M$65,MATCH($D69,'DB-function distributions'!$B$11:$B$65,0))</f>
        <v>0</v>
      </c>
      <c r="V69" s="212">
        <f>INDEX('DB-function distributions'!N$11:N$65,MATCH($D69,'DB-function distributions'!$B$11:$B$65,0))</f>
        <v>0</v>
      </c>
      <c r="W69" s="212">
        <f>INDEX('DB-function distributions'!O$11:O$65,MATCH($D69,'DB-function distributions'!$B$11:$B$65,0))</f>
        <v>0</v>
      </c>
      <c r="X69" s="212">
        <f>INDEX('DB-function distributions'!P$11:P$65,MATCH($D69,'DB-function distributions'!$B$11:$B$65,0))</f>
        <v>0</v>
      </c>
      <c r="Y69" s="212">
        <f>INDEX('DB-function distributions'!Q$11:Q$65,MATCH($D69,'DB-function distributions'!$B$11:$B$65,0))</f>
        <v>0.98</v>
      </c>
      <c r="Z69" s="212">
        <f>INDEX('DB-function distributions'!R$11:R$65,MATCH($D69,'DB-function distributions'!$B$11:$B$65,0))</f>
        <v>0</v>
      </c>
      <c r="AC69" s="212" t="s">
        <v>46</v>
      </c>
      <c r="AD69" s="212" t="s">
        <v>332</v>
      </c>
      <c r="AE69" s="212" t="s">
        <v>333</v>
      </c>
      <c r="AF69" s="212" t="s">
        <v>334</v>
      </c>
      <c r="AG69" s="212" t="s">
        <v>335</v>
      </c>
      <c r="AH69" s="212" t="s">
        <v>556</v>
      </c>
      <c r="AJ69" s="227">
        <v>0.40833333333333333</v>
      </c>
      <c r="AK69" s="227">
        <v>0</v>
      </c>
      <c r="AL69" s="227">
        <v>0</v>
      </c>
      <c r="AM69" s="227">
        <v>0</v>
      </c>
      <c r="AN69" s="227">
        <v>0.59166666666666667</v>
      </c>
    </row>
    <row r="70" spans="1:40">
      <c r="A70" s="206">
        <f t="shared" si="0"/>
        <v>60</v>
      </c>
      <c r="B70" s="206" t="s">
        <v>117</v>
      </c>
      <c r="D70" s="206">
        <v>37</v>
      </c>
      <c r="E70" s="206" t="s">
        <v>118</v>
      </c>
      <c r="K70" s="212">
        <f>INDEX('DB-function distributions'!C$11:C$65,MATCH($D70,'DB-function distributions'!$B$11:$B$65,0))</f>
        <v>0</v>
      </c>
      <c r="L70" s="212">
        <f>INDEX('DB-function distributions'!D$11:D$65,MATCH($D70,'DB-function distributions'!$B$11:$B$65,0))</f>
        <v>0.06</v>
      </c>
      <c r="M70" s="212">
        <f>INDEX('DB-function distributions'!E$11:E$65,MATCH($D70,'DB-function distributions'!$B$11:$B$65,0))</f>
        <v>0.09</v>
      </c>
      <c r="N70" s="212">
        <f>INDEX('DB-function distributions'!F$11:F$65,MATCH($D70,'DB-function distributions'!$B$11:$B$65,0))</f>
        <v>0</v>
      </c>
      <c r="O70" s="212">
        <f>INDEX('DB-function distributions'!G$11:G$65,MATCH($D70,'DB-function distributions'!$B$11:$B$65,0))</f>
        <v>0</v>
      </c>
      <c r="P70" s="212">
        <f>INDEX('DB-function distributions'!H$11:H$65,MATCH($D70,'DB-function distributions'!$B$11:$B$65,0))</f>
        <v>0</v>
      </c>
      <c r="Q70" s="212">
        <f>INDEX('DB-function distributions'!I$11:I$65,MATCH($D70,'DB-function distributions'!$B$11:$B$65,0))</f>
        <v>0</v>
      </c>
      <c r="R70" s="212">
        <f>INDEX('DB-function distributions'!J$11:J$65,MATCH($D70,'DB-function distributions'!$B$11:$B$65,0))</f>
        <v>0</v>
      </c>
      <c r="S70" s="212">
        <f>INDEX('DB-function distributions'!K$11:K$65,MATCH($D70,'DB-function distributions'!$B$11:$B$65,0))</f>
        <v>0</v>
      </c>
      <c r="T70" s="212">
        <f>INDEX('DB-function distributions'!L$11:L$65,MATCH($D70,'DB-function distributions'!$B$11:$B$65,0))</f>
        <v>0</v>
      </c>
      <c r="U70" s="212">
        <f>INDEX('DB-function distributions'!M$11:M$65,MATCH($D70,'DB-function distributions'!$B$11:$B$65,0))</f>
        <v>0</v>
      </c>
      <c r="V70" s="212">
        <f>INDEX('DB-function distributions'!N$11:N$65,MATCH($D70,'DB-function distributions'!$B$11:$B$65,0))</f>
        <v>0</v>
      </c>
      <c r="W70" s="212">
        <f>INDEX('DB-function distributions'!O$11:O$65,MATCH($D70,'DB-function distributions'!$B$11:$B$65,0))</f>
        <v>0</v>
      </c>
      <c r="X70" s="212">
        <f>INDEX('DB-function distributions'!P$11:P$65,MATCH($D70,'DB-function distributions'!$B$11:$B$65,0))</f>
        <v>0.04</v>
      </c>
      <c r="Y70" s="212">
        <f>INDEX('DB-function distributions'!Q$11:Q$65,MATCH($D70,'DB-function distributions'!$B$11:$B$65,0))</f>
        <v>7.0000000000000007E-2</v>
      </c>
      <c r="Z70" s="212">
        <f>INDEX('DB-function distributions'!R$11:R$65,MATCH($D70,'DB-function distributions'!$B$11:$B$65,0))</f>
        <v>0</v>
      </c>
      <c r="AC70" s="212" t="s">
        <v>343</v>
      </c>
      <c r="AD70" s="212" t="s">
        <v>332</v>
      </c>
      <c r="AE70" s="212" t="s">
        <v>333</v>
      </c>
      <c r="AF70" s="212" t="s">
        <v>46</v>
      </c>
      <c r="AG70" s="212" t="s">
        <v>335</v>
      </c>
      <c r="AH70" s="212" t="s">
        <v>556</v>
      </c>
      <c r="AJ70" s="227">
        <v>0.15384615384615385</v>
      </c>
      <c r="AK70" s="227">
        <v>0.23076923076923075</v>
      </c>
      <c r="AL70" s="227">
        <v>0.34615384615384615</v>
      </c>
      <c r="AM70" s="227">
        <v>0.26923076923076927</v>
      </c>
      <c r="AN70" s="227">
        <v>0</v>
      </c>
    </row>
    <row r="71" spans="1:40">
      <c r="A71" s="206">
        <f t="shared" si="0"/>
        <v>61</v>
      </c>
      <c r="B71" s="206" t="s">
        <v>119</v>
      </c>
      <c r="D71" s="206">
        <v>40</v>
      </c>
      <c r="E71" s="206" t="s">
        <v>69</v>
      </c>
      <c r="K71" s="212">
        <f>INDEX('DB-function distributions'!C$11:C$65,MATCH($D71,'DB-function distributions'!$B$11:$B$65,0))</f>
        <v>0</v>
      </c>
      <c r="L71" s="212">
        <f>INDEX('DB-function distributions'!D$11:D$65,MATCH($D71,'DB-function distributions'!$B$11:$B$65,0))</f>
        <v>0.22</v>
      </c>
      <c r="M71" s="212">
        <f>INDEX('DB-function distributions'!E$11:E$65,MATCH($D71,'DB-function distributions'!$B$11:$B$65,0))</f>
        <v>0.25</v>
      </c>
      <c r="N71" s="212">
        <f>INDEX('DB-function distributions'!F$11:F$65,MATCH($D71,'DB-function distributions'!$B$11:$B$65,0))</f>
        <v>0</v>
      </c>
      <c r="O71" s="212">
        <f>INDEX('DB-function distributions'!G$11:G$65,MATCH($D71,'DB-function distributions'!$B$11:$B$65,0))</f>
        <v>0</v>
      </c>
      <c r="P71" s="212">
        <f>INDEX('DB-function distributions'!H$11:H$65,MATCH($D71,'DB-function distributions'!$B$11:$B$65,0))</f>
        <v>0</v>
      </c>
      <c r="Q71" s="212">
        <f>INDEX('DB-function distributions'!I$11:I$65,MATCH($D71,'DB-function distributions'!$B$11:$B$65,0))</f>
        <v>0</v>
      </c>
      <c r="R71" s="212">
        <f>INDEX('DB-function distributions'!J$11:J$65,MATCH($D71,'DB-function distributions'!$B$11:$B$65,0))</f>
        <v>0</v>
      </c>
      <c r="S71" s="212">
        <f>INDEX('DB-function distributions'!K$11:K$65,MATCH($D71,'DB-function distributions'!$B$11:$B$65,0))</f>
        <v>0</v>
      </c>
      <c r="T71" s="212">
        <f>INDEX('DB-function distributions'!L$11:L$65,MATCH($D71,'DB-function distributions'!$B$11:$B$65,0))</f>
        <v>0</v>
      </c>
      <c r="U71" s="212">
        <f>INDEX('DB-function distributions'!M$11:M$65,MATCH($D71,'DB-function distributions'!$B$11:$B$65,0))</f>
        <v>0</v>
      </c>
      <c r="V71" s="212">
        <f>INDEX('DB-function distributions'!N$11:N$65,MATCH($D71,'DB-function distributions'!$B$11:$B$65,0))</f>
        <v>0</v>
      </c>
      <c r="W71" s="212">
        <f>INDEX('DB-function distributions'!O$11:O$65,MATCH($D71,'DB-function distributions'!$B$11:$B$65,0))</f>
        <v>0</v>
      </c>
      <c r="X71" s="212">
        <f>INDEX('DB-function distributions'!P$11:P$65,MATCH($D71,'DB-function distributions'!$B$11:$B$65,0))</f>
        <v>0</v>
      </c>
      <c r="Y71" s="212">
        <f>INDEX('DB-function distributions'!Q$11:Q$65,MATCH($D71,'DB-function distributions'!$B$11:$B$65,0))</f>
        <v>0.23</v>
      </c>
      <c r="Z71" s="212">
        <f>INDEX('DB-function distributions'!R$11:R$65,MATCH($D71,'DB-function distributions'!$B$11:$B$65,0))</f>
        <v>0</v>
      </c>
      <c r="AC71" s="212" t="s">
        <v>46</v>
      </c>
      <c r="AD71" s="212" t="s">
        <v>332</v>
      </c>
      <c r="AE71" s="212" t="s">
        <v>333</v>
      </c>
      <c r="AF71" s="212" t="s">
        <v>334</v>
      </c>
      <c r="AG71" s="212" t="s">
        <v>335</v>
      </c>
      <c r="AH71" s="212" t="s">
        <v>556</v>
      </c>
      <c r="AJ71" s="227">
        <v>0.32857142857142863</v>
      </c>
      <c r="AK71" s="227">
        <v>0.31428571428571433</v>
      </c>
      <c r="AL71" s="227">
        <v>0.35714285714285715</v>
      </c>
      <c r="AM71" s="227">
        <v>0</v>
      </c>
      <c r="AN71" s="227">
        <v>0</v>
      </c>
    </row>
    <row r="72" spans="1:40">
      <c r="A72" s="206">
        <f t="shared" si="0"/>
        <v>62</v>
      </c>
      <c r="B72" s="206" t="s">
        <v>120</v>
      </c>
      <c r="D72" s="206">
        <v>42</v>
      </c>
      <c r="E72" s="206" t="s">
        <v>121</v>
      </c>
      <c r="K72" s="212">
        <f>INDEX('DB-function distributions'!C$11:C$65,MATCH($D72,'DB-function distributions'!$B$11:$B$65,0))</f>
        <v>0</v>
      </c>
      <c r="L72" s="212">
        <f>INDEX('DB-function distributions'!D$11:D$65,MATCH($D72,'DB-function distributions'!$B$11:$B$65,0))</f>
        <v>0</v>
      </c>
      <c r="M72" s="212">
        <f>INDEX('DB-function distributions'!E$11:E$65,MATCH($D72,'DB-function distributions'!$B$11:$B$65,0))</f>
        <v>0</v>
      </c>
      <c r="N72" s="212">
        <f>INDEX('DB-function distributions'!F$11:F$65,MATCH($D72,'DB-function distributions'!$B$11:$B$65,0))</f>
        <v>0.09</v>
      </c>
      <c r="O72" s="212">
        <f>INDEX('DB-function distributions'!G$11:G$65,MATCH($D72,'DB-function distributions'!$B$11:$B$65,0))</f>
        <v>0</v>
      </c>
      <c r="P72" s="212">
        <f>INDEX('DB-function distributions'!H$11:H$65,MATCH($D72,'DB-function distributions'!$B$11:$B$65,0))</f>
        <v>0</v>
      </c>
      <c r="Q72" s="212">
        <f>INDEX('DB-function distributions'!I$11:I$65,MATCH($D72,'DB-function distributions'!$B$11:$B$65,0))</f>
        <v>0</v>
      </c>
      <c r="R72" s="212">
        <f>INDEX('DB-function distributions'!J$11:J$65,MATCH($D72,'DB-function distributions'!$B$11:$B$65,0))</f>
        <v>0</v>
      </c>
      <c r="S72" s="212">
        <f>INDEX('DB-function distributions'!K$11:K$65,MATCH($D72,'DB-function distributions'!$B$11:$B$65,0))</f>
        <v>0</v>
      </c>
      <c r="T72" s="212">
        <f>INDEX('DB-function distributions'!L$11:L$65,MATCH($D72,'DB-function distributions'!$B$11:$B$65,0))</f>
        <v>0.25</v>
      </c>
      <c r="U72" s="212">
        <f>INDEX('DB-function distributions'!M$11:M$65,MATCH($D72,'DB-function distributions'!$B$11:$B$65,0))</f>
        <v>0</v>
      </c>
      <c r="V72" s="212">
        <f>INDEX('DB-function distributions'!N$11:N$65,MATCH($D72,'DB-function distributions'!$B$11:$B$65,0))</f>
        <v>0</v>
      </c>
      <c r="W72" s="212">
        <f>INDEX('DB-function distributions'!O$11:O$65,MATCH($D72,'DB-function distributions'!$B$11:$B$65,0))</f>
        <v>0</v>
      </c>
      <c r="X72" s="212">
        <f>INDEX('DB-function distributions'!P$11:P$65,MATCH($D72,'DB-function distributions'!$B$11:$B$65,0))</f>
        <v>0</v>
      </c>
      <c r="Y72" s="212">
        <f>INDEX('DB-function distributions'!Q$11:Q$65,MATCH($D72,'DB-function distributions'!$B$11:$B$65,0))</f>
        <v>0.21</v>
      </c>
      <c r="Z72" s="212">
        <f>INDEX('DB-function distributions'!R$11:R$65,MATCH($D72,'DB-function distributions'!$B$11:$B$65,0))</f>
        <v>0</v>
      </c>
      <c r="AC72" s="212" t="s">
        <v>339</v>
      </c>
      <c r="AD72" s="212" t="s">
        <v>46</v>
      </c>
      <c r="AE72" s="212" t="s">
        <v>333</v>
      </c>
      <c r="AF72" s="212" t="s">
        <v>334</v>
      </c>
      <c r="AG72" s="212" t="s">
        <v>335</v>
      </c>
      <c r="AH72" s="212" t="s">
        <v>556</v>
      </c>
      <c r="AJ72" s="227">
        <v>0.45454545454545459</v>
      </c>
      <c r="AK72" s="227">
        <v>0.38181818181818183</v>
      </c>
      <c r="AL72" s="227">
        <v>0</v>
      </c>
      <c r="AM72" s="227">
        <v>0.16363636363636366</v>
      </c>
      <c r="AN72" s="227">
        <v>0</v>
      </c>
    </row>
    <row r="73" spans="1:40">
      <c r="A73" s="206">
        <f t="shared" si="0"/>
        <v>63</v>
      </c>
      <c r="B73" s="206" t="s">
        <v>185</v>
      </c>
      <c r="C73" s="206" t="s">
        <v>548</v>
      </c>
      <c r="D73" s="206">
        <v>22</v>
      </c>
      <c r="E73" s="206" t="s">
        <v>92</v>
      </c>
      <c r="K73" s="212">
        <f>INDEX('DB-function distributions'!C$11:C$65,MATCH($D73,'DB-function distributions'!$B$11:$B$65,0))</f>
        <v>0</v>
      </c>
      <c r="L73" s="212">
        <f>INDEX('DB-function distributions'!D$11:D$65,MATCH($D73,'DB-function distributions'!$B$11:$B$65,0))</f>
        <v>0</v>
      </c>
      <c r="M73" s="212">
        <f>INDEX('DB-function distributions'!E$11:E$65,MATCH($D73,'DB-function distributions'!$B$11:$B$65,0))</f>
        <v>0</v>
      </c>
      <c r="N73" s="212">
        <f>INDEX('DB-function distributions'!F$11:F$65,MATCH($D73,'DB-function distributions'!$B$11:$B$65,0))</f>
        <v>0.02</v>
      </c>
      <c r="O73" s="212">
        <f>INDEX('DB-function distributions'!G$11:G$65,MATCH($D73,'DB-function distributions'!$B$11:$B$65,0))</f>
        <v>0</v>
      </c>
      <c r="P73" s="212">
        <f>INDEX('DB-function distributions'!H$11:H$65,MATCH($D73,'DB-function distributions'!$B$11:$B$65,0))</f>
        <v>0</v>
      </c>
      <c r="Q73" s="212">
        <f>INDEX('DB-function distributions'!I$11:I$65,MATCH($D73,'DB-function distributions'!$B$11:$B$65,0))</f>
        <v>0</v>
      </c>
      <c r="R73" s="212">
        <f>INDEX('DB-function distributions'!J$11:J$65,MATCH($D73,'DB-function distributions'!$B$11:$B$65,0))</f>
        <v>0</v>
      </c>
      <c r="S73" s="212">
        <f>INDEX('DB-function distributions'!K$11:K$65,MATCH($D73,'DB-function distributions'!$B$11:$B$65,0))</f>
        <v>0</v>
      </c>
      <c r="T73" s="212">
        <f>INDEX('DB-function distributions'!L$11:L$65,MATCH($D73,'DB-function distributions'!$B$11:$B$65,0))</f>
        <v>0</v>
      </c>
      <c r="U73" s="212">
        <f>INDEX('DB-function distributions'!M$11:M$65,MATCH($D73,'DB-function distributions'!$B$11:$B$65,0))</f>
        <v>0.22</v>
      </c>
      <c r="V73" s="212">
        <f>INDEX('DB-function distributions'!N$11:N$65,MATCH($D73,'DB-function distributions'!$B$11:$B$65,0))</f>
        <v>0</v>
      </c>
      <c r="W73" s="212">
        <f>INDEX('DB-function distributions'!O$11:O$65,MATCH($D73,'DB-function distributions'!$B$11:$B$65,0))</f>
        <v>0.11</v>
      </c>
      <c r="X73" s="212">
        <f>INDEX('DB-function distributions'!P$11:P$65,MATCH($D73,'DB-function distributions'!$B$11:$B$65,0))</f>
        <v>0</v>
      </c>
      <c r="Y73" s="212">
        <f>INDEX('DB-function distributions'!Q$11:Q$65,MATCH($D73,'DB-function distributions'!$B$11:$B$65,0))</f>
        <v>0.19</v>
      </c>
      <c r="Z73" s="212">
        <f>INDEX('DB-function distributions'!R$11:R$65,MATCH($D73,'DB-function distributions'!$B$11:$B$65,0))</f>
        <v>0</v>
      </c>
      <c r="AC73" s="212" t="s">
        <v>340</v>
      </c>
      <c r="AD73" s="212" t="s">
        <v>342</v>
      </c>
      <c r="AE73" s="212" t="s">
        <v>46</v>
      </c>
      <c r="AF73" s="212" t="s">
        <v>334</v>
      </c>
      <c r="AG73" s="212" t="s">
        <v>335</v>
      </c>
      <c r="AH73" s="212" t="s">
        <v>556</v>
      </c>
      <c r="AJ73" s="227">
        <v>0.40740740740740738</v>
      </c>
      <c r="AK73" s="227">
        <v>0.20370370370370369</v>
      </c>
      <c r="AL73" s="227">
        <v>0.35185185185185186</v>
      </c>
      <c r="AM73" s="227">
        <v>3.7037037037037035E-2</v>
      </c>
      <c r="AN73" s="227">
        <v>0</v>
      </c>
    </row>
    <row r="74" spans="1:40">
      <c r="A74" s="206">
        <f t="shared" ref="A74:A97" si="1">ROW(A74)-ROW($A$10)</f>
        <v>64</v>
      </c>
      <c r="B74" s="206" t="s">
        <v>122</v>
      </c>
      <c r="D74" s="206">
        <v>39</v>
      </c>
      <c r="E74" s="206" t="s">
        <v>164</v>
      </c>
      <c r="K74" s="212">
        <f>INDEX('DB-function distributions'!C$11:C$65,MATCH($D74,'DB-function distributions'!$B$11:$B$65,0))</f>
        <v>0.13</v>
      </c>
      <c r="L74" s="212">
        <f>INDEX('DB-function distributions'!D$11:D$65,MATCH($D74,'DB-function distributions'!$B$11:$B$65,0))</f>
        <v>0</v>
      </c>
      <c r="M74" s="212">
        <f>INDEX('DB-function distributions'!E$11:E$65,MATCH($D74,'DB-function distributions'!$B$11:$B$65,0))</f>
        <v>0</v>
      </c>
      <c r="N74" s="212">
        <f>INDEX('DB-function distributions'!F$11:F$65,MATCH($D74,'DB-function distributions'!$B$11:$B$65,0))</f>
        <v>0</v>
      </c>
      <c r="O74" s="212">
        <f>INDEX('DB-function distributions'!G$11:G$65,MATCH($D74,'DB-function distributions'!$B$11:$B$65,0))</f>
        <v>0.15</v>
      </c>
      <c r="P74" s="212">
        <f>INDEX('DB-function distributions'!H$11:H$65,MATCH($D74,'DB-function distributions'!$B$11:$B$65,0))</f>
        <v>0.11</v>
      </c>
      <c r="Q74" s="212">
        <f>INDEX('DB-function distributions'!I$11:I$65,MATCH($D74,'DB-function distributions'!$B$11:$B$65,0))</f>
        <v>0.06</v>
      </c>
      <c r="R74" s="212">
        <f>INDEX('DB-function distributions'!J$11:J$65,MATCH($D74,'DB-function distributions'!$B$11:$B$65,0))</f>
        <v>0.05</v>
      </c>
      <c r="S74" s="212">
        <f>INDEX('DB-function distributions'!K$11:K$65,MATCH($D74,'DB-function distributions'!$B$11:$B$65,0))</f>
        <v>0</v>
      </c>
      <c r="T74" s="212">
        <f>INDEX('DB-function distributions'!L$11:L$65,MATCH($D74,'DB-function distributions'!$B$11:$B$65,0))</f>
        <v>0</v>
      </c>
      <c r="U74" s="212">
        <f>INDEX('DB-function distributions'!M$11:M$65,MATCH($D74,'DB-function distributions'!$B$11:$B$65,0))</f>
        <v>0</v>
      </c>
      <c r="V74" s="212">
        <f>INDEX('DB-function distributions'!N$11:N$65,MATCH($D74,'DB-function distributions'!$B$11:$B$65,0))</f>
        <v>7.0000000000000007E-2</v>
      </c>
      <c r="W74" s="212">
        <f>INDEX('DB-function distributions'!O$11:O$65,MATCH($D74,'DB-function distributions'!$B$11:$B$65,0))</f>
        <v>0</v>
      </c>
      <c r="X74" s="212">
        <f>INDEX('DB-function distributions'!P$11:P$65,MATCH($D74,'DB-function distributions'!$B$11:$B$65,0))</f>
        <v>0</v>
      </c>
      <c r="Y74" s="212">
        <f>INDEX('DB-function distributions'!Q$11:Q$65,MATCH($D74,'DB-function distributions'!$B$11:$B$65,0))</f>
        <v>0.16</v>
      </c>
      <c r="Z74" s="212">
        <f>INDEX('DB-function distributions'!R$11:R$65,MATCH($D74,'DB-function distributions'!$B$11:$B$65,0))</f>
        <v>0</v>
      </c>
      <c r="AC74" s="212" t="s">
        <v>331</v>
      </c>
      <c r="AD74" s="212" t="s">
        <v>336</v>
      </c>
      <c r="AE74" s="212" t="s">
        <v>46</v>
      </c>
      <c r="AF74" s="212" t="s">
        <v>341</v>
      </c>
      <c r="AG74" s="212" t="s">
        <v>335</v>
      </c>
      <c r="AH74" s="212" t="s">
        <v>556</v>
      </c>
      <c r="AJ74" s="227">
        <v>0.20967741935483872</v>
      </c>
      <c r="AK74" s="227">
        <v>0.17741935483870969</v>
      </c>
      <c r="AL74" s="227">
        <v>0.25806451612903225</v>
      </c>
      <c r="AM74" s="227">
        <v>0.11290322580645162</v>
      </c>
      <c r="AN74" s="227">
        <v>0.24193548387096772</v>
      </c>
    </row>
    <row r="75" spans="1:40">
      <c r="A75" s="206">
        <f t="shared" si="1"/>
        <v>65</v>
      </c>
      <c r="B75" s="206" t="s">
        <v>123</v>
      </c>
      <c r="C75" s="206" t="s">
        <v>546</v>
      </c>
      <c r="D75" s="206">
        <v>43</v>
      </c>
      <c r="E75" s="206" t="s">
        <v>52</v>
      </c>
      <c r="K75" s="212">
        <f>INDEX('DB-function distributions'!C$11:C$65,MATCH($D75,'DB-function distributions'!$B$11:$B$65,0))</f>
        <v>0</v>
      </c>
      <c r="L75" s="212">
        <f>INDEX('DB-function distributions'!D$11:D$65,MATCH($D75,'DB-function distributions'!$B$11:$B$65,0))</f>
        <v>0.31</v>
      </c>
      <c r="M75" s="212">
        <f>INDEX('DB-function distributions'!E$11:E$65,MATCH($D75,'DB-function distributions'!$B$11:$B$65,0))</f>
        <v>0.53</v>
      </c>
      <c r="N75" s="212">
        <f>INDEX('DB-function distributions'!F$11:F$65,MATCH($D75,'DB-function distributions'!$B$11:$B$65,0))</f>
        <v>0</v>
      </c>
      <c r="O75" s="212">
        <f>INDEX('DB-function distributions'!G$11:G$65,MATCH($D75,'DB-function distributions'!$B$11:$B$65,0))</f>
        <v>0</v>
      </c>
      <c r="P75" s="212">
        <f>INDEX('DB-function distributions'!H$11:H$65,MATCH($D75,'DB-function distributions'!$B$11:$B$65,0))</f>
        <v>0</v>
      </c>
      <c r="Q75" s="212">
        <f>INDEX('DB-function distributions'!I$11:I$65,MATCH($D75,'DB-function distributions'!$B$11:$B$65,0))</f>
        <v>0</v>
      </c>
      <c r="R75" s="212">
        <f>INDEX('DB-function distributions'!J$11:J$65,MATCH($D75,'DB-function distributions'!$B$11:$B$65,0))</f>
        <v>0</v>
      </c>
      <c r="S75" s="212">
        <f>INDEX('DB-function distributions'!K$11:K$65,MATCH($D75,'DB-function distributions'!$B$11:$B$65,0))</f>
        <v>0</v>
      </c>
      <c r="T75" s="212">
        <f>INDEX('DB-function distributions'!L$11:L$65,MATCH($D75,'DB-function distributions'!$B$11:$B$65,0))</f>
        <v>0</v>
      </c>
      <c r="U75" s="212">
        <f>INDEX('DB-function distributions'!M$11:M$65,MATCH($D75,'DB-function distributions'!$B$11:$B$65,0))</f>
        <v>0.44</v>
      </c>
      <c r="V75" s="212">
        <f>INDEX('DB-function distributions'!N$11:N$65,MATCH($D75,'DB-function distributions'!$B$11:$B$65,0))</f>
        <v>0</v>
      </c>
      <c r="W75" s="212">
        <f>INDEX('DB-function distributions'!O$11:O$65,MATCH($D75,'DB-function distributions'!$B$11:$B$65,0))</f>
        <v>0</v>
      </c>
      <c r="X75" s="212">
        <f>INDEX('DB-function distributions'!P$11:P$65,MATCH($D75,'DB-function distributions'!$B$11:$B$65,0))</f>
        <v>0</v>
      </c>
      <c r="Y75" s="212">
        <f>INDEX('DB-function distributions'!Q$11:Q$65,MATCH($D75,'DB-function distributions'!$B$11:$B$65,0))</f>
        <v>0.33</v>
      </c>
      <c r="Z75" s="212">
        <f>INDEX('DB-function distributions'!R$11:R$65,MATCH($D75,'DB-function distributions'!$B$11:$B$65,0))</f>
        <v>0</v>
      </c>
      <c r="AC75" s="212" t="s">
        <v>340</v>
      </c>
      <c r="AD75" s="212" t="s">
        <v>332</v>
      </c>
      <c r="AE75" s="212" t="s">
        <v>333</v>
      </c>
      <c r="AF75" s="212" t="s">
        <v>46</v>
      </c>
      <c r="AG75" s="212" t="s">
        <v>335</v>
      </c>
      <c r="AH75" s="212" t="s">
        <v>556</v>
      </c>
      <c r="AJ75" s="227">
        <v>0.27329192546583847</v>
      </c>
      <c r="AK75" s="227">
        <v>0.19254658385093165</v>
      </c>
      <c r="AL75" s="227">
        <v>0.32919254658385094</v>
      </c>
      <c r="AM75" s="227">
        <v>0.20496894409937888</v>
      </c>
      <c r="AN75" s="227">
        <v>0</v>
      </c>
    </row>
    <row r="76" spans="1:40">
      <c r="A76" s="206">
        <f t="shared" si="1"/>
        <v>66</v>
      </c>
      <c r="B76" s="206" t="s">
        <v>166</v>
      </c>
      <c r="D76" s="206">
        <v>3</v>
      </c>
      <c r="E76" s="206" t="s">
        <v>191</v>
      </c>
      <c r="K76" s="212">
        <f>INDEX('DB-function distributions'!C$11:C$65,MATCH($D76,'DB-function distributions'!$B$11:$B$65,0))</f>
        <v>0.04</v>
      </c>
      <c r="L76" s="212">
        <f>INDEX('DB-function distributions'!D$11:D$65,MATCH($D76,'DB-function distributions'!$B$11:$B$65,0))</f>
        <v>0</v>
      </c>
      <c r="M76" s="212">
        <f>INDEX('DB-function distributions'!E$11:E$65,MATCH($D76,'DB-function distributions'!$B$11:$B$65,0))</f>
        <v>0</v>
      </c>
      <c r="N76" s="212">
        <f>INDEX('DB-function distributions'!F$11:F$65,MATCH($D76,'DB-function distributions'!$B$11:$B$65,0))</f>
        <v>0</v>
      </c>
      <c r="O76" s="212">
        <f>INDEX('DB-function distributions'!G$11:G$65,MATCH($D76,'DB-function distributions'!$B$11:$B$65,0))</f>
        <v>0.27</v>
      </c>
      <c r="P76" s="212">
        <f>INDEX('DB-function distributions'!H$11:H$65,MATCH($D76,'DB-function distributions'!$B$11:$B$65,0))</f>
        <v>0</v>
      </c>
      <c r="Q76" s="212">
        <f>INDEX('DB-function distributions'!I$11:I$65,MATCH($D76,'DB-function distributions'!$B$11:$B$65,0))</f>
        <v>0</v>
      </c>
      <c r="R76" s="212">
        <f>INDEX('DB-function distributions'!J$11:J$65,MATCH($D76,'DB-function distributions'!$B$11:$B$65,0))</f>
        <v>0</v>
      </c>
      <c r="S76" s="212">
        <f>INDEX('DB-function distributions'!K$11:K$65,MATCH($D76,'DB-function distributions'!$B$11:$B$65,0))</f>
        <v>0</v>
      </c>
      <c r="T76" s="212">
        <f>INDEX('DB-function distributions'!L$11:L$65,MATCH($D76,'DB-function distributions'!$B$11:$B$65,0))</f>
        <v>0</v>
      </c>
      <c r="U76" s="212">
        <f>INDEX('DB-function distributions'!M$11:M$65,MATCH($D76,'DB-function distributions'!$B$11:$B$65,0))</f>
        <v>0</v>
      </c>
      <c r="V76" s="212">
        <f>INDEX('DB-function distributions'!N$11:N$65,MATCH($D76,'DB-function distributions'!$B$11:$B$65,0))</f>
        <v>0</v>
      </c>
      <c r="W76" s="212">
        <f>INDEX('DB-function distributions'!O$11:O$65,MATCH($D76,'DB-function distributions'!$B$11:$B$65,0))</f>
        <v>0</v>
      </c>
      <c r="X76" s="212">
        <f>INDEX('DB-function distributions'!P$11:P$65,MATCH($D76,'DB-function distributions'!$B$11:$B$65,0))</f>
        <v>7.0000000000000007E-2</v>
      </c>
      <c r="Y76" s="212">
        <f>INDEX('DB-function distributions'!Q$11:Q$65,MATCH($D76,'DB-function distributions'!$B$11:$B$65,0))</f>
        <v>0.25</v>
      </c>
      <c r="Z76" s="212">
        <f>INDEX('DB-function distributions'!R$11:R$65,MATCH($D76,'DB-function distributions'!$B$11:$B$65,0))</f>
        <v>0</v>
      </c>
      <c r="AC76" s="212" t="s">
        <v>331</v>
      </c>
      <c r="AD76" s="212" t="s">
        <v>343</v>
      </c>
      <c r="AE76" s="212" t="s">
        <v>46</v>
      </c>
      <c r="AF76" s="212" t="s">
        <v>334</v>
      </c>
      <c r="AG76" s="212" t="s">
        <v>335</v>
      </c>
      <c r="AH76" s="212" t="s">
        <v>556</v>
      </c>
      <c r="AJ76" s="227">
        <v>6.3492063492063489E-2</v>
      </c>
      <c r="AK76" s="227">
        <v>0.11111111111111112</v>
      </c>
      <c r="AL76" s="227">
        <v>0.3968253968253968</v>
      </c>
      <c r="AM76" s="227">
        <v>0</v>
      </c>
      <c r="AN76" s="227">
        <v>0.4285714285714286</v>
      </c>
    </row>
    <row r="77" spans="1:40">
      <c r="A77" s="206">
        <f t="shared" si="1"/>
        <v>67</v>
      </c>
      <c r="B77" s="206" t="s">
        <v>124</v>
      </c>
      <c r="D77" s="206">
        <v>43</v>
      </c>
      <c r="E77" s="206" t="s">
        <v>52</v>
      </c>
      <c r="K77" s="212">
        <f>INDEX('DB-function distributions'!C$11:C$65,MATCH($D77,'DB-function distributions'!$B$11:$B$65,0))</f>
        <v>0</v>
      </c>
      <c r="L77" s="212">
        <f>INDEX('DB-function distributions'!D$11:D$65,MATCH($D77,'DB-function distributions'!$B$11:$B$65,0))</f>
        <v>0.31</v>
      </c>
      <c r="M77" s="212">
        <f>INDEX('DB-function distributions'!E$11:E$65,MATCH($D77,'DB-function distributions'!$B$11:$B$65,0))</f>
        <v>0.53</v>
      </c>
      <c r="N77" s="212">
        <f>INDEX('DB-function distributions'!F$11:F$65,MATCH($D77,'DB-function distributions'!$B$11:$B$65,0))</f>
        <v>0</v>
      </c>
      <c r="O77" s="212">
        <f>INDEX('DB-function distributions'!G$11:G$65,MATCH($D77,'DB-function distributions'!$B$11:$B$65,0))</f>
        <v>0</v>
      </c>
      <c r="P77" s="212">
        <f>INDEX('DB-function distributions'!H$11:H$65,MATCH($D77,'DB-function distributions'!$B$11:$B$65,0))</f>
        <v>0</v>
      </c>
      <c r="Q77" s="212">
        <f>INDEX('DB-function distributions'!I$11:I$65,MATCH($D77,'DB-function distributions'!$B$11:$B$65,0))</f>
        <v>0</v>
      </c>
      <c r="R77" s="212">
        <f>INDEX('DB-function distributions'!J$11:J$65,MATCH($D77,'DB-function distributions'!$B$11:$B$65,0))</f>
        <v>0</v>
      </c>
      <c r="S77" s="212">
        <f>INDEX('DB-function distributions'!K$11:K$65,MATCH($D77,'DB-function distributions'!$B$11:$B$65,0))</f>
        <v>0</v>
      </c>
      <c r="T77" s="212">
        <f>INDEX('DB-function distributions'!L$11:L$65,MATCH($D77,'DB-function distributions'!$B$11:$B$65,0))</f>
        <v>0</v>
      </c>
      <c r="U77" s="212">
        <f>INDEX('DB-function distributions'!M$11:M$65,MATCH($D77,'DB-function distributions'!$B$11:$B$65,0))</f>
        <v>0.44</v>
      </c>
      <c r="V77" s="212">
        <f>INDEX('DB-function distributions'!N$11:N$65,MATCH($D77,'DB-function distributions'!$B$11:$B$65,0))</f>
        <v>0</v>
      </c>
      <c r="W77" s="212">
        <f>INDEX('DB-function distributions'!O$11:O$65,MATCH($D77,'DB-function distributions'!$B$11:$B$65,0))</f>
        <v>0</v>
      </c>
      <c r="X77" s="212">
        <f>INDEX('DB-function distributions'!P$11:P$65,MATCH($D77,'DB-function distributions'!$B$11:$B$65,0))</f>
        <v>0</v>
      </c>
      <c r="Y77" s="212">
        <f>INDEX('DB-function distributions'!Q$11:Q$65,MATCH($D77,'DB-function distributions'!$B$11:$B$65,0))</f>
        <v>0.33</v>
      </c>
      <c r="Z77" s="212">
        <f>INDEX('DB-function distributions'!R$11:R$65,MATCH($D77,'DB-function distributions'!$B$11:$B$65,0))</f>
        <v>0</v>
      </c>
      <c r="AC77" s="212" t="s">
        <v>340</v>
      </c>
      <c r="AD77" s="212" t="s">
        <v>332</v>
      </c>
      <c r="AE77" s="212" t="s">
        <v>333</v>
      </c>
      <c r="AF77" s="212" t="s">
        <v>46</v>
      </c>
      <c r="AG77" s="212" t="s">
        <v>335</v>
      </c>
      <c r="AH77" s="212" t="s">
        <v>556</v>
      </c>
      <c r="AJ77" s="227">
        <v>0.27329192546583847</v>
      </c>
      <c r="AK77" s="227">
        <v>0.19254658385093165</v>
      </c>
      <c r="AL77" s="227">
        <v>0.32919254658385094</v>
      </c>
      <c r="AM77" s="227">
        <v>0.20496894409937888</v>
      </c>
      <c r="AN77" s="227">
        <v>0</v>
      </c>
    </row>
    <row r="78" spans="1:40">
      <c r="A78" s="206">
        <f t="shared" si="1"/>
        <v>68</v>
      </c>
      <c r="B78" s="206" t="s">
        <v>125</v>
      </c>
      <c r="D78" s="206">
        <v>44</v>
      </c>
      <c r="E78" s="206" t="s">
        <v>59</v>
      </c>
      <c r="K78" s="212">
        <f>INDEX('DB-function distributions'!C$11:C$65,MATCH($D78,'DB-function distributions'!$B$11:$B$65,0))</f>
        <v>0</v>
      </c>
      <c r="L78" s="212">
        <f>INDEX('DB-function distributions'!D$11:D$65,MATCH($D78,'DB-function distributions'!$B$11:$B$65,0))</f>
        <v>0.05</v>
      </c>
      <c r="M78" s="212">
        <f>INDEX('DB-function distributions'!E$11:E$65,MATCH($D78,'DB-function distributions'!$B$11:$B$65,0))</f>
        <v>0.1</v>
      </c>
      <c r="N78" s="212">
        <f>INDEX('DB-function distributions'!F$11:F$65,MATCH($D78,'DB-function distributions'!$B$11:$B$65,0))</f>
        <v>0</v>
      </c>
      <c r="O78" s="212">
        <f>INDEX('DB-function distributions'!G$11:G$65,MATCH($D78,'DB-function distributions'!$B$11:$B$65,0))</f>
        <v>0</v>
      </c>
      <c r="P78" s="212">
        <f>INDEX('DB-function distributions'!H$11:H$65,MATCH($D78,'DB-function distributions'!$B$11:$B$65,0))</f>
        <v>0</v>
      </c>
      <c r="Q78" s="212">
        <f>INDEX('DB-function distributions'!I$11:I$65,MATCH($D78,'DB-function distributions'!$B$11:$B$65,0))</f>
        <v>0</v>
      </c>
      <c r="R78" s="212">
        <f>INDEX('DB-function distributions'!J$11:J$65,MATCH($D78,'DB-function distributions'!$B$11:$B$65,0))</f>
        <v>0</v>
      </c>
      <c r="S78" s="212">
        <f>INDEX('DB-function distributions'!K$11:K$65,MATCH($D78,'DB-function distributions'!$B$11:$B$65,0))</f>
        <v>0</v>
      </c>
      <c r="T78" s="212">
        <f>INDEX('DB-function distributions'!L$11:L$65,MATCH($D78,'DB-function distributions'!$B$11:$B$65,0))</f>
        <v>0</v>
      </c>
      <c r="U78" s="212">
        <f>INDEX('DB-function distributions'!M$11:M$65,MATCH($D78,'DB-function distributions'!$B$11:$B$65,0))</f>
        <v>0</v>
      </c>
      <c r="V78" s="212">
        <f>INDEX('DB-function distributions'!N$11:N$65,MATCH($D78,'DB-function distributions'!$B$11:$B$65,0))</f>
        <v>0</v>
      </c>
      <c r="W78" s="212">
        <f>INDEX('DB-function distributions'!O$11:O$65,MATCH($D78,'DB-function distributions'!$B$11:$B$65,0))</f>
        <v>0</v>
      </c>
      <c r="X78" s="212">
        <f>INDEX('DB-function distributions'!P$11:P$65,MATCH($D78,'DB-function distributions'!$B$11:$B$65,0))</f>
        <v>0</v>
      </c>
      <c r="Y78" s="212">
        <f>INDEX('DB-function distributions'!Q$11:Q$65,MATCH($D78,'DB-function distributions'!$B$11:$B$65,0))</f>
        <v>0.05</v>
      </c>
      <c r="Z78" s="212">
        <f>INDEX('DB-function distributions'!R$11:R$65,MATCH($D78,'DB-function distributions'!$B$11:$B$65,0))</f>
        <v>0</v>
      </c>
      <c r="AC78" s="212" t="s">
        <v>46</v>
      </c>
      <c r="AD78" s="212" t="s">
        <v>332</v>
      </c>
      <c r="AE78" s="212" t="s">
        <v>333</v>
      </c>
      <c r="AF78" s="212" t="s">
        <v>334</v>
      </c>
      <c r="AG78" s="212" t="s">
        <v>335</v>
      </c>
      <c r="AH78" s="212" t="s">
        <v>556</v>
      </c>
      <c r="AJ78" s="227">
        <v>0.25</v>
      </c>
      <c r="AK78" s="227">
        <v>0.25</v>
      </c>
      <c r="AL78" s="227">
        <v>0.5</v>
      </c>
      <c r="AM78" s="227">
        <v>0</v>
      </c>
      <c r="AN78" s="227">
        <v>0</v>
      </c>
    </row>
    <row r="79" spans="1:40">
      <c r="A79" s="206">
        <f t="shared" si="1"/>
        <v>69</v>
      </c>
      <c r="B79" s="206" t="s">
        <v>183</v>
      </c>
      <c r="D79" s="206">
        <v>9</v>
      </c>
      <c r="E79" s="206" t="s">
        <v>126</v>
      </c>
      <c r="K79" s="212">
        <f>INDEX('DB-function distributions'!C$11:C$65,MATCH($D79,'DB-function distributions'!$B$11:$B$65,0))</f>
        <v>0.42</v>
      </c>
      <c r="L79" s="212">
        <f>INDEX('DB-function distributions'!D$11:D$65,MATCH($D79,'DB-function distributions'!$B$11:$B$65,0))</f>
        <v>0</v>
      </c>
      <c r="M79" s="212">
        <f>INDEX('DB-function distributions'!E$11:E$65,MATCH($D79,'DB-function distributions'!$B$11:$B$65,0))</f>
        <v>0</v>
      </c>
      <c r="N79" s="212">
        <f>INDEX('DB-function distributions'!F$11:F$65,MATCH($D79,'DB-function distributions'!$B$11:$B$65,0))</f>
        <v>0.25</v>
      </c>
      <c r="O79" s="212">
        <f>INDEX('DB-function distributions'!G$11:G$65,MATCH($D79,'DB-function distributions'!$B$11:$B$65,0))</f>
        <v>1.39</v>
      </c>
      <c r="P79" s="212">
        <f>INDEX('DB-function distributions'!H$11:H$65,MATCH($D79,'DB-function distributions'!$B$11:$B$65,0))</f>
        <v>0.92</v>
      </c>
      <c r="Q79" s="212">
        <f>INDEX('DB-function distributions'!I$11:I$65,MATCH($D79,'DB-function distributions'!$B$11:$B$65,0))</f>
        <v>0.36</v>
      </c>
      <c r="R79" s="212">
        <f>INDEX('DB-function distributions'!J$11:J$65,MATCH($D79,'DB-function distributions'!$B$11:$B$65,0))</f>
        <v>0.28999999999999998</v>
      </c>
      <c r="S79" s="212">
        <f>INDEX('DB-function distributions'!K$11:K$65,MATCH($D79,'DB-function distributions'!$B$11:$B$65,0))</f>
        <v>0</v>
      </c>
      <c r="T79" s="212">
        <f>INDEX('DB-function distributions'!L$11:L$65,MATCH($D79,'DB-function distributions'!$B$11:$B$65,0))</f>
        <v>0</v>
      </c>
      <c r="U79" s="212">
        <f>INDEX('DB-function distributions'!M$11:M$65,MATCH($D79,'DB-function distributions'!$B$11:$B$65,0))</f>
        <v>0.62</v>
      </c>
      <c r="V79" s="212">
        <f>INDEX('DB-function distributions'!N$11:N$65,MATCH($D79,'DB-function distributions'!$B$11:$B$65,0))</f>
        <v>0.41</v>
      </c>
      <c r="W79" s="212">
        <f>INDEX('DB-function distributions'!O$11:O$65,MATCH($D79,'DB-function distributions'!$B$11:$B$65,0))</f>
        <v>0.79</v>
      </c>
      <c r="X79" s="212">
        <f>INDEX('DB-function distributions'!P$11:P$65,MATCH($D79,'DB-function distributions'!$B$11:$B$65,0))</f>
        <v>0</v>
      </c>
      <c r="Y79" s="212">
        <f>INDEX('DB-function distributions'!Q$11:Q$65,MATCH($D79,'DB-function distributions'!$B$11:$B$65,0))</f>
        <v>0.99</v>
      </c>
      <c r="Z79" s="212">
        <f>INDEX('DB-function distributions'!R$11:R$65,MATCH($D79,'DB-function distributions'!$B$11:$B$65,0))</f>
        <v>0</v>
      </c>
      <c r="AC79" s="212" t="s">
        <v>46</v>
      </c>
      <c r="AD79" s="212" t="s">
        <v>336</v>
      </c>
      <c r="AE79" s="212" t="s">
        <v>342</v>
      </c>
      <c r="AF79" s="212" t="s">
        <v>340</v>
      </c>
      <c r="AG79" s="212" t="s">
        <v>335</v>
      </c>
      <c r="AH79" s="212" t="s">
        <v>556</v>
      </c>
      <c r="AJ79" s="227">
        <v>0.21019108280254778</v>
      </c>
      <c r="AK79" s="227">
        <v>0.19532908704883228</v>
      </c>
      <c r="AL79" s="227">
        <v>0.16772823779193208</v>
      </c>
      <c r="AM79" s="227">
        <v>0.1316348195329087</v>
      </c>
      <c r="AN79" s="227">
        <v>0.29511677282377918</v>
      </c>
    </row>
    <row r="80" spans="1:40">
      <c r="A80" s="206">
        <f t="shared" si="1"/>
        <v>70</v>
      </c>
      <c r="B80" s="206" t="s">
        <v>127</v>
      </c>
      <c r="D80" s="206">
        <v>55</v>
      </c>
      <c r="E80" s="206" t="s">
        <v>46</v>
      </c>
      <c r="K80" s="212">
        <f>INDEX('DB-function distributions'!C$11:C$65,MATCH($D80,'DB-function distributions'!$B$11:$B$65,0))</f>
        <v>0.9</v>
      </c>
      <c r="L80" s="212">
        <f>INDEX('DB-function distributions'!D$11:D$65,MATCH($D80,'DB-function distributions'!$B$11:$B$65,0))</f>
        <v>2.62</v>
      </c>
      <c r="M80" s="212">
        <f>INDEX('DB-function distributions'!E$11:E$65,MATCH($D80,'DB-function distributions'!$B$11:$B$65,0))</f>
        <v>3.74</v>
      </c>
      <c r="N80" s="212">
        <f>INDEX('DB-function distributions'!F$11:F$65,MATCH($D80,'DB-function distributions'!$B$11:$B$65,0))</f>
        <v>0.36</v>
      </c>
      <c r="O80" s="212">
        <f>INDEX('DB-function distributions'!G$11:G$65,MATCH($D80,'DB-function distributions'!$B$11:$B$65,0))</f>
        <v>1.96</v>
      </c>
      <c r="P80" s="212">
        <f>INDEX('DB-function distributions'!H$11:H$65,MATCH($D80,'DB-function distributions'!$B$11:$B$65,0))</f>
        <v>1.06</v>
      </c>
      <c r="Q80" s="212">
        <f>INDEX('DB-function distributions'!I$11:I$65,MATCH($D80,'DB-function distributions'!$B$11:$B$65,0))</f>
        <v>0.46</v>
      </c>
      <c r="R80" s="212">
        <f>INDEX('DB-function distributions'!J$11:J$65,MATCH($D80,'DB-function distributions'!$B$11:$B$65,0))</f>
        <v>0.63</v>
      </c>
      <c r="S80" s="212">
        <f>INDEX('DB-function distributions'!K$11:K$65,MATCH($D80,'DB-function distributions'!$B$11:$B$65,0))</f>
        <v>1.87</v>
      </c>
      <c r="T80" s="212">
        <f>INDEX('DB-function distributions'!L$11:L$65,MATCH($D80,'DB-function distributions'!$B$11:$B$65,0))</f>
        <v>0</v>
      </c>
      <c r="U80" s="212">
        <f>INDEX('DB-function distributions'!M$11:M$65,MATCH($D80,'DB-function distributions'!$B$11:$B$65,0))</f>
        <v>2.6</v>
      </c>
      <c r="V80" s="212">
        <f>INDEX('DB-function distributions'!N$11:N$65,MATCH($D80,'DB-function distributions'!$B$11:$B$65,0))</f>
        <v>0.83</v>
      </c>
      <c r="W80" s="212">
        <f>INDEX('DB-function distributions'!O$11:O$65,MATCH($D80,'DB-function distributions'!$B$11:$B$65,0))</f>
        <v>1.33</v>
      </c>
      <c r="X80" s="212">
        <f>INDEX('DB-function distributions'!P$11:P$65,MATCH($D80,'DB-function distributions'!$B$11:$B$65,0))</f>
        <v>2.06</v>
      </c>
      <c r="Y80" s="212">
        <f>INDEX('DB-function distributions'!Q$11:Q$65,MATCH($D80,'DB-function distributions'!$B$11:$B$65,0))</f>
        <v>3.57</v>
      </c>
      <c r="Z80" s="212">
        <f>INDEX('DB-function distributions'!R$11:R$65,MATCH($D80,'DB-function distributions'!$B$11:$B$65,0))</f>
        <v>0</v>
      </c>
      <c r="AC80" s="212" t="s">
        <v>343</v>
      </c>
      <c r="AD80" s="212" t="s">
        <v>332</v>
      </c>
      <c r="AE80" s="212" t="s">
        <v>333</v>
      </c>
      <c r="AF80" s="212" t="s">
        <v>340</v>
      </c>
      <c r="AG80" s="212" t="s">
        <v>46</v>
      </c>
      <c r="AH80" s="212" t="s">
        <v>556</v>
      </c>
      <c r="AJ80" s="227">
        <v>0.14119259766963674</v>
      </c>
      <c r="AK80" s="227">
        <v>0.17957505140507199</v>
      </c>
      <c r="AL80" s="227">
        <v>0.25633995887594246</v>
      </c>
      <c r="AM80" s="227">
        <v>0.17820424948594929</v>
      </c>
      <c r="AN80" s="227">
        <v>0.24468814256339957</v>
      </c>
    </row>
    <row r="81" spans="1:40">
      <c r="A81" s="206">
        <f t="shared" si="1"/>
        <v>71</v>
      </c>
      <c r="B81" s="206" t="s">
        <v>128</v>
      </c>
      <c r="D81" s="206">
        <v>45</v>
      </c>
      <c r="E81" s="206" t="s">
        <v>129</v>
      </c>
      <c r="K81" s="212">
        <f>INDEX('DB-function distributions'!C$11:C$65,MATCH($D81,'DB-function distributions'!$B$11:$B$65,0))</f>
        <v>0</v>
      </c>
      <c r="L81" s="212">
        <f>INDEX('DB-function distributions'!D$11:D$65,MATCH($D81,'DB-function distributions'!$B$11:$B$65,0))</f>
        <v>0</v>
      </c>
      <c r="M81" s="212">
        <f>INDEX('DB-function distributions'!E$11:E$65,MATCH($D81,'DB-function distributions'!$B$11:$B$65,0))</f>
        <v>0</v>
      </c>
      <c r="N81" s="212">
        <f>INDEX('DB-function distributions'!F$11:F$65,MATCH($D81,'DB-function distributions'!$B$11:$B$65,0))</f>
        <v>0</v>
      </c>
      <c r="O81" s="212">
        <f>INDEX('DB-function distributions'!G$11:G$65,MATCH($D81,'DB-function distributions'!$B$11:$B$65,0))</f>
        <v>0</v>
      </c>
      <c r="P81" s="212">
        <f>INDEX('DB-function distributions'!H$11:H$65,MATCH($D81,'DB-function distributions'!$B$11:$B$65,0))</f>
        <v>0</v>
      </c>
      <c r="Q81" s="212">
        <f>INDEX('DB-function distributions'!I$11:I$65,MATCH($D81,'DB-function distributions'!$B$11:$B$65,0))</f>
        <v>0</v>
      </c>
      <c r="R81" s="212">
        <f>INDEX('DB-function distributions'!J$11:J$65,MATCH($D81,'DB-function distributions'!$B$11:$B$65,0))</f>
        <v>0</v>
      </c>
      <c r="S81" s="212">
        <f>INDEX('DB-function distributions'!K$11:K$65,MATCH($D81,'DB-function distributions'!$B$11:$B$65,0))</f>
        <v>0</v>
      </c>
      <c r="T81" s="212">
        <f>INDEX('DB-function distributions'!L$11:L$65,MATCH($D81,'DB-function distributions'!$B$11:$B$65,0))</f>
        <v>0</v>
      </c>
      <c r="U81" s="212">
        <f>INDEX('DB-function distributions'!M$11:M$65,MATCH($D81,'DB-function distributions'!$B$11:$B$65,0))</f>
        <v>0</v>
      </c>
      <c r="V81" s="212">
        <f>INDEX('DB-function distributions'!N$11:N$65,MATCH($D81,'DB-function distributions'!$B$11:$B$65,0))</f>
        <v>0.05</v>
      </c>
      <c r="W81" s="212">
        <f>INDEX('DB-function distributions'!O$11:O$65,MATCH($D81,'DB-function distributions'!$B$11:$B$65,0))</f>
        <v>0</v>
      </c>
      <c r="X81" s="212">
        <f>INDEX('DB-function distributions'!P$11:P$65,MATCH($D81,'DB-function distributions'!$B$11:$B$65,0))</f>
        <v>0</v>
      </c>
      <c r="Y81" s="212">
        <f>INDEX('DB-function distributions'!Q$11:Q$65,MATCH($D81,'DB-function distributions'!$B$11:$B$65,0))</f>
        <v>0.12</v>
      </c>
      <c r="Z81" s="212">
        <f>INDEX('DB-function distributions'!R$11:R$65,MATCH($D81,'DB-function distributions'!$B$11:$B$65,0))</f>
        <v>0</v>
      </c>
      <c r="AC81" s="212" t="s">
        <v>341</v>
      </c>
      <c r="AD81" s="212" t="s">
        <v>46</v>
      </c>
      <c r="AE81" s="212" t="s">
        <v>333</v>
      </c>
      <c r="AF81" s="212" t="s">
        <v>334</v>
      </c>
      <c r="AG81" s="212" t="s">
        <v>335</v>
      </c>
      <c r="AH81" s="212" t="s">
        <v>556</v>
      </c>
      <c r="AJ81" s="227">
        <v>0.29411764705882359</v>
      </c>
      <c r="AK81" s="227">
        <v>0.70588235294117652</v>
      </c>
      <c r="AL81" s="227">
        <v>0</v>
      </c>
      <c r="AM81" s="227">
        <v>0</v>
      </c>
      <c r="AN81" s="227">
        <v>0</v>
      </c>
    </row>
    <row r="82" spans="1:40">
      <c r="A82" s="206">
        <f t="shared" si="1"/>
        <v>72</v>
      </c>
      <c r="B82" s="206" t="s">
        <v>130</v>
      </c>
      <c r="D82" s="206">
        <v>55</v>
      </c>
      <c r="E82" s="206" t="s">
        <v>46</v>
      </c>
      <c r="K82" s="212">
        <f>INDEX('DB-function distributions'!C$11:C$65,MATCH($D82,'DB-function distributions'!$B$11:$B$65,0))</f>
        <v>0.9</v>
      </c>
      <c r="L82" s="212">
        <f>INDEX('DB-function distributions'!D$11:D$65,MATCH($D82,'DB-function distributions'!$B$11:$B$65,0))</f>
        <v>2.62</v>
      </c>
      <c r="M82" s="212">
        <f>INDEX('DB-function distributions'!E$11:E$65,MATCH($D82,'DB-function distributions'!$B$11:$B$65,0))</f>
        <v>3.74</v>
      </c>
      <c r="N82" s="212">
        <f>INDEX('DB-function distributions'!F$11:F$65,MATCH($D82,'DB-function distributions'!$B$11:$B$65,0))</f>
        <v>0.36</v>
      </c>
      <c r="O82" s="212">
        <f>INDEX('DB-function distributions'!G$11:G$65,MATCH($D82,'DB-function distributions'!$B$11:$B$65,0))</f>
        <v>1.96</v>
      </c>
      <c r="P82" s="212">
        <f>INDEX('DB-function distributions'!H$11:H$65,MATCH($D82,'DB-function distributions'!$B$11:$B$65,0))</f>
        <v>1.06</v>
      </c>
      <c r="Q82" s="212">
        <f>INDEX('DB-function distributions'!I$11:I$65,MATCH($D82,'DB-function distributions'!$B$11:$B$65,0))</f>
        <v>0.46</v>
      </c>
      <c r="R82" s="212">
        <f>INDEX('DB-function distributions'!J$11:J$65,MATCH($D82,'DB-function distributions'!$B$11:$B$65,0))</f>
        <v>0.63</v>
      </c>
      <c r="S82" s="212">
        <f>INDEX('DB-function distributions'!K$11:K$65,MATCH($D82,'DB-function distributions'!$B$11:$B$65,0))</f>
        <v>1.87</v>
      </c>
      <c r="T82" s="212">
        <f>INDEX('DB-function distributions'!L$11:L$65,MATCH($D82,'DB-function distributions'!$B$11:$B$65,0))</f>
        <v>0</v>
      </c>
      <c r="U82" s="212">
        <f>INDEX('DB-function distributions'!M$11:M$65,MATCH($D82,'DB-function distributions'!$B$11:$B$65,0))</f>
        <v>2.6</v>
      </c>
      <c r="V82" s="212">
        <f>INDEX('DB-function distributions'!N$11:N$65,MATCH($D82,'DB-function distributions'!$B$11:$B$65,0))</f>
        <v>0.83</v>
      </c>
      <c r="W82" s="212">
        <f>INDEX('DB-function distributions'!O$11:O$65,MATCH($D82,'DB-function distributions'!$B$11:$B$65,0))</f>
        <v>1.33</v>
      </c>
      <c r="X82" s="212">
        <f>INDEX('DB-function distributions'!P$11:P$65,MATCH($D82,'DB-function distributions'!$B$11:$B$65,0))</f>
        <v>2.06</v>
      </c>
      <c r="Y82" s="212">
        <f>INDEX('DB-function distributions'!Q$11:Q$65,MATCH($D82,'DB-function distributions'!$B$11:$B$65,0))</f>
        <v>3.57</v>
      </c>
      <c r="Z82" s="212">
        <f>INDEX('DB-function distributions'!R$11:R$65,MATCH($D82,'DB-function distributions'!$B$11:$B$65,0))</f>
        <v>0</v>
      </c>
      <c r="AC82" s="212" t="s">
        <v>343</v>
      </c>
      <c r="AD82" s="212" t="s">
        <v>332</v>
      </c>
      <c r="AE82" s="212" t="s">
        <v>333</v>
      </c>
      <c r="AF82" s="212" t="s">
        <v>340</v>
      </c>
      <c r="AG82" s="212" t="s">
        <v>46</v>
      </c>
      <c r="AH82" s="212" t="s">
        <v>556</v>
      </c>
      <c r="AJ82" s="227">
        <v>0.14119259766963674</v>
      </c>
      <c r="AK82" s="227">
        <v>0.17957505140507199</v>
      </c>
      <c r="AL82" s="227">
        <v>0.25633995887594246</v>
      </c>
      <c r="AM82" s="227">
        <v>0.17820424948594929</v>
      </c>
      <c r="AN82" s="227">
        <v>0.24468814256339957</v>
      </c>
    </row>
    <row r="83" spans="1:40">
      <c r="A83" s="206">
        <f t="shared" si="1"/>
        <v>73</v>
      </c>
      <c r="B83" s="206" t="s">
        <v>184</v>
      </c>
      <c r="C83" s="206" t="s">
        <v>548</v>
      </c>
      <c r="D83" s="206">
        <v>13</v>
      </c>
      <c r="E83" s="206" t="s">
        <v>198</v>
      </c>
      <c r="K83" s="212">
        <f>INDEX('DB-function distributions'!C$11:C$65,MATCH($D83,'DB-function distributions'!$B$11:$B$65,0))</f>
        <v>0</v>
      </c>
      <c r="L83" s="212">
        <f>INDEX('DB-function distributions'!D$11:D$65,MATCH($D83,'DB-function distributions'!$B$11:$B$65,0))</f>
        <v>0</v>
      </c>
      <c r="M83" s="212">
        <f>INDEX('DB-function distributions'!E$11:E$65,MATCH($D83,'DB-function distributions'!$B$11:$B$65,0))</f>
        <v>0</v>
      </c>
      <c r="N83" s="212">
        <f>INDEX('DB-function distributions'!F$11:F$65,MATCH($D83,'DB-function distributions'!$B$11:$B$65,0))</f>
        <v>0</v>
      </c>
      <c r="O83" s="212">
        <f>INDEX('DB-function distributions'!G$11:G$65,MATCH($D83,'DB-function distributions'!$B$11:$B$65,0))</f>
        <v>0</v>
      </c>
      <c r="P83" s="212">
        <f>INDEX('DB-function distributions'!H$11:H$65,MATCH($D83,'DB-function distributions'!$B$11:$B$65,0))</f>
        <v>0</v>
      </c>
      <c r="Q83" s="212">
        <f>INDEX('DB-function distributions'!I$11:I$65,MATCH($D83,'DB-function distributions'!$B$11:$B$65,0))</f>
        <v>0</v>
      </c>
      <c r="R83" s="212">
        <f>INDEX('DB-function distributions'!J$11:J$65,MATCH($D83,'DB-function distributions'!$B$11:$B$65,0))</f>
        <v>0</v>
      </c>
      <c r="S83" s="212">
        <f>INDEX('DB-function distributions'!K$11:K$65,MATCH($D83,'DB-function distributions'!$B$11:$B$65,0))</f>
        <v>0</v>
      </c>
      <c r="T83" s="212">
        <f>INDEX('DB-function distributions'!L$11:L$65,MATCH($D83,'DB-function distributions'!$B$11:$B$65,0))</f>
        <v>0</v>
      </c>
      <c r="U83" s="212">
        <f>INDEX('DB-function distributions'!M$11:M$65,MATCH($D83,'DB-function distributions'!$B$11:$B$65,0))</f>
        <v>0</v>
      </c>
      <c r="V83" s="212">
        <f>INDEX('DB-function distributions'!N$11:N$65,MATCH($D83,'DB-function distributions'!$B$11:$B$65,0))</f>
        <v>0</v>
      </c>
      <c r="W83" s="212">
        <f>INDEX('DB-function distributions'!O$11:O$65,MATCH($D83,'DB-function distributions'!$B$11:$B$65,0))</f>
        <v>0</v>
      </c>
      <c r="X83" s="212">
        <f>INDEX('DB-function distributions'!P$11:P$65,MATCH($D83,'DB-function distributions'!$B$11:$B$65,0))</f>
        <v>0</v>
      </c>
      <c r="Y83" s="212">
        <f>INDEX('DB-function distributions'!Q$11:Q$65,MATCH($D83,'DB-function distributions'!$B$11:$B$65,0))</f>
        <v>0.4</v>
      </c>
      <c r="Z83" s="212">
        <f>INDEX('DB-function distributions'!R$11:R$65,MATCH($D83,'DB-function distributions'!$B$11:$B$65,0))</f>
        <v>0</v>
      </c>
      <c r="AC83" s="212" t="s">
        <v>46</v>
      </c>
      <c r="AD83" s="212" t="s">
        <v>332</v>
      </c>
      <c r="AE83" s="212" t="s">
        <v>333</v>
      </c>
      <c r="AF83" s="212" t="s">
        <v>334</v>
      </c>
      <c r="AG83" s="212" t="s">
        <v>335</v>
      </c>
      <c r="AH83" s="212" t="s">
        <v>556</v>
      </c>
      <c r="AJ83" s="227">
        <v>1</v>
      </c>
      <c r="AK83" s="227">
        <v>0</v>
      </c>
      <c r="AL83" s="227">
        <v>0</v>
      </c>
      <c r="AM83" s="227">
        <v>0</v>
      </c>
      <c r="AN83" s="227">
        <v>0</v>
      </c>
    </row>
    <row r="84" spans="1:40">
      <c r="A84" s="206">
        <f t="shared" si="1"/>
        <v>74</v>
      </c>
      <c r="B84" s="206" t="s">
        <v>131</v>
      </c>
      <c r="D84" s="206">
        <v>46</v>
      </c>
      <c r="E84" s="206" t="s">
        <v>132</v>
      </c>
      <c r="K84" s="212">
        <f>INDEX('DB-function distributions'!C$11:C$65,MATCH($D84,'DB-function distributions'!$B$11:$B$65,0))</f>
        <v>0</v>
      </c>
      <c r="L84" s="212">
        <f>INDEX('DB-function distributions'!D$11:D$65,MATCH($D84,'DB-function distributions'!$B$11:$B$65,0))</f>
        <v>0</v>
      </c>
      <c r="M84" s="212">
        <f>INDEX('DB-function distributions'!E$11:E$65,MATCH($D84,'DB-function distributions'!$B$11:$B$65,0))</f>
        <v>0</v>
      </c>
      <c r="N84" s="212">
        <f>INDEX('DB-function distributions'!F$11:F$65,MATCH($D84,'DB-function distributions'!$B$11:$B$65,0))</f>
        <v>0.02</v>
      </c>
      <c r="O84" s="212">
        <f>INDEX('DB-function distributions'!G$11:G$65,MATCH($D84,'DB-function distributions'!$B$11:$B$65,0))</f>
        <v>0</v>
      </c>
      <c r="P84" s="212">
        <f>INDEX('DB-function distributions'!H$11:H$65,MATCH($D84,'DB-function distributions'!$B$11:$B$65,0))</f>
        <v>0</v>
      </c>
      <c r="Q84" s="212">
        <f>INDEX('DB-function distributions'!I$11:I$65,MATCH($D84,'DB-function distributions'!$B$11:$B$65,0))</f>
        <v>0</v>
      </c>
      <c r="R84" s="212">
        <f>INDEX('DB-function distributions'!J$11:J$65,MATCH($D84,'DB-function distributions'!$B$11:$B$65,0))</f>
        <v>0</v>
      </c>
      <c r="S84" s="212">
        <f>INDEX('DB-function distributions'!K$11:K$65,MATCH($D84,'DB-function distributions'!$B$11:$B$65,0))</f>
        <v>0</v>
      </c>
      <c r="T84" s="212">
        <f>INDEX('DB-function distributions'!L$11:L$65,MATCH($D84,'DB-function distributions'!$B$11:$B$65,0))</f>
        <v>0</v>
      </c>
      <c r="U84" s="212">
        <f>INDEX('DB-function distributions'!M$11:M$65,MATCH($D84,'DB-function distributions'!$B$11:$B$65,0))</f>
        <v>0</v>
      </c>
      <c r="V84" s="212">
        <f>INDEX('DB-function distributions'!N$11:N$65,MATCH($D84,'DB-function distributions'!$B$11:$B$65,0))</f>
        <v>0</v>
      </c>
      <c r="W84" s="212">
        <f>INDEX('DB-function distributions'!O$11:O$65,MATCH($D84,'DB-function distributions'!$B$11:$B$65,0))</f>
        <v>0</v>
      </c>
      <c r="X84" s="212">
        <f>INDEX('DB-function distributions'!P$11:P$65,MATCH($D84,'DB-function distributions'!$B$11:$B$65,0))</f>
        <v>0</v>
      </c>
      <c r="Y84" s="212">
        <f>INDEX('DB-function distributions'!Q$11:Q$65,MATCH($D84,'DB-function distributions'!$B$11:$B$65,0))</f>
        <v>0.02</v>
      </c>
      <c r="Z84" s="212">
        <f>INDEX('DB-function distributions'!R$11:R$65,MATCH($D84,'DB-function distributions'!$B$11:$B$65,0))</f>
        <v>0</v>
      </c>
      <c r="AC84" s="212" t="s">
        <v>46</v>
      </c>
      <c r="AD84" s="212" t="s">
        <v>332</v>
      </c>
      <c r="AE84" s="212" t="s">
        <v>333</v>
      </c>
      <c r="AF84" s="212" t="s">
        <v>334</v>
      </c>
      <c r="AG84" s="212" t="s">
        <v>335</v>
      </c>
      <c r="AH84" s="212" t="s">
        <v>556</v>
      </c>
      <c r="AJ84" s="227">
        <v>0.5</v>
      </c>
      <c r="AK84" s="227">
        <v>0</v>
      </c>
      <c r="AL84" s="227">
        <v>0</v>
      </c>
      <c r="AM84" s="227">
        <v>0.5</v>
      </c>
      <c r="AN84" s="227">
        <v>0</v>
      </c>
    </row>
    <row r="85" spans="1:40">
      <c r="A85" s="206">
        <f t="shared" si="1"/>
        <v>75</v>
      </c>
      <c r="B85" s="206" t="s">
        <v>551</v>
      </c>
      <c r="C85" s="206" t="s">
        <v>549</v>
      </c>
      <c r="D85" s="206">
        <v>15</v>
      </c>
      <c r="E85" s="206" t="s">
        <v>55</v>
      </c>
      <c r="K85" s="212">
        <f>INDEX('DB-function distributions'!C$11:C$65,MATCH($D85,'DB-function distributions'!$B$11:$B$65,0))</f>
        <v>0</v>
      </c>
      <c r="L85" s="212">
        <f>INDEX('DB-function distributions'!D$11:D$65,MATCH($D85,'DB-function distributions'!$B$11:$B$65,0))</f>
        <v>0</v>
      </c>
      <c r="M85" s="212">
        <f>INDEX('DB-function distributions'!E$11:E$65,MATCH($D85,'DB-function distributions'!$B$11:$B$65,0))</f>
        <v>0</v>
      </c>
      <c r="N85" s="212">
        <f>INDEX('DB-function distributions'!F$11:F$65,MATCH($D85,'DB-function distributions'!$B$11:$B$65,0))</f>
        <v>0</v>
      </c>
      <c r="O85" s="212">
        <f>INDEX('DB-function distributions'!G$11:G$65,MATCH($D85,'DB-function distributions'!$B$11:$B$65,0))</f>
        <v>1.42</v>
      </c>
      <c r="P85" s="212">
        <f>INDEX('DB-function distributions'!H$11:H$65,MATCH($D85,'DB-function distributions'!$B$11:$B$65,0))</f>
        <v>0</v>
      </c>
      <c r="Q85" s="212">
        <f>INDEX('DB-function distributions'!I$11:I$65,MATCH($D85,'DB-function distributions'!$B$11:$B$65,0))</f>
        <v>0</v>
      </c>
      <c r="R85" s="212">
        <f>INDEX('DB-function distributions'!J$11:J$65,MATCH($D85,'DB-function distributions'!$B$11:$B$65,0))</f>
        <v>0</v>
      </c>
      <c r="S85" s="212">
        <f>INDEX('DB-function distributions'!K$11:K$65,MATCH($D85,'DB-function distributions'!$B$11:$B$65,0))</f>
        <v>0</v>
      </c>
      <c r="T85" s="212">
        <f>INDEX('DB-function distributions'!L$11:L$65,MATCH($D85,'DB-function distributions'!$B$11:$B$65,0))</f>
        <v>0</v>
      </c>
      <c r="U85" s="212">
        <f>INDEX('DB-function distributions'!M$11:M$65,MATCH($D85,'DB-function distributions'!$B$11:$B$65,0))</f>
        <v>0</v>
      </c>
      <c r="V85" s="212">
        <f>INDEX('DB-function distributions'!N$11:N$65,MATCH($D85,'DB-function distributions'!$B$11:$B$65,0))</f>
        <v>0</v>
      </c>
      <c r="W85" s="212">
        <f>INDEX('DB-function distributions'!O$11:O$65,MATCH($D85,'DB-function distributions'!$B$11:$B$65,0))</f>
        <v>0</v>
      </c>
      <c r="X85" s="212">
        <f>INDEX('DB-function distributions'!P$11:P$65,MATCH($D85,'DB-function distributions'!$B$11:$B$65,0))</f>
        <v>0</v>
      </c>
      <c r="Y85" s="212">
        <f>INDEX('DB-function distributions'!Q$11:Q$65,MATCH($D85,'DB-function distributions'!$B$11:$B$65,0))</f>
        <v>0.98</v>
      </c>
      <c r="Z85" s="212">
        <f>INDEX('DB-function distributions'!R$11:R$65,MATCH($D85,'DB-function distributions'!$B$11:$B$65,0))</f>
        <v>0</v>
      </c>
      <c r="AC85" s="212" t="s">
        <v>46</v>
      </c>
      <c r="AD85" s="212" t="s">
        <v>332</v>
      </c>
      <c r="AE85" s="212" t="s">
        <v>333</v>
      </c>
      <c r="AF85" s="212" t="s">
        <v>334</v>
      </c>
      <c r="AG85" s="212" t="s">
        <v>335</v>
      </c>
      <c r="AH85" s="212" t="s">
        <v>556</v>
      </c>
      <c r="AJ85" s="227">
        <v>0.40833333333333333</v>
      </c>
      <c r="AK85" s="227">
        <v>0</v>
      </c>
      <c r="AL85" s="227">
        <v>0</v>
      </c>
      <c r="AM85" s="227">
        <v>0</v>
      </c>
      <c r="AN85" s="227">
        <v>0.59166666666666667</v>
      </c>
    </row>
    <row r="86" spans="1:40">
      <c r="A86" s="206">
        <f t="shared" si="1"/>
        <v>76</v>
      </c>
      <c r="B86" s="206" t="s">
        <v>135</v>
      </c>
      <c r="C86" s="206" t="s">
        <v>549</v>
      </c>
      <c r="D86" s="206">
        <v>15</v>
      </c>
      <c r="E86" s="206" t="s">
        <v>55</v>
      </c>
      <c r="K86" s="212">
        <f>INDEX('DB-function distributions'!C$11:C$65,MATCH($D86,'DB-function distributions'!$B$11:$B$65,0))</f>
        <v>0</v>
      </c>
      <c r="L86" s="212">
        <f>INDEX('DB-function distributions'!D$11:D$65,MATCH($D86,'DB-function distributions'!$B$11:$B$65,0))</f>
        <v>0</v>
      </c>
      <c r="M86" s="212">
        <f>INDEX('DB-function distributions'!E$11:E$65,MATCH($D86,'DB-function distributions'!$B$11:$B$65,0))</f>
        <v>0</v>
      </c>
      <c r="N86" s="212">
        <f>INDEX('DB-function distributions'!F$11:F$65,MATCH($D86,'DB-function distributions'!$B$11:$B$65,0))</f>
        <v>0</v>
      </c>
      <c r="O86" s="212">
        <f>INDEX('DB-function distributions'!G$11:G$65,MATCH($D86,'DB-function distributions'!$B$11:$B$65,0))</f>
        <v>1.42</v>
      </c>
      <c r="P86" s="212">
        <f>INDEX('DB-function distributions'!H$11:H$65,MATCH($D86,'DB-function distributions'!$B$11:$B$65,0))</f>
        <v>0</v>
      </c>
      <c r="Q86" s="212">
        <f>INDEX('DB-function distributions'!I$11:I$65,MATCH($D86,'DB-function distributions'!$B$11:$B$65,0))</f>
        <v>0</v>
      </c>
      <c r="R86" s="212">
        <f>INDEX('DB-function distributions'!J$11:J$65,MATCH($D86,'DB-function distributions'!$B$11:$B$65,0))</f>
        <v>0</v>
      </c>
      <c r="S86" s="212">
        <f>INDEX('DB-function distributions'!K$11:K$65,MATCH($D86,'DB-function distributions'!$B$11:$B$65,0))</f>
        <v>0</v>
      </c>
      <c r="T86" s="212">
        <f>INDEX('DB-function distributions'!L$11:L$65,MATCH($D86,'DB-function distributions'!$B$11:$B$65,0))</f>
        <v>0</v>
      </c>
      <c r="U86" s="212">
        <f>INDEX('DB-function distributions'!M$11:M$65,MATCH($D86,'DB-function distributions'!$B$11:$B$65,0))</f>
        <v>0</v>
      </c>
      <c r="V86" s="212">
        <f>INDEX('DB-function distributions'!N$11:N$65,MATCH($D86,'DB-function distributions'!$B$11:$B$65,0))</f>
        <v>0</v>
      </c>
      <c r="W86" s="212">
        <f>INDEX('DB-function distributions'!O$11:O$65,MATCH($D86,'DB-function distributions'!$B$11:$B$65,0))</f>
        <v>0</v>
      </c>
      <c r="X86" s="212">
        <f>INDEX('DB-function distributions'!P$11:P$65,MATCH($D86,'DB-function distributions'!$B$11:$B$65,0))</f>
        <v>0</v>
      </c>
      <c r="Y86" s="212">
        <f>INDEX('DB-function distributions'!Q$11:Q$65,MATCH($D86,'DB-function distributions'!$B$11:$B$65,0))</f>
        <v>0.98</v>
      </c>
      <c r="Z86" s="212">
        <f>INDEX('DB-function distributions'!R$11:R$65,MATCH($D86,'DB-function distributions'!$B$11:$B$65,0))</f>
        <v>0</v>
      </c>
      <c r="AC86" s="212" t="s">
        <v>46</v>
      </c>
      <c r="AD86" s="212" t="s">
        <v>332</v>
      </c>
      <c r="AE86" s="212" t="s">
        <v>333</v>
      </c>
      <c r="AF86" s="212" t="s">
        <v>334</v>
      </c>
      <c r="AG86" s="212" t="s">
        <v>335</v>
      </c>
      <c r="AH86" s="212" t="s">
        <v>556</v>
      </c>
      <c r="AJ86" s="227">
        <v>0.40833333333333333</v>
      </c>
      <c r="AK86" s="227">
        <v>0</v>
      </c>
      <c r="AL86" s="227">
        <v>0</v>
      </c>
      <c r="AM86" s="227">
        <v>0</v>
      </c>
      <c r="AN86" s="227">
        <v>0.59166666666666667</v>
      </c>
    </row>
    <row r="87" spans="1:40">
      <c r="A87" s="206">
        <f t="shared" si="1"/>
        <v>77</v>
      </c>
      <c r="B87" s="206" t="s">
        <v>136</v>
      </c>
      <c r="D87" s="206">
        <v>10</v>
      </c>
      <c r="E87" s="206" t="s">
        <v>74</v>
      </c>
      <c r="K87" s="212">
        <f>INDEX('DB-function distributions'!C$11:C$65,MATCH($D87,'DB-function distributions'!$B$11:$B$65,0))</f>
        <v>0.15</v>
      </c>
      <c r="L87" s="212">
        <f>INDEX('DB-function distributions'!D$11:D$65,MATCH($D87,'DB-function distributions'!$B$11:$B$65,0))</f>
        <v>0</v>
      </c>
      <c r="M87" s="212">
        <f>INDEX('DB-function distributions'!E$11:E$65,MATCH($D87,'DB-function distributions'!$B$11:$B$65,0))</f>
        <v>0</v>
      </c>
      <c r="N87" s="212">
        <f>INDEX('DB-function distributions'!F$11:F$65,MATCH($D87,'DB-function distributions'!$B$11:$B$65,0))</f>
        <v>0.06</v>
      </c>
      <c r="O87" s="212">
        <f>INDEX('DB-function distributions'!G$11:G$65,MATCH($D87,'DB-function distributions'!$B$11:$B$65,0))</f>
        <v>0.15</v>
      </c>
      <c r="P87" s="212">
        <f>INDEX('DB-function distributions'!H$11:H$65,MATCH($D87,'DB-function distributions'!$B$11:$B$65,0))</f>
        <v>0</v>
      </c>
      <c r="Q87" s="212">
        <f>INDEX('DB-function distributions'!I$11:I$65,MATCH($D87,'DB-function distributions'!$B$11:$B$65,0))</f>
        <v>7.0000000000000007E-2</v>
      </c>
      <c r="R87" s="212">
        <f>INDEX('DB-function distributions'!J$11:J$65,MATCH($D87,'DB-function distributions'!$B$11:$B$65,0))</f>
        <v>0</v>
      </c>
      <c r="S87" s="212">
        <f>INDEX('DB-function distributions'!K$11:K$65,MATCH($D87,'DB-function distributions'!$B$11:$B$65,0))</f>
        <v>0.1</v>
      </c>
      <c r="T87" s="212">
        <f>INDEX('DB-function distributions'!L$11:L$65,MATCH($D87,'DB-function distributions'!$B$11:$B$65,0))</f>
        <v>0.06</v>
      </c>
      <c r="U87" s="212">
        <f>INDEX('DB-function distributions'!M$11:M$65,MATCH($D87,'DB-function distributions'!$B$11:$B$65,0))</f>
        <v>0.3</v>
      </c>
      <c r="V87" s="212">
        <f>INDEX('DB-function distributions'!N$11:N$65,MATCH($D87,'DB-function distributions'!$B$11:$B$65,0))</f>
        <v>0.16</v>
      </c>
      <c r="W87" s="212">
        <f>INDEX('DB-function distributions'!O$11:O$65,MATCH($D87,'DB-function distributions'!$B$11:$B$65,0))</f>
        <v>0.34</v>
      </c>
      <c r="X87" s="212">
        <f>INDEX('DB-function distributions'!P$11:P$65,MATCH($D87,'DB-function distributions'!$B$11:$B$65,0))</f>
        <v>0.4</v>
      </c>
      <c r="Y87" s="212">
        <f>INDEX('DB-function distributions'!Q$11:Q$65,MATCH($D87,'DB-function distributions'!$B$11:$B$65,0))</f>
        <v>0.28999999999999998</v>
      </c>
      <c r="Z87" s="212">
        <f>INDEX('DB-function distributions'!R$11:R$65,MATCH($D87,'DB-function distributions'!$B$11:$B$65,0))</f>
        <v>0</v>
      </c>
      <c r="AC87" s="212" t="s">
        <v>343</v>
      </c>
      <c r="AD87" s="212" t="s">
        <v>341</v>
      </c>
      <c r="AE87" s="212" t="s">
        <v>342</v>
      </c>
      <c r="AF87" s="212" t="s">
        <v>340</v>
      </c>
      <c r="AG87" s="212" t="s">
        <v>46</v>
      </c>
      <c r="AH87" s="212" t="s">
        <v>556</v>
      </c>
      <c r="AJ87" s="227">
        <v>0.26845637583892618</v>
      </c>
      <c r="AK87" s="227">
        <v>0.10738255033557045</v>
      </c>
      <c r="AL87" s="227">
        <v>0.22818791946308722</v>
      </c>
      <c r="AM87" s="227">
        <v>0.20134228187919459</v>
      </c>
      <c r="AN87" s="227">
        <v>0.19463087248322145</v>
      </c>
    </row>
    <row r="88" spans="1:40">
      <c r="A88" s="206">
        <f t="shared" si="1"/>
        <v>78</v>
      </c>
      <c r="B88" s="206" t="s">
        <v>215</v>
      </c>
      <c r="C88" s="206" t="s">
        <v>412</v>
      </c>
      <c r="D88" s="206">
        <v>48</v>
      </c>
      <c r="E88" s="206" t="s">
        <v>81</v>
      </c>
      <c r="K88" s="212">
        <f>INDEX('DB-function distributions'!C$11:C$65,MATCH($D88,'DB-function distributions'!$B$11:$B$65,0))</f>
        <v>0.46</v>
      </c>
      <c r="L88" s="212">
        <f>INDEX('DB-function distributions'!D$11:D$65,MATCH($D88,'DB-function distributions'!$B$11:$B$65,0))</f>
        <v>1.63</v>
      </c>
      <c r="M88" s="212">
        <f>INDEX('DB-function distributions'!E$11:E$65,MATCH($D88,'DB-function distributions'!$B$11:$B$65,0))</f>
        <v>1.6</v>
      </c>
      <c r="N88" s="212">
        <f>INDEX('DB-function distributions'!F$11:F$65,MATCH($D88,'DB-function distributions'!$B$11:$B$65,0))</f>
        <v>0.3</v>
      </c>
      <c r="O88" s="212">
        <f>INDEX('DB-function distributions'!G$11:G$65,MATCH($D88,'DB-function distributions'!$B$11:$B$65,0))</f>
        <v>0.94</v>
      </c>
      <c r="P88" s="212">
        <f>INDEX('DB-function distributions'!H$11:H$65,MATCH($D88,'DB-function distributions'!$B$11:$B$65,0))</f>
        <v>0.61</v>
      </c>
      <c r="Q88" s="212">
        <f>INDEX('DB-function distributions'!I$11:I$65,MATCH($D88,'DB-function distributions'!$B$11:$B$65,0))</f>
        <v>0</v>
      </c>
      <c r="R88" s="212">
        <f>INDEX('DB-function distributions'!J$11:J$65,MATCH($D88,'DB-function distributions'!$B$11:$B$65,0))</f>
        <v>0.27</v>
      </c>
      <c r="S88" s="212">
        <f>INDEX('DB-function distributions'!K$11:K$65,MATCH($D88,'DB-function distributions'!$B$11:$B$65,0))</f>
        <v>0</v>
      </c>
      <c r="T88" s="212">
        <f>INDEX('DB-function distributions'!L$11:L$65,MATCH($D88,'DB-function distributions'!$B$11:$B$65,0))</f>
        <v>0</v>
      </c>
      <c r="U88" s="212">
        <f>INDEX('DB-function distributions'!M$11:M$65,MATCH($D88,'DB-function distributions'!$B$11:$B$65,0))</f>
        <v>0.97</v>
      </c>
      <c r="V88" s="212">
        <f>INDEX('DB-function distributions'!N$11:N$65,MATCH($D88,'DB-function distributions'!$B$11:$B$65,0))</f>
        <v>0.28000000000000003</v>
      </c>
      <c r="W88" s="212">
        <f>INDEX('DB-function distributions'!O$11:O$65,MATCH($D88,'DB-function distributions'!$B$11:$B$65,0))</f>
        <v>0.61</v>
      </c>
      <c r="X88" s="212">
        <f>INDEX('DB-function distributions'!P$11:P$65,MATCH($D88,'DB-function distributions'!$B$11:$B$65,0))</f>
        <v>1.44</v>
      </c>
      <c r="Y88" s="212">
        <f>INDEX('DB-function distributions'!Q$11:Q$65,MATCH($D88,'DB-function distributions'!$B$11:$B$65,0))</f>
        <v>1.21</v>
      </c>
      <c r="Z88" s="212">
        <f>INDEX('DB-function distributions'!R$11:R$65,MATCH($D88,'DB-function distributions'!$B$11:$B$65,0))</f>
        <v>0</v>
      </c>
      <c r="AC88" s="212" t="s">
        <v>340</v>
      </c>
      <c r="AD88" s="212" t="s">
        <v>332</v>
      </c>
      <c r="AE88" s="212" t="s">
        <v>333</v>
      </c>
      <c r="AF88" s="212" t="s">
        <v>343</v>
      </c>
      <c r="AG88" s="212" t="s">
        <v>46</v>
      </c>
      <c r="AH88" s="212" t="s">
        <v>556</v>
      </c>
      <c r="AJ88" s="227">
        <v>0.14160583941605842</v>
      </c>
      <c r="AK88" s="227">
        <v>0.23795620437956208</v>
      </c>
      <c r="AL88" s="227">
        <v>0.23357664233576647</v>
      </c>
      <c r="AM88" s="227">
        <v>0.21021897810218981</v>
      </c>
      <c r="AN88" s="227">
        <v>0.17664233576642338</v>
      </c>
    </row>
    <row r="89" spans="1:40">
      <c r="A89" s="206">
        <f t="shared" si="1"/>
        <v>79</v>
      </c>
      <c r="B89" s="206" t="s">
        <v>137</v>
      </c>
      <c r="D89" s="206">
        <v>47</v>
      </c>
      <c r="E89" s="206" t="s">
        <v>138</v>
      </c>
      <c r="K89" s="212">
        <f>INDEX('DB-function distributions'!C$11:C$65,MATCH($D89,'DB-function distributions'!$B$11:$B$65,0))</f>
        <v>0</v>
      </c>
      <c r="L89" s="212">
        <f>INDEX('DB-function distributions'!D$11:D$65,MATCH($D89,'DB-function distributions'!$B$11:$B$65,0))</f>
        <v>0</v>
      </c>
      <c r="M89" s="212">
        <f>INDEX('DB-function distributions'!E$11:E$65,MATCH($D89,'DB-function distributions'!$B$11:$B$65,0))</f>
        <v>0</v>
      </c>
      <c r="N89" s="212">
        <f>INDEX('DB-function distributions'!F$11:F$65,MATCH($D89,'DB-function distributions'!$B$11:$B$65,0))</f>
        <v>0</v>
      </c>
      <c r="O89" s="212">
        <f>INDEX('DB-function distributions'!G$11:G$65,MATCH($D89,'DB-function distributions'!$B$11:$B$65,0))</f>
        <v>0.36</v>
      </c>
      <c r="P89" s="212">
        <f>INDEX('DB-function distributions'!H$11:H$65,MATCH($D89,'DB-function distributions'!$B$11:$B$65,0))</f>
        <v>0</v>
      </c>
      <c r="Q89" s="212">
        <f>INDEX('DB-function distributions'!I$11:I$65,MATCH($D89,'DB-function distributions'!$B$11:$B$65,0))</f>
        <v>0</v>
      </c>
      <c r="R89" s="212">
        <f>INDEX('DB-function distributions'!J$11:J$65,MATCH($D89,'DB-function distributions'!$B$11:$B$65,0))</f>
        <v>0</v>
      </c>
      <c r="S89" s="212">
        <f>INDEX('DB-function distributions'!K$11:K$65,MATCH($D89,'DB-function distributions'!$B$11:$B$65,0))</f>
        <v>0</v>
      </c>
      <c r="T89" s="212">
        <f>INDEX('DB-function distributions'!L$11:L$65,MATCH($D89,'DB-function distributions'!$B$11:$B$65,0))</f>
        <v>0</v>
      </c>
      <c r="U89" s="212">
        <f>INDEX('DB-function distributions'!M$11:M$65,MATCH($D89,'DB-function distributions'!$B$11:$B$65,0))</f>
        <v>0.64</v>
      </c>
      <c r="V89" s="212">
        <f>INDEX('DB-function distributions'!N$11:N$65,MATCH($D89,'DB-function distributions'!$B$11:$B$65,0))</f>
        <v>0</v>
      </c>
      <c r="W89" s="212">
        <f>INDEX('DB-function distributions'!O$11:O$65,MATCH($D89,'DB-function distributions'!$B$11:$B$65,0))</f>
        <v>0</v>
      </c>
      <c r="X89" s="212">
        <f>INDEX('DB-function distributions'!P$11:P$65,MATCH($D89,'DB-function distributions'!$B$11:$B$65,0))</f>
        <v>0.45</v>
      </c>
      <c r="Y89" s="212">
        <f>INDEX('DB-function distributions'!Q$11:Q$65,MATCH($D89,'DB-function distributions'!$B$11:$B$65,0))</f>
        <v>0.53</v>
      </c>
      <c r="Z89" s="212">
        <f>INDEX('DB-function distributions'!R$11:R$65,MATCH($D89,'DB-function distributions'!$B$11:$B$65,0))</f>
        <v>0</v>
      </c>
      <c r="AC89" s="212" t="s">
        <v>340</v>
      </c>
      <c r="AD89" s="212" t="s">
        <v>343</v>
      </c>
      <c r="AE89" s="212" t="s">
        <v>46</v>
      </c>
      <c r="AF89" s="212" t="s">
        <v>334</v>
      </c>
      <c r="AG89" s="212" t="s">
        <v>335</v>
      </c>
      <c r="AH89" s="212" t="s">
        <v>556</v>
      </c>
      <c r="AJ89" s="227">
        <v>0.32323232323232326</v>
      </c>
      <c r="AK89" s="227">
        <v>0.22727272727272729</v>
      </c>
      <c r="AL89" s="227">
        <v>0.26767676767676768</v>
      </c>
      <c r="AM89" s="227">
        <v>0</v>
      </c>
      <c r="AN89" s="227">
        <v>0.18181818181818182</v>
      </c>
    </row>
    <row r="90" spans="1:40">
      <c r="A90" s="206">
        <f t="shared" si="1"/>
        <v>80</v>
      </c>
      <c r="B90" s="206" t="s">
        <v>139</v>
      </c>
      <c r="D90" s="206">
        <v>9</v>
      </c>
      <c r="E90" s="206" t="s">
        <v>126</v>
      </c>
      <c r="K90" s="212">
        <f>INDEX('DB-function distributions'!C$11:C$65,MATCH($D90,'DB-function distributions'!$B$11:$B$65,0))</f>
        <v>0.42</v>
      </c>
      <c r="L90" s="212">
        <f>INDEX('DB-function distributions'!D$11:D$65,MATCH($D90,'DB-function distributions'!$B$11:$B$65,0))</f>
        <v>0</v>
      </c>
      <c r="M90" s="212">
        <f>INDEX('DB-function distributions'!E$11:E$65,MATCH($D90,'DB-function distributions'!$B$11:$B$65,0))</f>
        <v>0</v>
      </c>
      <c r="N90" s="212">
        <f>INDEX('DB-function distributions'!F$11:F$65,MATCH($D90,'DB-function distributions'!$B$11:$B$65,0))</f>
        <v>0.25</v>
      </c>
      <c r="O90" s="212">
        <f>INDEX('DB-function distributions'!G$11:G$65,MATCH($D90,'DB-function distributions'!$B$11:$B$65,0))</f>
        <v>1.39</v>
      </c>
      <c r="P90" s="212">
        <f>INDEX('DB-function distributions'!H$11:H$65,MATCH($D90,'DB-function distributions'!$B$11:$B$65,0))</f>
        <v>0.92</v>
      </c>
      <c r="Q90" s="212">
        <f>INDEX('DB-function distributions'!I$11:I$65,MATCH($D90,'DB-function distributions'!$B$11:$B$65,0))</f>
        <v>0.36</v>
      </c>
      <c r="R90" s="212">
        <f>INDEX('DB-function distributions'!J$11:J$65,MATCH($D90,'DB-function distributions'!$B$11:$B$65,0))</f>
        <v>0.28999999999999998</v>
      </c>
      <c r="S90" s="212">
        <f>INDEX('DB-function distributions'!K$11:K$65,MATCH($D90,'DB-function distributions'!$B$11:$B$65,0))</f>
        <v>0</v>
      </c>
      <c r="T90" s="212">
        <f>INDEX('DB-function distributions'!L$11:L$65,MATCH($D90,'DB-function distributions'!$B$11:$B$65,0))</f>
        <v>0</v>
      </c>
      <c r="U90" s="212">
        <f>INDEX('DB-function distributions'!M$11:M$65,MATCH($D90,'DB-function distributions'!$B$11:$B$65,0))</f>
        <v>0.62</v>
      </c>
      <c r="V90" s="212">
        <f>INDEX('DB-function distributions'!N$11:N$65,MATCH($D90,'DB-function distributions'!$B$11:$B$65,0))</f>
        <v>0.41</v>
      </c>
      <c r="W90" s="212">
        <f>INDEX('DB-function distributions'!O$11:O$65,MATCH($D90,'DB-function distributions'!$B$11:$B$65,0))</f>
        <v>0.79</v>
      </c>
      <c r="X90" s="212">
        <f>INDEX('DB-function distributions'!P$11:P$65,MATCH($D90,'DB-function distributions'!$B$11:$B$65,0))</f>
        <v>0</v>
      </c>
      <c r="Y90" s="212">
        <f>INDEX('DB-function distributions'!Q$11:Q$65,MATCH($D90,'DB-function distributions'!$B$11:$B$65,0))</f>
        <v>0.99</v>
      </c>
      <c r="Z90" s="212">
        <f>INDEX('DB-function distributions'!R$11:R$65,MATCH($D90,'DB-function distributions'!$B$11:$B$65,0))</f>
        <v>0</v>
      </c>
      <c r="AC90" s="212" t="s">
        <v>46</v>
      </c>
      <c r="AD90" s="212" t="s">
        <v>336</v>
      </c>
      <c r="AE90" s="212" t="s">
        <v>342</v>
      </c>
      <c r="AF90" s="212" t="s">
        <v>340</v>
      </c>
      <c r="AG90" s="212" t="s">
        <v>335</v>
      </c>
      <c r="AH90" s="212" t="s">
        <v>556</v>
      </c>
      <c r="AJ90" s="227">
        <v>0.21019108280254778</v>
      </c>
      <c r="AK90" s="227">
        <v>0.19532908704883228</v>
      </c>
      <c r="AL90" s="227">
        <v>0.16772823779193208</v>
      </c>
      <c r="AM90" s="227">
        <v>0.1316348195329087</v>
      </c>
      <c r="AN90" s="227">
        <v>0.29511677282377918</v>
      </c>
    </row>
    <row r="91" spans="1:40">
      <c r="A91" s="206">
        <f t="shared" si="1"/>
        <v>81</v>
      </c>
      <c r="B91" s="206" t="s">
        <v>140</v>
      </c>
      <c r="D91" s="206">
        <v>51</v>
      </c>
      <c r="E91" s="206" t="s">
        <v>141</v>
      </c>
      <c r="K91" s="212">
        <f>INDEX('DB-function distributions'!C$11:C$65,MATCH($D91,'DB-function distributions'!$B$11:$B$65,0))</f>
        <v>0</v>
      </c>
      <c r="L91" s="212">
        <f>INDEX('DB-function distributions'!D$11:D$65,MATCH($D91,'DB-function distributions'!$B$11:$B$65,0))</f>
        <v>0.13</v>
      </c>
      <c r="M91" s="212">
        <f>INDEX('DB-function distributions'!E$11:E$65,MATCH($D91,'DB-function distributions'!$B$11:$B$65,0))</f>
        <v>0.17</v>
      </c>
      <c r="N91" s="212">
        <f>INDEX('DB-function distributions'!F$11:F$65,MATCH($D91,'DB-function distributions'!$B$11:$B$65,0))</f>
        <v>0</v>
      </c>
      <c r="O91" s="212">
        <f>INDEX('DB-function distributions'!G$11:G$65,MATCH($D91,'DB-function distributions'!$B$11:$B$65,0))</f>
        <v>0</v>
      </c>
      <c r="P91" s="212">
        <f>INDEX('DB-function distributions'!H$11:H$65,MATCH($D91,'DB-function distributions'!$B$11:$B$65,0))</f>
        <v>0</v>
      </c>
      <c r="Q91" s="212">
        <f>INDEX('DB-function distributions'!I$11:I$65,MATCH($D91,'DB-function distributions'!$B$11:$B$65,0))</f>
        <v>0.19</v>
      </c>
      <c r="R91" s="212">
        <f>INDEX('DB-function distributions'!J$11:J$65,MATCH($D91,'DB-function distributions'!$B$11:$B$65,0))</f>
        <v>0</v>
      </c>
      <c r="S91" s="212">
        <f>INDEX('DB-function distributions'!K$11:K$65,MATCH($D91,'DB-function distributions'!$B$11:$B$65,0))</f>
        <v>0</v>
      </c>
      <c r="T91" s="212">
        <f>INDEX('DB-function distributions'!L$11:L$65,MATCH($D91,'DB-function distributions'!$B$11:$B$65,0))</f>
        <v>0</v>
      </c>
      <c r="U91" s="212">
        <f>INDEX('DB-function distributions'!M$11:M$65,MATCH($D91,'DB-function distributions'!$B$11:$B$65,0))</f>
        <v>0</v>
      </c>
      <c r="V91" s="212">
        <f>INDEX('DB-function distributions'!N$11:N$65,MATCH($D91,'DB-function distributions'!$B$11:$B$65,0))</f>
        <v>0</v>
      </c>
      <c r="W91" s="212">
        <f>INDEX('DB-function distributions'!O$11:O$65,MATCH($D91,'DB-function distributions'!$B$11:$B$65,0))</f>
        <v>0</v>
      </c>
      <c r="X91" s="212">
        <f>INDEX('DB-function distributions'!P$11:P$65,MATCH($D91,'DB-function distributions'!$B$11:$B$65,0))</f>
        <v>0</v>
      </c>
      <c r="Y91" s="212">
        <f>INDEX('DB-function distributions'!Q$11:Q$65,MATCH($D91,'DB-function distributions'!$B$11:$B$65,0))</f>
        <v>0.15</v>
      </c>
      <c r="Z91" s="212">
        <f>INDEX('DB-function distributions'!R$11:R$65,MATCH($D91,'DB-function distributions'!$B$11:$B$65,0))</f>
        <v>0</v>
      </c>
      <c r="AC91" s="212" t="s">
        <v>337</v>
      </c>
      <c r="AD91" s="212" t="s">
        <v>332</v>
      </c>
      <c r="AE91" s="212" t="s">
        <v>333</v>
      </c>
      <c r="AF91" s="212" t="s">
        <v>46</v>
      </c>
      <c r="AG91" s="212" t="s">
        <v>335</v>
      </c>
      <c r="AH91" s="212" t="s">
        <v>556</v>
      </c>
      <c r="AJ91" s="227">
        <v>0.296875</v>
      </c>
      <c r="AK91" s="227">
        <v>0.203125</v>
      </c>
      <c r="AL91" s="227">
        <v>0.265625</v>
      </c>
      <c r="AM91" s="227">
        <v>0.234375</v>
      </c>
      <c r="AN91" s="227">
        <v>0</v>
      </c>
    </row>
    <row r="92" spans="1:40">
      <c r="A92" s="206">
        <f t="shared" si="1"/>
        <v>82</v>
      </c>
      <c r="B92" s="206" t="s">
        <v>153</v>
      </c>
      <c r="D92" s="206">
        <v>49</v>
      </c>
      <c r="E92" s="206" t="s">
        <v>162</v>
      </c>
      <c r="K92" s="212">
        <f>INDEX('DB-function distributions'!C$11:C$65,MATCH($D92,'DB-function distributions'!$B$11:$B$65,0))</f>
        <v>0</v>
      </c>
      <c r="L92" s="212">
        <f>INDEX('DB-function distributions'!D$11:D$65,MATCH($D92,'DB-function distributions'!$B$11:$B$65,0))</f>
        <v>0.28999999999999998</v>
      </c>
      <c r="M92" s="212">
        <f>INDEX('DB-function distributions'!E$11:E$65,MATCH($D92,'DB-function distributions'!$B$11:$B$65,0))</f>
        <v>0.44</v>
      </c>
      <c r="N92" s="212">
        <f>INDEX('DB-function distributions'!F$11:F$65,MATCH($D92,'DB-function distributions'!$B$11:$B$65,0))</f>
        <v>0</v>
      </c>
      <c r="O92" s="212">
        <f>INDEX('DB-function distributions'!G$11:G$65,MATCH($D92,'DB-function distributions'!$B$11:$B$65,0))</f>
        <v>0</v>
      </c>
      <c r="P92" s="212">
        <f>INDEX('DB-function distributions'!H$11:H$65,MATCH($D92,'DB-function distributions'!$B$11:$B$65,0))</f>
        <v>0</v>
      </c>
      <c r="Q92" s="212">
        <f>INDEX('DB-function distributions'!I$11:I$65,MATCH($D92,'DB-function distributions'!$B$11:$B$65,0))</f>
        <v>0</v>
      </c>
      <c r="R92" s="212">
        <f>INDEX('DB-function distributions'!J$11:J$65,MATCH($D92,'DB-function distributions'!$B$11:$B$65,0))</f>
        <v>0</v>
      </c>
      <c r="S92" s="212">
        <f>INDEX('DB-function distributions'!K$11:K$65,MATCH($D92,'DB-function distributions'!$B$11:$B$65,0))</f>
        <v>0.09</v>
      </c>
      <c r="T92" s="212">
        <f>INDEX('DB-function distributions'!L$11:L$65,MATCH($D92,'DB-function distributions'!$B$11:$B$65,0))</f>
        <v>0</v>
      </c>
      <c r="U92" s="212">
        <f>INDEX('DB-function distributions'!M$11:M$65,MATCH($D92,'DB-function distributions'!$B$11:$B$65,0))</f>
        <v>0.42</v>
      </c>
      <c r="V92" s="212">
        <f>INDEX('DB-function distributions'!N$11:N$65,MATCH($D92,'DB-function distributions'!$B$11:$B$65,0))</f>
        <v>0</v>
      </c>
      <c r="W92" s="212">
        <f>INDEX('DB-function distributions'!O$11:O$65,MATCH($D92,'DB-function distributions'!$B$11:$B$65,0))</f>
        <v>0</v>
      </c>
      <c r="X92" s="212">
        <f>INDEX('DB-function distributions'!P$11:P$65,MATCH($D92,'DB-function distributions'!$B$11:$B$65,0))</f>
        <v>0</v>
      </c>
      <c r="Y92" s="212">
        <f>INDEX('DB-function distributions'!Q$11:Q$65,MATCH($D92,'DB-function distributions'!$B$11:$B$65,0))</f>
        <v>0.35</v>
      </c>
      <c r="Z92" s="212">
        <f>INDEX('DB-function distributions'!R$11:R$65,MATCH($D92,'DB-function distributions'!$B$11:$B$65,0))</f>
        <v>0</v>
      </c>
      <c r="AC92" s="212" t="s">
        <v>338</v>
      </c>
      <c r="AD92" s="212" t="s">
        <v>332</v>
      </c>
      <c r="AE92" s="212" t="s">
        <v>333</v>
      </c>
      <c r="AF92" s="212" t="s">
        <v>340</v>
      </c>
      <c r="AG92" s="212" t="s">
        <v>46</v>
      </c>
      <c r="AH92" s="212" t="s">
        <v>556</v>
      </c>
      <c r="AJ92" s="227">
        <v>5.6603773584905662E-2</v>
      </c>
      <c r="AK92" s="227">
        <v>0.18238993710691825</v>
      </c>
      <c r="AL92" s="227">
        <v>0.27672955974842772</v>
      </c>
      <c r="AM92" s="227">
        <v>0.26415094339622641</v>
      </c>
      <c r="AN92" s="227">
        <v>0.22012578616352202</v>
      </c>
    </row>
    <row r="93" spans="1:40">
      <c r="A93" s="206">
        <f t="shared" si="1"/>
        <v>83</v>
      </c>
      <c r="B93" s="206" t="s">
        <v>142</v>
      </c>
      <c r="D93" s="206">
        <v>52</v>
      </c>
      <c r="E93" s="206" t="s">
        <v>143</v>
      </c>
      <c r="K93" s="212">
        <f>INDEX('DB-function distributions'!C$11:C$65,MATCH($D93,'DB-function distributions'!$B$11:$B$65,0))</f>
        <v>0</v>
      </c>
      <c r="L93" s="212">
        <f>INDEX('DB-function distributions'!D$11:D$65,MATCH($D93,'DB-function distributions'!$B$11:$B$65,0))</f>
        <v>0</v>
      </c>
      <c r="M93" s="212">
        <f>INDEX('DB-function distributions'!E$11:E$65,MATCH($D93,'DB-function distributions'!$B$11:$B$65,0))</f>
        <v>0</v>
      </c>
      <c r="N93" s="212">
        <f>INDEX('DB-function distributions'!F$11:F$65,MATCH($D93,'DB-function distributions'!$B$11:$B$65,0))</f>
        <v>0</v>
      </c>
      <c r="O93" s="212">
        <f>INDEX('DB-function distributions'!G$11:G$65,MATCH($D93,'DB-function distributions'!$B$11:$B$65,0))</f>
        <v>0</v>
      </c>
      <c r="P93" s="212">
        <f>INDEX('DB-function distributions'!H$11:H$65,MATCH($D93,'DB-function distributions'!$B$11:$B$65,0))</f>
        <v>0</v>
      </c>
      <c r="Q93" s="212">
        <f>INDEX('DB-function distributions'!I$11:I$65,MATCH($D93,'DB-function distributions'!$B$11:$B$65,0))</f>
        <v>0</v>
      </c>
      <c r="R93" s="212">
        <f>INDEX('DB-function distributions'!J$11:J$65,MATCH($D93,'DB-function distributions'!$B$11:$B$65,0))</f>
        <v>0</v>
      </c>
      <c r="S93" s="212">
        <f>INDEX('DB-function distributions'!K$11:K$65,MATCH($D93,'DB-function distributions'!$B$11:$B$65,0))</f>
        <v>0.13</v>
      </c>
      <c r="T93" s="212">
        <f>INDEX('DB-function distributions'!L$11:L$65,MATCH($D93,'DB-function distributions'!$B$11:$B$65,0))</f>
        <v>0</v>
      </c>
      <c r="U93" s="212">
        <f>INDEX('DB-function distributions'!M$11:M$65,MATCH($D93,'DB-function distributions'!$B$11:$B$65,0))</f>
        <v>0</v>
      </c>
      <c r="V93" s="212">
        <f>INDEX('DB-function distributions'!N$11:N$65,MATCH($D93,'DB-function distributions'!$B$11:$B$65,0))</f>
        <v>0</v>
      </c>
      <c r="W93" s="212">
        <f>INDEX('DB-function distributions'!O$11:O$65,MATCH($D93,'DB-function distributions'!$B$11:$B$65,0))</f>
        <v>0</v>
      </c>
      <c r="X93" s="212">
        <f>INDEX('DB-function distributions'!P$11:P$65,MATCH($D93,'DB-function distributions'!$B$11:$B$65,0))</f>
        <v>0.22</v>
      </c>
      <c r="Y93" s="212">
        <f>INDEX('DB-function distributions'!Q$11:Q$65,MATCH($D93,'DB-function distributions'!$B$11:$B$65,0))</f>
        <v>0.22</v>
      </c>
      <c r="Z93" s="212">
        <f>INDEX('DB-function distributions'!R$11:R$65,MATCH($D93,'DB-function distributions'!$B$11:$B$65,0))</f>
        <v>0</v>
      </c>
      <c r="AC93" s="212" t="s">
        <v>338</v>
      </c>
      <c r="AD93" s="212" t="s">
        <v>343</v>
      </c>
      <c r="AE93" s="212" t="s">
        <v>46</v>
      </c>
      <c r="AF93" s="212" t="s">
        <v>334</v>
      </c>
      <c r="AG93" s="212" t="s">
        <v>335</v>
      </c>
      <c r="AH93" s="212" t="s">
        <v>556</v>
      </c>
      <c r="AJ93" s="227">
        <v>0.22807017543859651</v>
      </c>
      <c r="AK93" s="227">
        <v>0.38596491228070179</v>
      </c>
      <c r="AL93" s="227">
        <v>0.38596491228070179</v>
      </c>
      <c r="AM93" s="227">
        <v>0</v>
      </c>
      <c r="AN93" s="227">
        <v>0</v>
      </c>
    </row>
    <row r="94" spans="1:40">
      <c r="A94" s="206">
        <f t="shared" si="1"/>
        <v>84</v>
      </c>
      <c r="B94" s="206" t="s">
        <v>144</v>
      </c>
      <c r="D94" s="206">
        <v>53</v>
      </c>
      <c r="E94" s="206" t="s">
        <v>145</v>
      </c>
      <c r="K94" s="212">
        <f>INDEX('DB-function distributions'!C$11:C$65,MATCH($D94,'DB-function distributions'!$B$11:$B$65,0))</f>
        <v>0</v>
      </c>
      <c r="L94" s="212">
        <f>INDEX('DB-function distributions'!D$11:D$65,MATCH($D94,'DB-function distributions'!$B$11:$B$65,0))</f>
        <v>0</v>
      </c>
      <c r="M94" s="212">
        <f>INDEX('DB-function distributions'!E$11:E$65,MATCH($D94,'DB-function distributions'!$B$11:$B$65,0))</f>
        <v>0</v>
      </c>
      <c r="N94" s="212">
        <f>INDEX('DB-function distributions'!F$11:F$65,MATCH($D94,'DB-function distributions'!$B$11:$B$65,0))</f>
        <v>0</v>
      </c>
      <c r="O94" s="212">
        <f>INDEX('DB-function distributions'!G$11:G$65,MATCH($D94,'DB-function distributions'!$B$11:$B$65,0))</f>
        <v>0</v>
      </c>
      <c r="P94" s="212">
        <f>INDEX('DB-function distributions'!H$11:H$65,MATCH($D94,'DB-function distributions'!$B$11:$B$65,0))</f>
        <v>0</v>
      </c>
      <c r="Q94" s="212">
        <f>INDEX('DB-function distributions'!I$11:I$65,MATCH($D94,'DB-function distributions'!$B$11:$B$65,0))</f>
        <v>0</v>
      </c>
      <c r="R94" s="212">
        <f>INDEX('DB-function distributions'!J$11:J$65,MATCH($D94,'DB-function distributions'!$B$11:$B$65,0))</f>
        <v>0</v>
      </c>
      <c r="S94" s="212">
        <f>INDEX('DB-function distributions'!K$11:K$65,MATCH($D94,'DB-function distributions'!$B$11:$B$65,0))</f>
        <v>0</v>
      </c>
      <c r="T94" s="212">
        <f>INDEX('DB-function distributions'!L$11:L$65,MATCH($D94,'DB-function distributions'!$B$11:$B$65,0))</f>
        <v>0</v>
      </c>
      <c r="U94" s="212">
        <f>INDEX('DB-function distributions'!M$11:M$65,MATCH($D94,'DB-function distributions'!$B$11:$B$65,0))</f>
        <v>0.3</v>
      </c>
      <c r="V94" s="212">
        <f>INDEX('DB-function distributions'!N$11:N$65,MATCH($D94,'DB-function distributions'!$B$11:$B$65,0))</f>
        <v>0</v>
      </c>
      <c r="W94" s="212">
        <f>INDEX('DB-function distributions'!O$11:O$65,MATCH($D94,'DB-function distributions'!$B$11:$B$65,0))</f>
        <v>0</v>
      </c>
      <c r="X94" s="212">
        <f>INDEX('DB-function distributions'!P$11:P$65,MATCH($D94,'DB-function distributions'!$B$11:$B$65,0))</f>
        <v>0</v>
      </c>
      <c r="Y94" s="212">
        <f>INDEX('DB-function distributions'!Q$11:Q$65,MATCH($D94,'DB-function distributions'!$B$11:$B$65,0))</f>
        <v>0.3</v>
      </c>
      <c r="Z94" s="212">
        <f>INDEX('DB-function distributions'!R$11:R$65,MATCH($D94,'DB-function distributions'!$B$11:$B$65,0))</f>
        <v>0</v>
      </c>
      <c r="AC94" s="212" t="s">
        <v>340</v>
      </c>
      <c r="AD94" s="212" t="s">
        <v>46</v>
      </c>
      <c r="AE94" s="212" t="s">
        <v>333</v>
      </c>
      <c r="AF94" s="212" t="s">
        <v>334</v>
      </c>
      <c r="AG94" s="212" t="s">
        <v>335</v>
      </c>
      <c r="AH94" s="212" t="s">
        <v>556</v>
      </c>
      <c r="AJ94" s="227">
        <v>0.5</v>
      </c>
      <c r="AK94" s="227">
        <v>0.5</v>
      </c>
      <c r="AL94" s="227">
        <v>0</v>
      </c>
      <c r="AM94" s="227">
        <v>0</v>
      </c>
      <c r="AN94" s="227">
        <v>0</v>
      </c>
    </row>
    <row r="95" spans="1:40">
      <c r="A95" s="206">
        <f t="shared" si="1"/>
        <v>85</v>
      </c>
      <c r="B95" s="206" t="s">
        <v>146</v>
      </c>
      <c r="D95" s="206">
        <v>55</v>
      </c>
      <c r="E95" s="206" t="s">
        <v>46</v>
      </c>
      <c r="K95" s="212">
        <f>INDEX('DB-function distributions'!C$11:C$65,MATCH($D95,'DB-function distributions'!$B$11:$B$65,0))</f>
        <v>0.9</v>
      </c>
      <c r="L95" s="212">
        <f>INDEX('DB-function distributions'!D$11:D$65,MATCH($D95,'DB-function distributions'!$B$11:$B$65,0))</f>
        <v>2.62</v>
      </c>
      <c r="M95" s="212">
        <f>INDEX('DB-function distributions'!E$11:E$65,MATCH($D95,'DB-function distributions'!$B$11:$B$65,0))</f>
        <v>3.74</v>
      </c>
      <c r="N95" s="212">
        <f>INDEX('DB-function distributions'!F$11:F$65,MATCH($D95,'DB-function distributions'!$B$11:$B$65,0))</f>
        <v>0.36</v>
      </c>
      <c r="O95" s="212">
        <f>INDEX('DB-function distributions'!G$11:G$65,MATCH($D95,'DB-function distributions'!$B$11:$B$65,0))</f>
        <v>1.96</v>
      </c>
      <c r="P95" s="212">
        <f>INDEX('DB-function distributions'!H$11:H$65,MATCH($D95,'DB-function distributions'!$B$11:$B$65,0))</f>
        <v>1.06</v>
      </c>
      <c r="Q95" s="212">
        <f>INDEX('DB-function distributions'!I$11:I$65,MATCH($D95,'DB-function distributions'!$B$11:$B$65,0))</f>
        <v>0.46</v>
      </c>
      <c r="R95" s="212">
        <f>INDEX('DB-function distributions'!J$11:J$65,MATCH($D95,'DB-function distributions'!$B$11:$B$65,0))</f>
        <v>0.63</v>
      </c>
      <c r="S95" s="212">
        <f>INDEX('DB-function distributions'!K$11:K$65,MATCH($D95,'DB-function distributions'!$B$11:$B$65,0))</f>
        <v>1.87</v>
      </c>
      <c r="T95" s="212">
        <f>INDEX('DB-function distributions'!L$11:L$65,MATCH($D95,'DB-function distributions'!$B$11:$B$65,0))</f>
        <v>0</v>
      </c>
      <c r="U95" s="212">
        <f>INDEX('DB-function distributions'!M$11:M$65,MATCH($D95,'DB-function distributions'!$B$11:$B$65,0))</f>
        <v>2.6</v>
      </c>
      <c r="V95" s="212">
        <f>INDEX('DB-function distributions'!N$11:N$65,MATCH($D95,'DB-function distributions'!$B$11:$B$65,0))</f>
        <v>0.83</v>
      </c>
      <c r="W95" s="212">
        <f>INDEX('DB-function distributions'!O$11:O$65,MATCH($D95,'DB-function distributions'!$B$11:$B$65,0))</f>
        <v>1.33</v>
      </c>
      <c r="X95" s="212">
        <f>INDEX('DB-function distributions'!P$11:P$65,MATCH($D95,'DB-function distributions'!$B$11:$B$65,0))</f>
        <v>2.06</v>
      </c>
      <c r="Y95" s="212">
        <f>INDEX('DB-function distributions'!Q$11:Q$65,MATCH($D95,'DB-function distributions'!$B$11:$B$65,0))</f>
        <v>3.57</v>
      </c>
      <c r="Z95" s="212">
        <f>INDEX('DB-function distributions'!R$11:R$65,MATCH($D95,'DB-function distributions'!$B$11:$B$65,0))</f>
        <v>0</v>
      </c>
      <c r="AC95" s="212" t="s">
        <v>343</v>
      </c>
      <c r="AD95" s="212" t="s">
        <v>332</v>
      </c>
      <c r="AE95" s="212" t="s">
        <v>333</v>
      </c>
      <c r="AF95" s="212" t="s">
        <v>340</v>
      </c>
      <c r="AG95" s="212" t="s">
        <v>46</v>
      </c>
      <c r="AH95" s="212" t="s">
        <v>556</v>
      </c>
      <c r="AJ95" s="227">
        <v>0.14119259766963674</v>
      </c>
      <c r="AK95" s="227">
        <v>0.17957505140507199</v>
      </c>
      <c r="AL95" s="227">
        <v>0.25633995887594246</v>
      </c>
      <c r="AM95" s="227">
        <v>0.17820424948594929</v>
      </c>
      <c r="AN95" s="227">
        <v>0.24468814256339957</v>
      </c>
    </row>
    <row r="96" spans="1:40">
      <c r="A96" s="206">
        <f t="shared" si="1"/>
        <v>86</v>
      </c>
      <c r="B96" s="206" t="s">
        <v>147</v>
      </c>
      <c r="D96" s="206">
        <v>54</v>
      </c>
      <c r="E96" s="206" t="s">
        <v>148</v>
      </c>
      <c r="K96" s="212">
        <f>INDEX('DB-function distributions'!C$11:C$65,MATCH($D96,'DB-function distributions'!$B$11:$B$65,0))</f>
        <v>0</v>
      </c>
      <c r="L96" s="212">
        <f>INDEX('DB-function distributions'!D$11:D$65,MATCH($D96,'DB-function distributions'!$B$11:$B$65,0))</f>
        <v>0</v>
      </c>
      <c r="M96" s="212">
        <f>INDEX('DB-function distributions'!E$11:E$65,MATCH($D96,'DB-function distributions'!$B$11:$B$65,0))</f>
        <v>0</v>
      </c>
      <c r="N96" s="212">
        <f>INDEX('DB-function distributions'!F$11:F$65,MATCH($D96,'DB-function distributions'!$B$11:$B$65,0))</f>
        <v>0.02</v>
      </c>
      <c r="O96" s="212">
        <f>INDEX('DB-function distributions'!G$11:G$65,MATCH($D96,'DB-function distributions'!$B$11:$B$65,0))</f>
        <v>0</v>
      </c>
      <c r="P96" s="212">
        <f>INDEX('DB-function distributions'!H$11:H$65,MATCH($D96,'DB-function distributions'!$B$11:$B$65,0))</f>
        <v>0</v>
      </c>
      <c r="Q96" s="212">
        <f>INDEX('DB-function distributions'!I$11:I$65,MATCH($D96,'DB-function distributions'!$B$11:$B$65,0))</f>
        <v>0</v>
      </c>
      <c r="R96" s="212">
        <f>INDEX('DB-function distributions'!J$11:J$65,MATCH($D96,'DB-function distributions'!$B$11:$B$65,0))</f>
        <v>0.05</v>
      </c>
      <c r="S96" s="212">
        <f>INDEX('DB-function distributions'!K$11:K$65,MATCH($D96,'DB-function distributions'!$B$11:$B$65,0))</f>
        <v>0</v>
      </c>
      <c r="T96" s="212">
        <f>INDEX('DB-function distributions'!L$11:L$65,MATCH($D96,'DB-function distributions'!$B$11:$B$65,0))</f>
        <v>0</v>
      </c>
      <c r="U96" s="212">
        <f>INDEX('DB-function distributions'!M$11:M$65,MATCH($D96,'DB-function distributions'!$B$11:$B$65,0))</f>
        <v>0</v>
      </c>
      <c r="V96" s="212">
        <f>INDEX('DB-function distributions'!N$11:N$65,MATCH($D96,'DB-function distributions'!$B$11:$B$65,0))</f>
        <v>0</v>
      </c>
      <c r="W96" s="212">
        <f>INDEX('DB-function distributions'!O$11:O$65,MATCH($D96,'DB-function distributions'!$B$11:$B$65,0))</f>
        <v>0</v>
      </c>
      <c r="X96" s="212">
        <f>INDEX('DB-function distributions'!P$11:P$65,MATCH($D96,'DB-function distributions'!$B$11:$B$65,0))</f>
        <v>0</v>
      </c>
      <c r="Y96" s="212">
        <f>INDEX('DB-function distributions'!Q$11:Q$65,MATCH($D96,'DB-function distributions'!$B$11:$B$65,0))</f>
        <v>0.05</v>
      </c>
      <c r="Z96" s="212">
        <f>INDEX('DB-function distributions'!R$11:R$65,MATCH($D96,'DB-function distributions'!$B$11:$B$65,0))</f>
        <v>0</v>
      </c>
      <c r="AC96" s="212" t="s">
        <v>348</v>
      </c>
      <c r="AD96" s="212" t="s">
        <v>46</v>
      </c>
      <c r="AE96" s="212" t="s">
        <v>333</v>
      </c>
      <c r="AF96" s="212" t="s">
        <v>334</v>
      </c>
      <c r="AG96" s="212" t="s">
        <v>335</v>
      </c>
      <c r="AH96" s="212" t="s">
        <v>556</v>
      </c>
      <c r="AJ96" s="227">
        <v>0.41666666666666663</v>
      </c>
      <c r="AK96" s="227">
        <v>0.41666666666666663</v>
      </c>
      <c r="AL96" s="227">
        <v>0</v>
      </c>
      <c r="AM96" s="227">
        <v>0.16666666666666666</v>
      </c>
      <c r="AN96" s="227">
        <v>0</v>
      </c>
    </row>
    <row r="97" spans="1:40">
      <c r="A97" s="206">
        <f t="shared" si="1"/>
        <v>87</v>
      </c>
      <c r="B97" s="206" t="s">
        <v>149</v>
      </c>
      <c r="D97" s="206">
        <v>25</v>
      </c>
      <c r="E97" s="206" t="s">
        <v>88</v>
      </c>
      <c r="K97" s="212">
        <f>INDEX('DB-function distributions'!C$11:C$65,MATCH($D97,'DB-function distributions'!$B$11:$B$65,0))</f>
        <v>0</v>
      </c>
      <c r="L97" s="212">
        <f>INDEX('DB-function distributions'!D$11:D$65,MATCH($D97,'DB-function distributions'!$B$11:$B$65,0))</f>
        <v>0</v>
      </c>
      <c r="M97" s="212">
        <f>INDEX('DB-function distributions'!E$11:E$65,MATCH($D97,'DB-function distributions'!$B$11:$B$65,0))</f>
        <v>0</v>
      </c>
      <c r="N97" s="212">
        <f>INDEX('DB-function distributions'!F$11:F$65,MATCH($D97,'DB-function distributions'!$B$11:$B$65,0))</f>
        <v>0</v>
      </c>
      <c r="O97" s="212">
        <f>INDEX('DB-function distributions'!G$11:G$65,MATCH($D97,'DB-function distributions'!$B$11:$B$65,0))</f>
        <v>0</v>
      </c>
      <c r="P97" s="212">
        <f>INDEX('DB-function distributions'!H$11:H$65,MATCH($D97,'DB-function distributions'!$B$11:$B$65,0))</f>
        <v>0</v>
      </c>
      <c r="Q97" s="212">
        <f>INDEX('DB-function distributions'!I$11:I$65,MATCH($D97,'DB-function distributions'!$B$11:$B$65,0))</f>
        <v>0</v>
      </c>
      <c r="R97" s="212">
        <f>INDEX('DB-function distributions'!J$11:J$65,MATCH($D97,'DB-function distributions'!$B$11:$B$65,0))</f>
        <v>0</v>
      </c>
      <c r="S97" s="212">
        <f>INDEX('DB-function distributions'!K$11:K$65,MATCH($D97,'DB-function distributions'!$B$11:$B$65,0))</f>
        <v>0</v>
      </c>
      <c r="T97" s="212">
        <f>INDEX('DB-function distributions'!L$11:L$65,MATCH($D97,'DB-function distributions'!$B$11:$B$65,0))</f>
        <v>0</v>
      </c>
      <c r="U97" s="212">
        <f>INDEX('DB-function distributions'!M$11:M$65,MATCH($D97,'DB-function distributions'!$B$11:$B$65,0))</f>
        <v>0.19</v>
      </c>
      <c r="V97" s="212">
        <f>INDEX('DB-function distributions'!N$11:N$65,MATCH($D97,'DB-function distributions'!$B$11:$B$65,0))</f>
        <v>0</v>
      </c>
      <c r="W97" s="212">
        <f>INDEX('DB-function distributions'!O$11:O$65,MATCH($D97,'DB-function distributions'!$B$11:$B$65,0))</f>
        <v>0</v>
      </c>
      <c r="X97" s="212">
        <f>INDEX('DB-function distributions'!P$11:P$65,MATCH($D97,'DB-function distributions'!$B$11:$B$65,0))</f>
        <v>0</v>
      </c>
      <c r="Y97" s="212">
        <f>INDEX('DB-function distributions'!Q$11:Q$65,MATCH($D97,'DB-function distributions'!$B$11:$B$65,0))</f>
        <v>0.16</v>
      </c>
      <c r="Z97" s="212">
        <f>INDEX('DB-function distributions'!R$11:R$65,MATCH($D97,'DB-function distributions'!$B$11:$B$65,0))</f>
        <v>0</v>
      </c>
      <c r="AC97" s="212" t="s">
        <v>340</v>
      </c>
      <c r="AD97" s="212" t="s">
        <v>46</v>
      </c>
      <c r="AE97" s="212" t="s">
        <v>333</v>
      </c>
      <c r="AF97" s="212" t="s">
        <v>334</v>
      </c>
      <c r="AG97" s="212" t="s">
        <v>335</v>
      </c>
      <c r="AH97" s="212" t="s">
        <v>556</v>
      </c>
      <c r="AJ97" s="227">
        <v>0.54285714285714293</v>
      </c>
      <c r="AK97" s="227">
        <v>0.45714285714285718</v>
      </c>
      <c r="AL97" s="227">
        <v>0</v>
      </c>
      <c r="AM97" s="227">
        <v>0</v>
      </c>
      <c r="AN97" s="227">
        <v>0</v>
      </c>
    </row>
    <row r="98" spans="1:40">
      <c r="K98" s="212" t="e">
        <f>INDEX('DB-function distributions'!C$11:C$65,MATCH($D98,'DB-function distributions'!$B$11:$B$65,0))</f>
        <v>#N/A</v>
      </c>
      <c r="L98" s="212" t="e">
        <f>INDEX('DB-function distributions'!D$11:D$65,MATCH($D98,'DB-function distributions'!$B$11:$B$65,0))</f>
        <v>#N/A</v>
      </c>
      <c r="M98" s="212" t="e">
        <f>INDEX('DB-function distributions'!E$11:E$65,MATCH($D98,'DB-function distributions'!$B$11:$B$65,0))</f>
        <v>#N/A</v>
      </c>
      <c r="N98" s="212" t="e">
        <f>INDEX('DB-function distributions'!F$11:F$65,MATCH($D98,'DB-function distributions'!$B$11:$B$65,0))</f>
        <v>#N/A</v>
      </c>
      <c r="O98" s="212" t="e">
        <f>INDEX('DB-function distributions'!G$11:G$65,MATCH($D98,'DB-function distributions'!$B$11:$B$65,0))</f>
        <v>#N/A</v>
      </c>
      <c r="P98" s="212" t="e">
        <f>INDEX('DB-function distributions'!H$11:H$65,MATCH($D98,'DB-function distributions'!$B$11:$B$65,0))</f>
        <v>#N/A</v>
      </c>
      <c r="Q98" s="212" t="e">
        <f>INDEX('DB-function distributions'!I$11:I$65,MATCH($D98,'DB-function distributions'!$B$11:$B$65,0))</f>
        <v>#N/A</v>
      </c>
      <c r="R98" s="212" t="e">
        <f>INDEX('DB-function distributions'!J$11:J$65,MATCH($D98,'DB-function distributions'!$B$11:$B$65,0))</f>
        <v>#N/A</v>
      </c>
      <c r="S98" s="212" t="e">
        <f>INDEX('DB-function distributions'!K$11:K$65,MATCH($D98,'DB-function distributions'!$B$11:$B$65,0))</f>
        <v>#N/A</v>
      </c>
      <c r="T98" s="212" t="e">
        <f>INDEX('DB-function distributions'!L$11:L$65,MATCH($D98,'DB-function distributions'!$B$11:$B$65,0))</f>
        <v>#N/A</v>
      </c>
      <c r="U98" s="212" t="e">
        <f>INDEX('DB-function distributions'!M$11:M$65,MATCH($D98,'DB-function distributions'!$B$11:$B$65,0))</f>
        <v>#N/A</v>
      </c>
      <c r="V98" s="212" t="e">
        <f>INDEX('DB-function distributions'!N$11:N$65,MATCH($D98,'DB-function distributions'!$B$11:$B$65,0))</f>
        <v>#N/A</v>
      </c>
      <c r="W98" s="212" t="e">
        <f>INDEX('DB-function distributions'!O$11:O$65,MATCH($D98,'DB-function distributions'!$B$11:$B$65,0))</f>
        <v>#N/A</v>
      </c>
      <c r="X98" s="212" t="e">
        <f>INDEX('DB-function distributions'!P$11:P$65,MATCH($D98,'DB-function distributions'!$B$11:$B$65,0))</f>
        <v>#N/A</v>
      </c>
      <c r="Y98" s="212" t="e">
        <f>INDEX('DB-function distributions'!Q$11:Q$65,MATCH($D98,'DB-function distributions'!$B$11:$B$65,0))</f>
        <v>#N/A</v>
      </c>
      <c r="Z98" s="212" t="e">
        <f>INDEX('DB-function distributions'!R$11:R$65,MATCH($D98,'DB-function distributions'!$B$11:$B$65,0))</f>
        <v>#N/A</v>
      </c>
    </row>
    <row r="99" spans="1:40">
      <c r="K99" s="212" t="e">
        <f>INDEX('DB-function distributions'!C$11:C$65,MATCH($D99,'DB-function distributions'!$B$11:$B$65,0))</f>
        <v>#N/A</v>
      </c>
      <c r="L99" s="212" t="e">
        <f>INDEX('DB-function distributions'!D$11:D$65,MATCH($D99,'DB-function distributions'!$B$11:$B$65,0))</f>
        <v>#N/A</v>
      </c>
      <c r="M99" s="212" t="e">
        <f>INDEX('DB-function distributions'!E$11:E$65,MATCH($D99,'DB-function distributions'!$B$11:$B$65,0))</f>
        <v>#N/A</v>
      </c>
      <c r="N99" s="212" t="e">
        <f>INDEX('DB-function distributions'!F$11:F$65,MATCH($D99,'DB-function distributions'!$B$11:$B$65,0))</f>
        <v>#N/A</v>
      </c>
      <c r="O99" s="212" t="e">
        <f>INDEX('DB-function distributions'!G$11:G$65,MATCH($D99,'DB-function distributions'!$B$11:$B$65,0))</f>
        <v>#N/A</v>
      </c>
      <c r="P99" s="212" t="e">
        <f>INDEX('DB-function distributions'!H$11:H$65,MATCH($D99,'DB-function distributions'!$B$11:$B$65,0))</f>
        <v>#N/A</v>
      </c>
      <c r="Q99" s="212" t="e">
        <f>INDEX('DB-function distributions'!I$11:I$65,MATCH($D99,'DB-function distributions'!$B$11:$B$65,0))</f>
        <v>#N/A</v>
      </c>
      <c r="R99" s="212" t="e">
        <f>INDEX('DB-function distributions'!J$11:J$65,MATCH($D99,'DB-function distributions'!$B$11:$B$65,0))</f>
        <v>#N/A</v>
      </c>
      <c r="S99" s="212" t="e">
        <f>INDEX('DB-function distributions'!K$11:K$65,MATCH($D99,'DB-function distributions'!$B$11:$B$65,0))</f>
        <v>#N/A</v>
      </c>
      <c r="T99" s="212" t="e">
        <f>INDEX('DB-function distributions'!L$11:L$65,MATCH($D99,'DB-function distributions'!$B$11:$B$65,0))</f>
        <v>#N/A</v>
      </c>
      <c r="U99" s="212" t="e">
        <f>INDEX('DB-function distributions'!M$11:M$65,MATCH($D99,'DB-function distributions'!$B$11:$B$65,0))</f>
        <v>#N/A</v>
      </c>
      <c r="V99" s="212" t="e">
        <f>INDEX('DB-function distributions'!N$11:N$65,MATCH($D99,'DB-function distributions'!$B$11:$B$65,0))</f>
        <v>#N/A</v>
      </c>
      <c r="W99" s="212" t="e">
        <f>INDEX('DB-function distributions'!O$11:O$65,MATCH($D99,'DB-function distributions'!$B$11:$B$65,0))</f>
        <v>#N/A</v>
      </c>
      <c r="X99" s="212" t="e">
        <f>INDEX('DB-function distributions'!P$11:P$65,MATCH($D99,'DB-function distributions'!$B$11:$B$65,0))</f>
        <v>#N/A</v>
      </c>
      <c r="Y99" s="212" t="e">
        <f>INDEX('DB-function distributions'!Q$11:Q$65,MATCH($D99,'DB-function distributions'!$B$11:$B$65,0))</f>
        <v>#N/A</v>
      </c>
      <c r="Z99" s="212" t="e">
        <f>INDEX('DB-function distributions'!R$11:R$65,MATCH($D99,'DB-function distributions'!$B$11:$B$65,0))</f>
        <v>#N/A</v>
      </c>
    </row>
    <row r="100" spans="1:40">
      <c r="K100" s="212" t="e">
        <f>INDEX('DB-function distributions'!C$11:C$65,MATCH($D100,'DB-function distributions'!$B$11:$B$65,0))</f>
        <v>#N/A</v>
      </c>
      <c r="L100" s="212" t="e">
        <f>INDEX('DB-function distributions'!D$11:D$65,MATCH($D100,'DB-function distributions'!$B$11:$B$65,0))</f>
        <v>#N/A</v>
      </c>
      <c r="M100" s="212" t="e">
        <f>INDEX('DB-function distributions'!E$11:E$65,MATCH($D100,'DB-function distributions'!$B$11:$B$65,0))</f>
        <v>#N/A</v>
      </c>
      <c r="N100" s="212" t="e">
        <f>INDEX('DB-function distributions'!F$11:F$65,MATCH($D100,'DB-function distributions'!$B$11:$B$65,0))</f>
        <v>#N/A</v>
      </c>
      <c r="O100" s="212" t="e">
        <f>INDEX('DB-function distributions'!G$11:G$65,MATCH($D100,'DB-function distributions'!$B$11:$B$65,0))</f>
        <v>#N/A</v>
      </c>
      <c r="P100" s="212" t="e">
        <f>INDEX('DB-function distributions'!H$11:H$65,MATCH($D100,'DB-function distributions'!$B$11:$B$65,0))</f>
        <v>#N/A</v>
      </c>
      <c r="Q100" s="212" t="e">
        <f>INDEX('DB-function distributions'!I$11:I$65,MATCH($D100,'DB-function distributions'!$B$11:$B$65,0))</f>
        <v>#N/A</v>
      </c>
      <c r="R100" s="212" t="e">
        <f>INDEX('DB-function distributions'!J$11:J$65,MATCH($D100,'DB-function distributions'!$B$11:$B$65,0))</f>
        <v>#N/A</v>
      </c>
      <c r="S100" s="212" t="e">
        <f>INDEX('DB-function distributions'!K$11:K$65,MATCH($D100,'DB-function distributions'!$B$11:$B$65,0))</f>
        <v>#N/A</v>
      </c>
      <c r="T100" s="212" t="e">
        <f>INDEX('DB-function distributions'!L$11:L$65,MATCH($D100,'DB-function distributions'!$B$11:$B$65,0))</f>
        <v>#N/A</v>
      </c>
      <c r="U100" s="212" t="e">
        <f>INDEX('DB-function distributions'!M$11:M$65,MATCH($D100,'DB-function distributions'!$B$11:$B$65,0))</f>
        <v>#N/A</v>
      </c>
      <c r="V100" s="212" t="e">
        <f>INDEX('DB-function distributions'!N$11:N$65,MATCH($D100,'DB-function distributions'!$B$11:$B$65,0))</f>
        <v>#N/A</v>
      </c>
      <c r="W100" s="212" t="e">
        <f>INDEX('DB-function distributions'!O$11:O$65,MATCH($D100,'DB-function distributions'!$B$11:$B$65,0))</f>
        <v>#N/A</v>
      </c>
      <c r="X100" s="212" t="e">
        <f>INDEX('DB-function distributions'!P$11:P$65,MATCH($D100,'DB-function distributions'!$B$11:$B$65,0))</f>
        <v>#N/A</v>
      </c>
      <c r="Y100" s="212" t="e">
        <f>INDEX('DB-function distributions'!Q$11:Q$65,MATCH($D100,'DB-function distributions'!$B$11:$B$65,0))</f>
        <v>#N/A</v>
      </c>
      <c r="Z100" s="212" t="e">
        <f>INDEX('DB-function distributions'!R$11:R$65,MATCH($D100,'DB-function distributions'!$B$11:$B$65,0))</f>
        <v>#N/A</v>
      </c>
    </row>
    <row r="101" spans="1:40">
      <c r="K101" s="212" t="e">
        <f>INDEX('DB-function distributions'!C$11:C$65,MATCH($D101,'DB-function distributions'!$B$11:$B$65,0))</f>
        <v>#N/A</v>
      </c>
      <c r="L101" s="212" t="e">
        <f>INDEX('DB-function distributions'!D$11:D$65,MATCH($D101,'DB-function distributions'!$B$11:$B$65,0))</f>
        <v>#N/A</v>
      </c>
      <c r="M101" s="212" t="e">
        <f>INDEX('DB-function distributions'!E$11:E$65,MATCH($D101,'DB-function distributions'!$B$11:$B$65,0))</f>
        <v>#N/A</v>
      </c>
      <c r="N101" s="212" t="e">
        <f>INDEX('DB-function distributions'!F$11:F$65,MATCH($D101,'DB-function distributions'!$B$11:$B$65,0))</f>
        <v>#N/A</v>
      </c>
      <c r="O101" s="212" t="e">
        <f>INDEX('DB-function distributions'!G$11:G$65,MATCH($D101,'DB-function distributions'!$B$11:$B$65,0))</f>
        <v>#N/A</v>
      </c>
      <c r="P101" s="212" t="e">
        <f>INDEX('DB-function distributions'!H$11:H$65,MATCH($D101,'DB-function distributions'!$B$11:$B$65,0))</f>
        <v>#N/A</v>
      </c>
      <c r="Q101" s="212" t="e">
        <f>INDEX('DB-function distributions'!I$11:I$65,MATCH($D101,'DB-function distributions'!$B$11:$B$65,0))</f>
        <v>#N/A</v>
      </c>
      <c r="R101" s="212" t="e">
        <f>INDEX('DB-function distributions'!J$11:J$65,MATCH($D101,'DB-function distributions'!$B$11:$B$65,0))</f>
        <v>#N/A</v>
      </c>
      <c r="S101" s="212" t="e">
        <f>INDEX('DB-function distributions'!K$11:K$65,MATCH($D101,'DB-function distributions'!$B$11:$B$65,0))</f>
        <v>#N/A</v>
      </c>
      <c r="T101" s="212" t="e">
        <f>INDEX('DB-function distributions'!L$11:L$65,MATCH($D101,'DB-function distributions'!$B$11:$B$65,0))</f>
        <v>#N/A</v>
      </c>
      <c r="U101" s="212" t="e">
        <f>INDEX('DB-function distributions'!M$11:M$65,MATCH($D101,'DB-function distributions'!$B$11:$B$65,0))</f>
        <v>#N/A</v>
      </c>
      <c r="V101" s="212" t="e">
        <f>INDEX('DB-function distributions'!N$11:N$65,MATCH($D101,'DB-function distributions'!$B$11:$B$65,0))</f>
        <v>#N/A</v>
      </c>
      <c r="W101" s="212" t="e">
        <f>INDEX('DB-function distributions'!O$11:O$65,MATCH($D101,'DB-function distributions'!$B$11:$B$65,0))</f>
        <v>#N/A</v>
      </c>
      <c r="X101" s="212" t="e">
        <f>INDEX('DB-function distributions'!P$11:P$65,MATCH($D101,'DB-function distributions'!$B$11:$B$65,0))</f>
        <v>#N/A</v>
      </c>
      <c r="Y101" s="212" t="e">
        <f>INDEX('DB-function distributions'!Q$11:Q$65,MATCH($D101,'DB-function distributions'!$B$11:$B$65,0))</f>
        <v>#N/A</v>
      </c>
      <c r="Z101" s="212" t="e">
        <f>INDEX('DB-function distributions'!R$11:R$65,MATCH($D101,'DB-function distributions'!$B$11:$B$65,0))</f>
        <v>#N/A</v>
      </c>
    </row>
    <row r="102" spans="1:40">
      <c r="K102" s="212" t="e">
        <f>INDEX('DB-function distributions'!C$11:C$65,MATCH($D102,'DB-function distributions'!$B$11:$B$65,0))</f>
        <v>#N/A</v>
      </c>
      <c r="L102" s="212" t="e">
        <f>INDEX('DB-function distributions'!D$11:D$65,MATCH($D102,'DB-function distributions'!$B$11:$B$65,0))</f>
        <v>#N/A</v>
      </c>
      <c r="M102" s="212" t="e">
        <f>INDEX('DB-function distributions'!E$11:E$65,MATCH($D102,'DB-function distributions'!$B$11:$B$65,0))</f>
        <v>#N/A</v>
      </c>
      <c r="N102" s="212" t="e">
        <f>INDEX('DB-function distributions'!F$11:F$65,MATCH($D102,'DB-function distributions'!$B$11:$B$65,0))</f>
        <v>#N/A</v>
      </c>
      <c r="O102" s="212" t="e">
        <f>INDEX('DB-function distributions'!G$11:G$65,MATCH($D102,'DB-function distributions'!$B$11:$B$65,0))</f>
        <v>#N/A</v>
      </c>
      <c r="P102" s="212" t="e">
        <f>INDEX('DB-function distributions'!H$11:H$65,MATCH($D102,'DB-function distributions'!$B$11:$B$65,0))</f>
        <v>#N/A</v>
      </c>
      <c r="Q102" s="212" t="e">
        <f>INDEX('DB-function distributions'!I$11:I$65,MATCH($D102,'DB-function distributions'!$B$11:$B$65,0))</f>
        <v>#N/A</v>
      </c>
      <c r="R102" s="212" t="e">
        <f>INDEX('DB-function distributions'!J$11:J$65,MATCH($D102,'DB-function distributions'!$B$11:$B$65,0))</f>
        <v>#N/A</v>
      </c>
      <c r="S102" s="212" t="e">
        <f>INDEX('DB-function distributions'!K$11:K$65,MATCH($D102,'DB-function distributions'!$B$11:$B$65,0))</f>
        <v>#N/A</v>
      </c>
      <c r="T102" s="212" t="e">
        <f>INDEX('DB-function distributions'!L$11:L$65,MATCH($D102,'DB-function distributions'!$B$11:$B$65,0))</f>
        <v>#N/A</v>
      </c>
      <c r="U102" s="212" t="e">
        <f>INDEX('DB-function distributions'!M$11:M$65,MATCH($D102,'DB-function distributions'!$B$11:$B$65,0))</f>
        <v>#N/A</v>
      </c>
      <c r="V102" s="212" t="e">
        <f>INDEX('DB-function distributions'!N$11:N$65,MATCH($D102,'DB-function distributions'!$B$11:$B$65,0))</f>
        <v>#N/A</v>
      </c>
      <c r="W102" s="212" t="e">
        <f>INDEX('DB-function distributions'!O$11:O$65,MATCH($D102,'DB-function distributions'!$B$11:$B$65,0))</f>
        <v>#N/A</v>
      </c>
      <c r="X102" s="212" t="e">
        <f>INDEX('DB-function distributions'!P$11:P$65,MATCH($D102,'DB-function distributions'!$B$11:$B$65,0))</f>
        <v>#N/A</v>
      </c>
      <c r="Y102" s="212" t="e">
        <f>INDEX('DB-function distributions'!Q$11:Q$65,MATCH($D102,'DB-function distributions'!$B$11:$B$65,0))</f>
        <v>#N/A</v>
      </c>
      <c r="Z102" s="212" t="e">
        <f>INDEX('DB-function distributions'!R$11:R$65,MATCH($D102,'DB-function distributions'!$B$11:$B$65,0))</f>
        <v>#N/A</v>
      </c>
    </row>
    <row r="103" spans="1:40">
      <c r="K103" s="212" t="e">
        <f>INDEX('DB-function distributions'!C$11:C$65,MATCH($D103,'DB-function distributions'!$B$11:$B$65,0))</f>
        <v>#N/A</v>
      </c>
      <c r="L103" s="212" t="e">
        <f>INDEX('DB-function distributions'!D$11:D$65,MATCH($D103,'DB-function distributions'!$B$11:$B$65,0))</f>
        <v>#N/A</v>
      </c>
      <c r="M103" s="212" t="e">
        <f>INDEX('DB-function distributions'!E$11:E$65,MATCH($D103,'DB-function distributions'!$B$11:$B$65,0))</f>
        <v>#N/A</v>
      </c>
      <c r="N103" s="212" t="e">
        <f>INDEX('DB-function distributions'!F$11:F$65,MATCH($D103,'DB-function distributions'!$B$11:$B$65,0))</f>
        <v>#N/A</v>
      </c>
      <c r="O103" s="212" t="e">
        <f>INDEX('DB-function distributions'!G$11:G$65,MATCH($D103,'DB-function distributions'!$B$11:$B$65,0))</f>
        <v>#N/A</v>
      </c>
      <c r="P103" s="212" t="e">
        <f>INDEX('DB-function distributions'!H$11:H$65,MATCH($D103,'DB-function distributions'!$B$11:$B$65,0))</f>
        <v>#N/A</v>
      </c>
      <c r="Q103" s="212" t="e">
        <f>INDEX('DB-function distributions'!I$11:I$65,MATCH($D103,'DB-function distributions'!$B$11:$B$65,0))</f>
        <v>#N/A</v>
      </c>
      <c r="R103" s="212" t="e">
        <f>INDEX('DB-function distributions'!J$11:J$65,MATCH($D103,'DB-function distributions'!$B$11:$B$65,0))</f>
        <v>#N/A</v>
      </c>
      <c r="S103" s="212" t="e">
        <f>INDEX('DB-function distributions'!K$11:K$65,MATCH($D103,'DB-function distributions'!$B$11:$B$65,0))</f>
        <v>#N/A</v>
      </c>
      <c r="T103" s="212" t="e">
        <f>INDEX('DB-function distributions'!L$11:L$65,MATCH($D103,'DB-function distributions'!$B$11:$B$65,0))</f>
        <v>#N/A</v>
      </c>
      <c r="U103" s="212" t="e">
        <f>INDEX('DB-function distributions'!M$11:M$65,MATCH($D103,'DB-function distributions'!$B$11:$B$65,0))</f>
        <v>#N/A</v>
      </c>
      <c r="V103" s="212" t="e">
        <f>INDEX('DB-function distributions'!N$11:N$65,MATCH($D103,'DB-function distributions'!$B$11:$B$65,0))</f>
        <v>#N/A</v>
      </c>
      <c r="W103" s="212" t="e">
        <f>INDEX('DB-function distributions'!O$11:O$65,MATCH($D103,'DB-function distributions'!$B$11:$B$65,0))</f>
        <v>#N/A</v>
      </c>
      <c r="X103" s="212" t="e">
        <f>INDEX('DB-function distributions'!P$11:P$65,MATCH($D103,'DB-function distributions'!$B$11:$B$65,0))</f>
        <v>#N/A</v>
      </c>
      <c r="Y103" s="212" t="e">
        <f>INDEX('DB-function distributions'!Q$11:Q$65,MATCH($D103,'DB-function distributions'!$B$11:$B$65,0))</f>
        <v>#N/A</v>
      </c>
      <c r="Z103" s="212" t="e">
        <f>INDEX('DB-function distributions'!R$11:R$65,MATCH($D103,'DB-function distributions'!$B$11:$B$65,0))</f>
        <v>#N/A</v>
      </c>
    </row>
    <row r="104" spans="1:40">
      <c r="K104" s="212" t="e">
        <f>INDEX('DB-function distributions'!C$11:C$65,MATCH($D104,'DB-function distributions'!$B$11:$B$65,0))</f>
        <v>#N/A</v>
      </c>
      <c r="L104" s="212" t="e">
        <f>INDEX('DB-function distributions'!D$11:D$65,MATCH($D104,'DB-function distributions'!$B$11:$B$65,0))</f>
        <v>#N/A</v>
      </c>
      <c r="M104" s="212" t="e">
        <f>INDEX('DB-function distributions'!E$11:E$65,MATCH($D104,'DB-function distributions'!$B$11:$B$65,0))</f>
        <v>#N/A</v>
      </c>
      <c r="N104" s="212" t="e">
        <f>INDEX('DB-function distributions'!F$11:F$65,MATCH($D104,'DB-function distributions'!$B$11:$B$65,0))</f>
        <v>#N/A</v>
      </c>
      <c r="O104" s="212" t="e">
        <f>INDEX('DB-function distributions'!G$11:G$65,MATCH($D104,'DB-function distributions'!$B$11:$B$65,0))</f>
        <v>#N/A</v>
      </c>
      <c r="P104" s="212" t="e">
        <f>INDEX('DB-function distributions'!H$11:H$65,MATCH($D104,'DB-function distributions'!$B$11:$B$65,0))</f>
        <v>#N/A</v>
      </c>
      <c r="Q104" s="212" t="e">
        <f>INDEX('DB-function distributions'!I$11:I$65,MATCH($D104,'DB-function distributions'!$B$11:$B$65,0))</f>
        <v>#N/A</v>
      </c>
      <c r="R104" s="212" t="e">
        <f>INDEX('DB-function distributions'!J$11:J$65,MATCH($D104,'DB-function distributions'!$B$11:$B$65,0))</f>
        <v>#N/A</v>
      </c>
      <c r="S104" s="212" t="e">
        <f>INDEX('DB-function distributions'!K$11:K$65,MATCH($D104,'DB-function distributions'!$B$11:$B$65,0))</f>
        <v>#N/A</v>
      </c>
      <c r="T104" s="212" t="e">
        <f>INDEX('DB-function distributions'!L$11:L$65,MATCH($D104,'DB-function distributions'!$B$11:$B$65,0))</f>
        <v>#N/A</v>
      </c>
      <c r="U104" s="212" t="e">
        <f>INDEX('DB-function distributions'!M$11:M$65,MATCH($D104,'DB-function distributions'!$B$11:$B$65,0))</f>
        <v>#N/A</v>
      </c>
      <c r="V104" s="212" t="e">
        <f>INDEX('DB-function distributions'!N$11:N$65,MATCH($D104,'DB-function distributions'!$B$11:$B$65,0))</f>
        <v>#N/A</v>
      </c>
      <c r="W104" s="212" t="e">
        <f>INDEX('DB-function distributions'!O$11:O$65,MATCH($D104,'DB-function distributions'!$B$11:$B$65,0))</f>
        <v>#N/A</v>
      </c>
      <c r="X104" s="212" t="e">
        <f>INDEX('DB-function distributions'!P$11:P$65,MATCH($D104,'DB-function distributions'!$B$11:$B$65,0))</f>
        <v>#N/A</v>
      </c>
      <c r="Y104" s="212" t="e">
        <f>INDEX('DB-function distributions'!Q$11:Q$65,MATCH($D104,'DB-function distributions'!$B$11:$B$65,0))</f>
        <v>#N/A</v>
      </c>
      <c r="Z104" s="212" t="e">
        <f>INDEX('DB-function distributions'!R$11:R$65,MATCH($D104,'DB-function distributions'!$B$11:$B$65,0))</f>
        <v>#N/A</v>
      </c>
    </row>
    <row r="105" spans="1:40">
      <c r="K105" s="212" t="e">
        <f>INDEX('DB-function distributions'!C$11:C$65,MATCH($D105,'DB-function distributions'!$B$11:$B$65,0))</f>
        <v>#N/A</v>
      </c>
      <c r="L105" s="212" t="e">
        <f>INDEX('DB-function distributions'!D$11:D$65,MATCH($D105,'DB-function distributions'!$B$11:$B$65,0))</f>
        <v>#N/A</v>
      </c>
      <c r="M105" s="212" t="e">
        <f>INDEX('DB-function distributions'!E$11:E$65,MATCH($D105,'DB-function distributions'!$B$11:$B$65,0))</f>
        <v>#N/A</v>
      </c>
      <c r="N105" s="212" t="e">
        <f>INDEX('DB-function distributions'!F$11:F$65,MATCH($D105,'DB-function distributions'!$B$11:$B$65,0))</f>
        <v>#N/A</v>
      </c>
      <c r="O105" s="212" t="e">
        <f>INDEX('DB-function distributions'!G$11:G$65,MATCH($D105,'DB-function distributions'!$B$11:$B$65,0))</f>
        <v>#N/A</v>
      </c>
      <c r="P105" s="212" t="e">
        <f>INDEX('DB-function distributions'!H$11:H$65,MATCH($D105,'DB-function distributions'!$B$11:$B$65,0))</f>
        <v>#N/A</v>
      </c>
      <c r="Q105" s="212" t="e">
        <f>INDEX('DB-function distributions'!I$11:I$65,MATCH($D105,'DB-function distributions'!$B$11:$B$65,0))</f>
        <v>#N/A</v>
      </c>
      <c r="R105" s="212" t="e">
        <f>INDEX('DB-function distributions'!J$11:J$65,MATCH($D105,'DB-function distributions'!$B$11:$B$65,0))</f>
        <v>#N/A</v>
      </c>
      <c r="S105" s="212" t="e">
        <f>INDEX('DB-function distributions'!K$11:K$65,MATCH($D105,'DB-function distributions'!$B$11:$B$65,0))</f>
        <v>#N/A</v>
      </c>
      <c r="T105" s="212" t="e">
        <f>INDEX('DB-function distributions'!L$11:L$65,MATCH($D105,'DB-function distributions'!$B$11:$B$65,0))</f>
        <v>#N/A</v>
      </c>
      <c r="U105" s="212" t="e">
        <f>INDEX('DB-function distributions'!M$11:M$65,MATCH($D105,'DB-function distributions'!$B$11:$B$65,0))</f>
        <v>#N/A</v>
      </c>
      <c r="V105" s="212" t="e">
        <f>INDEX('DB-function distributions'!N$11:N$65,MATCH($D105,'DB-function distributions'!$B$11:$B$65,0))</f>
        <v>#N/A</v>
      </c>
      <c r="W105" s="212" t="e">
        <f>INDEX('DB-function distributions'!O$11:O$65,MATCH($D105,'DB-function distributions'!$B$11:$B$65,0))</f>
        <v>#N/A</v>
      </c>
      <c r="X105" s="212" t="e">
        <f>INDEX('DB-function distributions'!P$11:P$65,MATCH($D105,'DB-function distributions'!$B$11:$B$65,0))</f>
        <v>#N/A</v>
      </c>
      <c r="Y105" s="212" t="e">
        <f>INDEX('DB-function distributions'!Q$11:Q$65,MATCH($D105,'DB-function distributions'!$B$11:$B$65,0))</f>
        <v>#N/A</v>
      </c>
      <c r="Z105" s="212" t="e">
        <f>INDEX('DB-function distributions'!R$11:R$65,MATCH($D105,'DB-function distributions'!$B$11:$B$65,0))</f>
        <v>#N/A</v>
      </c>
    </row>
    <row r="106" spans="1:40">
      <c r="K106" s="212" t="e">
        <f>INDEX('DB-function distributions'!C$11:C$65,MATCH($D106,'DB-function distributions'!$B$11:$B$65,0))</f>
        <v>#N/A</v>
      </c>
      <c r="L106" s="212" t="e">
        <f>INDEX('DB-function distributions'!D$11:D$65,MATCH($D106,'DB-function distributions'!$B$11:$B$65,0))</f>
        <v>#N/A</v>
      </c>
      <c r="M106" s="212" t="e">
        <f>INDEX('DB-function distributions'!E$11:E$65,MATCH($D106,'DB-function distributions'!$B$11:$B$65,0))</f>
        <v>#N/A</v>
      </c>
      <c r="N106" s="212" t="e">
        <f>INDEX('DB-function distributions'!F$11:F$65,MATCH($D106,'DB-function distributions'!$B$11:$B$65,0))</f>
        <v>#N/A</v>
      </c>
      <c r="O106" s="212" t="e">
        <f>INDEX('DB-function distributions'!G$11:G$65,MATCH($D106,'DB-function distributions'!$B$11:$B$65,0))</f>
        <v>#N/A</v>
      </c>
      <c r="P106" s="212" t="e">
        <f>INDEX('DB-function distributions'!H$11:H$65,MATCH($D106,'DB-function distributions'!$B$11:$B$65,0))</f>
        <v>#N/A</v>
      </c>
      <c r="Q106" s="212" t="e">
        <f>INDEX('DB-function distributions'!I$11:I$65,MATCH($D106,'DB-function distributions'!$B$11:$B$65,0))</f>
        <v>#N/A</v>
      </c>
      <c r="R106" s="212" t="e">
        <f>INDEX('DB-function distributions'!J$11:J$65,MATCH($D106,'DB-function distributions'!$B$11:$B$65,0))</f>
        <v>#N/A</v>
      </c>
      <c r="S106" s="212" t="e">
        <f>INDEX('DB-function distributions'!K$11:K$65,MATCH($D106,'DB-function distributions'!$B$11:$B$65,0))</f>
        <v>#N/A</v>
      </c>
      <c r="T106" s="212" t="e">
        <f>INDEX('DB-function distributions'!L$11:L$65,MATCH($D106,'DB-function distributions'!$B$11:$B$65,0))</f>
        <v>#N/A</v>
      </c>
      <c r="U106" s="212" t="e">
        <f>INDEX('DB-function distributions'!M$11:M$65,MATCH($D106,'DB-function distributions'!$B$11:$B$65,0))</f>
        <v>#N/A</v>
      </c>
      <c r="V106" s="212" t="e">
        <f>INDEX('DB-function distributions'!N$11:N$65,MATCH($D106,'DB-function distributions'!$B$11:$B$65,0))</f>
        <v>#N/A</v>
      </c>
      <c r="W106" s="212" t="e">
        <f>INDEX('DB-function distributions'!O$11:O$65,MATCH($D106,'DB-function distributions'!$B$11:$B$65,0))</f>
        <v>#N/A</v>
      </c>
      <c r="X106" s="212" t="e">
        <f>INDEX('DB-function distributions'!P$11:P$65,MATCH($D106,'DB-function distributions'!$B$11:$B$65,0))</f>
        <v>#N/A</v>
      </c>
      <c r="Y106" s="212" t="e">
        <f>INDEX('DB-function distributions'!Q$11:Q$65,MATCH($D106,'DB-function distributions'!$B$11:$B$65,0))</f>
        <v>#N/A</v>
      </c>
      <c r="Z106" s="212" t="e">
        <f>INDEX('DB-function distributions'!R$11:R$65,MATCH($D106,'DB-function distributions'!$B$11:$B$65,0))</f>
        <v>#N/A</v>
      </c>
    </row>
    <row r="107" spans="1:40">
      <c r="K107" s="212" t="e">
        <f>INDEX('DB-function distributions'!C$11:C$65,MATCH($D107,'DB-function distributions'!$B$11:$B$65,0))</f>
        <v>#N/A</v>
      </c>
      <c r="L107" s="212" t="e">
        <f>INDEX('DB-function distributions'!D$11:D$65,MATCH($D107,'DB-function distributions'!$B$11:$B$65,0))</f>
        <v>#N/A</v>
      </c>
      <c r="M107" s="212" t="e">
        <f>INDEX('DB-function distributions'!E$11:E$65,MATCH($D107,'DB-function distributions'!$B$11:$B$65,0))</f>
        <v>#N/A</v>
      </c>
      <c r="N107" s="212" t="e">
        <f>INDEX('DB-function distributions'!F$11:F$65,MATCH($D107,'DB-function distributions'!$B$11:$B$65,0))</f>
        <v>#N/A</v>
      </c>
      <c r="O107" s="212" t="e">
        <f>INDEX('DB-function distributions'!G$11:G$65,MATCH($D107,'DB-function distributions'!$B$11:$B$65,0))</f>
        <v>#N/A</v>
      </c>
      <c r="P107" s="212" t="e">
        <f>INDEX('DB-function distributions'!H$11:H$65,MATCH($D107,'DB-function distributions'!$B$11:$B$65,0))</f>
        <v>#N/A</v>
      </c>
      <c r="Q107" s="212" t="e">
        <f>INDEX('DB-function distributions'!I$11:I$65,MATCH($D107,'DB-function distributions'!$B$11:$B$65,0))</f>
        <v>#N/A</v>
      </c>
      <c r="R107" s="212" t="e">
        <f>INDEX('DB-function distributions'!J$11:J$65,MATCH($D107,'DB-function distributions'!$B$11:$B$65,0))</f>
        <v>#N/A</v>
      </c>
      <c r="S107" s="212" t="e">
        <f>INDEX('DB-function distributions'!K$11:K$65,MATCH($D107,'DB-function distributions'!$B$11:$B$65,0))</f>
        <v>#N/A</v>
      </c>
      <c r="T107" s="212" t="e">
        <f>INDEX('DB-function distributions'!L$11:L$65,MATCH($D107,'DB-function distributions'!$B$11:$B$65,0))</f>
        <v>#N/A</v>
      </c>
      <c r="U107" s="212" t="e">
        <f>INDEX('DB-function distributions'!M$11:M$65,MATCH($D107,'DB-function distributions'!$B$11:$B$65,0))</f>
        <v>#N/A</v>
      </c>
      <c r="V107" s="212" t="e">
        <f>INDEX('DB-function distributions'!N$11:N$65,MATCH($D107,'DB-function distributions'!$B$11:$B$65,0))</f>
        <v>#N/A</v>
      </c>
      <c r="W107" s="212" t="e">
        <f>INDEX('DB-function distributions'!O$11:O$65,MATCH($D107,'DB-function distributions'!$B$11:$B$65,0))</f>
        <v>#N/A</v>
      </c>
      <c r="X107" s="212" t="e">
        <f>INDEX('DB-function distributions'!P$11:P$65,MATCH($D107,'DB-function distributions'!$B$11:$B$65,0))</f>
        <v>#N/A</v>
      </c>
      <c r="Y107" s="212" t="e">
        <f>INDEX('DB-function distributions'!Q$11:Q$65,MATCH($D107,'DB-function distributions'!$B$11:$B$65,0))</f>
        <v>#N/A</v>
      </c>
      <c r="Z107" s="212" t="e">
        <f>INDEX('DB-function distributions'!R$11:R$65,MATCH($D107,'DB-function distributions'!$B$11:$B$65,0))</f>
        <v>#N/A</v>
      </c>
    </row>
    <row r="108" spans="1:40">
      <c r="K108" s="212" t="e">
        <f>INDEX('DB-function distributions'!C$11:C$65,MATCH($D108,'DB-function distributions'!$B$11:$B$65,0))</f>
        <v>#N/A</v>
      </c>
      <c r="L108" s="212" t="e">
        <f>INDEX('DB-function distributions'!D$11:D$65,MATCH($D108,'DB-function distributions'!$B$11:$B$65,0))</f>
        <v>#N/A</v>
      </c>
      <c r="M108" s="212" t="e">
        <f>INDEX('DB-function distributions'!E$11:E$65,MATCH($D108,'DB-function distributions'!$B$11:$B$65,0))</f>
        <v>#N/A</v>
      </c>
      <c r="N108" s="212" t="e">
        <f>INDEX('DB-function distributions'!F$11:F$65,MATCH($D108,'DB-function distributions'!$B$11:$B$65,0))</f>
        <v>#N/A</v>
      </c>
      <c r="O108" s="212" t="e">
        <f>INDEX('DB-function distributions'!G$11:G$65,MATCH($D108,'DB-function distributions'!$B$11:$B$65,0))</f>
        <v>#N/A</v>
      </c>
      <c r="P108" s="212" t="e">
        <f>INDEX('DB-function distributions'!H$11:H$65,MATCH($D108,'DB-function distributions'!$B$11:$B$65,0))</f>
        <v>#N/A</v>
      </c>
      <c r="Q108" s="212" t="e">
        <f>INDEX('DB-function distributions'!I$11:I$65,MATCH($D108,'DB-function distributions'!$B$11:$B$65,0))</f>
        <v>#N/A</v>
      </c>
      <c r="R108" s="212" t="e">
        <f>INDEX('DB-function distributions'!J$11:J$65,MATCH($D108,'DB-function distributions'!$B$11:$B$65,0))</f>
        <v>#N/A</v>
      </c>
      <c r="S108" s="212" t="e">
        <f>INDEX('DB-function distributions'!K$11:K$65,MATCH($D108,'DB-function distributions'!$B$11:$B$65,0))</f>
        <v>#N/A</v>
      </c>
      <c r="T108" s="212" t="e">
        <f>INDEX('DB-function distributions'!L$11:L$65,MATCH($D108,'DB-function distributions'!$B$11:$B$65,0))</f>
        <v>#N/A</v>
      </c>
      <c r="U108" s="212" t="e">
        <f>INDEX('DB-function distributions'!M$11:M$65,MATCH($D108,'DB-function distributions'!$B$11:$B$65,0))</f>
        <v>#N/A</v>
      </c>
      <c r="V108" s="212" t="e">
        <f>INDEX('DB-function distributions'!N$11:N$65,MATCH($D108,'DB-function distributions'!$B$11:$B$65,0))</f>
        <v>#N/A</v>
      </c>
      <c r="W108" s="212" t="e">
        <f>INDEX('DB-function distributions'!O$11:O$65,MATCH($D108,'DB-function distributions'!$B$11:$B$65,0))</f>
        <v>#N/A</v>
      </c>
      <c r="X108" s="212" t="e">
        <f>INDEX('DB-function distributions'!P$11:P$65,MATCH($D108,'DB-function distributions'!$B$11:$B$65,0))</f>
        <v>#N/A</v>
      </c>
      <c r="Y108" s="212" t="e">
        <f>INDEX('DB-function distributions'!Q$11:Q$65,MATCH($D108,'DB-function distributions'!$B$11:$B$65,0))</f>
        <v>#N/A</v>
      </c>
      <c r="Z108" s="212" t="e">
        <f>INDEX('DB-function distributions'!R$11:R$65,MATCH($D108,'DB-function distributions'!$B$11:$B$65,0))</f>
        <v>#N/A</v>
      </c>
    </row>
    <row r="109" spans="1:40">
      <c r="K109" s="212" t="e">
        <f>INDEX('DB-function distributions'!C$11:C$65,MATCH($D109,'DB-function distributions'!$B$11:$B$65,0))</f>
        <v>#N/A</v>
      </c>
      <c r="L109" s="212" t="e">
        <f>INDEX('DB-function distributions'!D$11:D$65,MATCH($D109,'DB-function distributions'!$B$11:$B$65,0))</f>
        <v>#N/A</v>
      </c>
      <c r="M109" s="212" t="e">
        <f>INDEX('DB-function distributions'!E$11:E$65,MATCH($D109,'DB-function distributions'!$B$11:$B$65,0))</f>
        <v>#N/A</v>
      </c>
      <c r="N109" s="212" t="e">
        <f>INDEX('DB-function distributions'!F$11:F$65,MATCH($D109,'DB-function distributions'!$B$11:$B$65,0))</f>
        <v>#N/A</v>
      </c>
      <c r="O109" s="212" t="e">
        <f>INDEX('DB-function distributions'!G$11:G$65,MATCH($D109,'DB-function distributions'!$B$11:$B$65,0))</f>
        <v>#N/A</v>
      </c>
      <c r="P109" s="212" t="e">
        <f>INDEX('DB-function distributions'!H$11:H$65,MATCH($D109,'DB-function distributions'!$B$11:$B$65,0))</f>
        <v>#N/A</v>
      </c>
      <c r="Q109" s="212" t="e">
        <f>INDEX('DB-function distributions'!I$11:I$65,MATCH($D109,'DB-function distributions'!$B$11:$B$65,0))</f>
        <v>#N/A</v>
      </c>
      <c r="R109" s="212" t="e">
        <f>INDEX('DB-function distributions'!J$11:J$65,MATCH($D109,'DB-function distributions'!$B$11:$B$65,0))</f>
        <v>#N/A</v>
      </c>
      <c r="S109" s="212" t="e">
        <f>INDEX('DB-function distributions'!K$11:K$65,MATCH($D109,'DB-function distributions'!$B$11:$B$65,0))</f>
        <v>#N/A</v>
      </c>
      <c r="T109" s="212" t="e">
        <f>INDEX('DB-function distributions'!L$11:L$65,MATCH($D109,'DB-function distributions'!$B$11:$B$65,0))</f>
        <v>#N/A</v>
      </c>
      <c r="U109" s="212" t="e">
        <f>INDEX('DB-function distributions'!M$11:M$65,MATCH($D109,'DB-function distributions'!$B$11:$B$65,0))</f>
        <v>#N/A</v>
      </c>
      <c r="V109" s="212" t="e">
        <f>INDEX('DB-function distributions'!N$11:N$65,MATCH($D109,'DB-function distributions'!$B$11:$B$65,0))</f>
        <v>#N/A</v>
      </c>
      <c r="W109" s="212" t="e">
        <f>INDEX('DB-function distributions'!O$11:O$65,MATCH($D109,'DB-function distributions'!$B$11:$B$65,0))</f>
        <v>#N/A</v>
      </c>
      <c r="X109" s="212" t="e">
        <f>INDEX('DB-function distributions'!P$11:P$65,MATCH($D109,'DB-function distributions'!$B$11:$B$65,0))</f>
        <v>#N/A</v>
      </c>
      <c r="Y109" s="212" t="e">
        <f>INDEX('DB-function distributions'!Q$11:Q$65,MATCH($D109,'DB-function distributions'!$B$11:$B$65,0))</f>
        <v>#N/A</v>
      </c>
      <c r="Z109" s="212" t="e">
        <f>INDEX('DB-function distributions'!R$11:R$65,MATCH($D109,'DB-function distributions'!$B$11:$B$65,0))</f>
        <v>#N/A</v>
      </c>
    </row>
    <row r="110" spans="1:40">
      <c r="K110" s="212" t="e">
        <f>INDEX('DB-function distributions'!C$11:C$65,MATCH($D110,'DB-function distributions'!$B$11:$B$65,0))</f>
        <v>#N/A</v>
      </c>
      <c r="L110" s="212" t="e">
        <f>INDEX('DB-function distributions'!D$11:D$65,MATCH($D110,'DB-function distributions'!$B$11:$B$65,0))</f>
        <v>#N/A</v>
      </c>
      <c r="M110" s="212" t="e">
        <f>INDEX('DB-function distributions'!E$11:E$65,MATCH($D110,'DB-function distributions'!$B$11:$B$65,0))</f>
        <v>#N/A</v>
      </c>
      <c r="N110" s="212" t="e">
        <f>INDEX('DB-function distributions'!F$11:F$65,MATCH($D110,'DB-function distributions'!$B$11:$B$65,0))</f>
        <v>#N/A</v>
      </c>
      <c r="O110" s="212" t="e">
        <f>INDEX('DB-function distributions'!G$11:G$65,MATCH($D110,'DB-function distributions'!$B$11:$B$65,0))</f>
        <v>#N/A</v>
      </c>
      <c r="P110" s="212" t="e">
        <f>INDEX('DB-function distributions'!H$11:H$65,MATCH($D110,'DB-function distributions'!$B$11:$B$65,0))</f>
        <v>#N/A</v>
      </c>
      <c r="Q110" s="212" t="e">
        <f>INDEX('DB-function distributions'!I$11:I$65,MATCH($D110,'DB-function distributions'!$B$11:$B$65,0))</f>
        <v>#N/A</v>
      </c>
      <c r="R110" s="212" t="e">
        <f>INDEX('DB-function distributions'!J$11:J$65,MATCH($D110,'DB-function distributions'!$B$11:$B$65,0))</f>
        <v>#N/A</v>
      </c>
      <c r="S110" s="212" t="e">
        <f>INDEX('DB-function distributions'!K$11:K$65,MATCH($D110,'DB-function distributions'!$B$11:$B$65,0))</f>
        <v>#N/A</v>
      </c>
      <c r="T110" s="212" t="e">
        <f>INDEX('DB-function distributions'!L$11:L$65,MATCH($D110,'DB-function distributions'!$B$11:$B$65,0))</f>
        <v>#N/A</v>
      </c>
      <c r="U110" s="212" t="e">
        <f>INDEX('DB-function distributions'!M$11:M$65,MATCH($D110,'DB-function distributions'!$B$11:$B$65,0))</f>
        <v>#N/A</v>
      </c>
      <c r="V110" s="212" t="e">
        <f>INDEX('DB-function distributions'!N$11:N$65,MATCH($D110,'DB-function distributions'!$B$11:$B$65,0))</f>
        <v>#N/A</v>
      </c>
      <c r="W110" s="212" t="e">
        <f>INDEX('DB-function distributions'!O$11:O$65,MATCH($D110,'DB-function distributions'!$B$11:$B$65,0))</f>
        <v>#N/A</v>
      </c>
      <c r="X110" s="212" t="e">
        <f>INDEX('DB-function distributions'!P$11:P$65,MATCH($D110,'DB-function distributions'!$B$11:$B$65,0))</f>
        <v>#N/A</v>
      </c>
      <c r="Y110" s="212" t="e">
        <f>INDEX('DB-function distributions'!Q$11:Q$65,MATCH($D110,'DB-function distributions'!$B$11:$B$65,0))</f>
        <v>#N/A</v>
      </c>
      <c r="Z110" s="212" t="e">
        <f>INDEX('DB-function distributions'!R$11:R$65,MATCH($D110,'DB-function distributions'!$B$11:$B$65,0))</f>
        <v>#N/A</v>
      </c>
    </row>
    <row r="111" spans="1:40">
      <c r="K111" s="212" t="e">
        <f>INDEX('DB-function distributions'!C$11:C$65,MATCH($D111,'DB-function distributions'!$B$11:$B$65,0))</f>
        <v>#N/A</v>
      </c>
      <c r="L111" s="212" t="e">
        <f>INDEX('DB-function distributions'!D$11:D$65,MATCH($D111,'DB-function distributions'!$B$11:$B$65,0))</f>
        <v>#N/A</v>
      </c>
      <c r="M111" s="212" t="e">
        <f>INDEX('DB-function distributions'!E$11:E$65,MATCH($D111,'DB-function distributions'!$B$11:$B$65,0))</f>
        <v>#N/A</v>
      </c>
      <c r="N111" s="212" t="e">
        <f>INDEX('DB-function distributions'!F$11:F$65,MATCH($D111,'DB-function distributions'!$B$11:$B$65,0))</f>
        <v>#N/A</v>
      </c>
      <c r="O111" s="212" t="e">
        <f>INDEX('DB-function distributions'!G$11:G$65,MATCH($D111,'DB-function distributions'!$B$11:$B$65,0))</f>
        <v>#N/A</v>
      </c>
      <c r="P111" s="212" t="e">
        <f>INDEX('DB-function distributions'!H$11:H$65,MATCH($D111,'DB-function distributions'!$B$11:$B$65,0))</f>
        <v>#N/A</v>
      </c>
      <c r="Q111" s="212" t="e">
        <f>INDEX('DB-function distributions'!I$11:I$65,MATCH($D111,'DB-function distributions'!$B$11:$B$65,0))</f>
        <v>#N/A</v>
      </c>
      <c r="R111" s="212" t="e">
        <f>INDEX('DB-function distributions'!J$11:J$65,MATCH($D111,'DB-function distributions'!$B$11:$B$65,0))</f>
        <v>#N/A</v>
      </c>
      <c r="S111" s="212" t="e">
        <f>INDEX('DB-function distributions'!K$11:K$65,MATCH($D111,'DB-function distributions'!$B$11:$B$65,0))</f>
        <v>#N/A</v>
      </c>
      <c r="T111" s="212" t="e">
        <f>INDEX('DB-function distributions'!L$11:L$65,MATCH($D111,'DB-function distributions'!$B$11:$B$65,0))</f>
        <v>#N/A</v>
      </c>
      <c r="U111" s="212" t="e">
        <f>INDEX('DB-function distributions'!M$11:M$65,MATCH($D111,'DB-function distributions'!$B$11:$B$65,0))</f>
        <v>#N/A</v>
      </c>
      <c r="V111" s="212" t="e">
        <f>INDEX('DB-function distributions'!N$11:N$65,MATCH($D111,'DB-function distributions'!$B$11:$B$65,0))</f>
        <v>#N/A</v>
      </c>
      <c r="W111" s="212" t="e">
        <f>INDEX('DB-function distributions'!O$11:O$65,MATCH($D111,'DB-function distributions'!$B$11:$B$65,0))</f>
        <v>#N/A</v>
      </c>
      <c r="X111" s="212" t="e">
        <f>INDEX('DB-function distributions'!P$11:P$65,MATCH($D111,'DB-function distributions'!$B$11:$B$65,0))</f>
        <v>#N/A</v>
      </c>
      <c r="Y111" s="212" t="e">
        <f>INDEX('DB-function distributions'!Q$11:Q$65,MATCH($D111,'DB-function distributions'!$B$11:$B$65,0))</f>
        <v>#N/A</v>
      </c>
      <c r="Z111" s="212" t="e">
        <f>INDEX('DB-function distributions'!R$11:R$65,MATCH($D111,'DB-function distributions'!$B$11:$B$65,0))</f>
        <v>#N/A</v>
      </c>
    </row>
    <row r="112" spans="1:40">
      <c r="K112" s="212" t="e">
        <f>INDEX('DB-function distributions'!C$11:C$65,MATCH($D112,'DB-function distributions'!$B$11:$B$65,0))</f>
        <v>#N/A</v>
      </c>
      <c r="L112" s="212" t="e">
        <f>INDEX('DB-function distributions'!D$11:D$65,MATCH($D112,'DB-function distributions'!$B$11:$B$65,0))</f>
        <v>#N/A</v>
      </c>
      <c r="M112" s="212" t="e">
        <f>INDEX('DB-function distributions'!E$11:E$65,MATCH($D112,'DB-function distributions'!$B$11:$B$65,0))</f>
        <v>#N/A</v>
      </c>
      <c r="N112" s="212" t="e">
        <f>INDEX('DB-function distributions'!F$11:F$65,MATCH($D112,'DB-function distributions'!$B$11:$B$65,0))</f>
        <v>#N/A</v>
      </c>
      <c r="O112" s="212" t="e">
        <f>INDEX('DB-function distributions'!G$11:G$65,MATCH($D112,'DB-function distributions'!$B$11:$B$65,0))</f>
        <v>#N/A</v>
      </c>
      <c r="P112" s="212" t="e">
        <f>INDEX('DB-function distributions'!H$11:H$65,MATCH($D112,'DB-function distributions'!$B$11:$B$65,0))</f>
        <v>#N/A</v>
      </c>
      <c r="Q112" s="212" t="e">
        <f>INDEX('DB-function distributions'!I$11:I$65,MATCH($D112,'DB-function distributions'!$B$11:$B$65,0))</f>
        <v>#N/A</v>
      </c>
      <c r="R112" s="212" t="e">
        <f>INDEX('DB-function distributions'!J$11:J$65,MATCH($D112,'DB-function distributions'!$B$11:$B$65,0))</f>
        <v>#N/A</v>
      </c>
      <c r="S112" s="212" t="e">
        <f>INDEX('DB-function distributions'!K$11:K$65,MATCH($D112,'DB-function distributions'!$B$11:$B$65,0))</f>
        <v>#N/A</v>
      </c>
      <c r="T112" s="212" t="e">
        <f>INDEX('DB-function distributions'!L$11:L$65,MATCH($D112,'DB-function distributions'!$B$11:$B$65,0))</f>
        <v>#N/A</v>
      </c>
      <c r="U112" s="212" t="e">
        <f>INDEX('DB-function distributions'!M$11:M$65,MATCH($D112,'DB-function distributions'!$B$11:$B$65,0))</f>
        <v>#N/A</v>
      </c>
      <c r="V112" s="212" t="e">
        <f>INDEX('DB-function distributions'!N$11:N$65,MATCH($D112,'DB-function distributions'!$B$11:$B$65,0))</f>
        <v>#N/A</v>
      </c>
      <c r="W112" s="212" t="e">
        <f>INDEX('DB-function distributions'!O$11:O$65,MATCH($D112,'DB-function distributions'!$B$11:$B$65,0))</f>
        <v>#N/A</v>
      </c>
      <c r="X112" s="212" t="e">
        <f>INDEX('DB-function distributions'!P$11:P$65,MATCH($D112,'DB-function distributions'!$B$11:$B$65,0))</f>
        <v>#N/A</v>
      </c>
      <c r="Y112" s="212" t="e">
        <f>INDEX('DB-function distributions'!Q$11:Q$65,MATCH($D112,'DB-function distributions'!$B$11:$B$65,0))</f>
        <v>#N/A</v>
      </c>
      <c r="Z112" s="212" t="e">
        <f>INDEX('DB-function distributions'!R$11:R$65,MATCH($D112,'DB-function distributions'!$B$11:$B$65,0))</f>
        <v>#N/A</v>
      </c>
    </row>
    <row r="113" spans="11:26">
      <c r="K113" s="212" t="e">
        <f>INDEX('DB-function distributions'!C$11:C$65,MATCH($D113,'DB-function distributions'!$B$11:$B$65,0))</f>
        <v>#N/A</v>
      </c>
      <c r="L113" s="212" t="e">
        <f>INDEX('DB-function distributions'!D$11:D$65,MATCH($D113,'DB-function distributions'!$B$11:$B$65,0))</f>
        <v>#N/A</v>
      </c>
      <c r="M113" s="212" t="e">
        <f>INDEX('DB-function distributions'!E$11:E$65,MATCH($D113,'DB-function distributions'!$B$11:$B$65,0))</f>
        <v>#N/A</v>
      </c>
      <c r="N113" s="212" t="e">
        <f>INDEX('DB-function distributions'!F$11:F$65,MATCH($D113,'DB-function distributions'!$B$11:$B$65,0))</f>
        <v>#N/A</v>
      </c>
      <c r="O113" s="212" t="e">
        <f>INDEX('DB-function distributions'!G$11:G$65,MATCH($D113,'DB-function distributions'!$B$11:$B$65,0))</f>
        <v>#N/A</v>
      </c>
      <c r="P113" s="212" t="e">
        <f>INDEX('DB-function distributions'!H$11:H$65,MATCH($D113,'DB-function distributions'!$B$11:$B$65,0))</f>
        <v>#N/A</v>
      </c>
      <c r="Q113" s="212" t="e">
        <f>INDEX('DB-function distributions'!I$11:I$65,MATCH($D113,'DB-function distributions'!$B$11:$B$65,0))</f>
        <v>#N/A</v>
      </c>
      <c r="R113" s="212" t="e">
        <f>INDEX('DB-function distributions'!J$11:J$65,MATCH($D113,'DB-function distributions'!$B$11:$B$65,0))</f>
        <v>#N/A</v>
      </c>
      <c r="S113" s="212" t="e">
        <f>INDEX('DB-function distributions'!K$11:K$65,MATCH($D113,'DB-function distributions'!$B$11:$B$65,0))</f>
        <v>#N/A</v>
      </c>
      <c r="T113" s="212" t="e">
        <f>INDEX('DB-function distributions'!L$11:L$65,MATCH($D113,'DB-function distributions'!$B$11:$B$65,0))</f>
        <v>#N/A</v>
      </c>
      <c r="U113" s="212" t="e">
        <f>INDEX('DB-function distributions'!M$11:M$65,MATCH($D113,'DB-function distributions'!$B$11:$B$65,0))</f>
        <v>#N/A</v>
      </c>
      <c r="V113" s="212" t="e">
        <f>INDEX('DB-function distributions'!N$11:N$65,MATCH($D113,'DB-function distributions'!$B$11:$B$65,0))</f>
        <v>#N/A</v>
      </c>
      <c r="W113" s="212" t="e">
        <f>INDEX('DB-function distributions'!O$11:O$65,MATCH($D113,'DB-function distributions'!$B$11:$B$65,0))</f>
        <v>#N/A</v>
      </c>
      <c r="X113" s="212" t="e">
        <f>INDEX('DB-function distributions'!P$11:P$65,MATCH($D113,'DB-function distributions'!$B$11:$B$65,0))</f>
        <v>#N/A</v>
      </c>
      <c r="Y113" s="212" t="e">
        <f>INDEX('DB-function distributions'!Q$11:Q$65,MATCH($D113,'DB-function distributions'!$B$11:$B$65,0))</f>
        <v>#N/A</v>
      </c>
      <c r="Z113" s="212" t="e">
        <f>INDEX('DB-function distributions'!R$11:R$65,MATCH($D113,'DB-function distributions'!$B$11:$B$65,0))</f>
        <v>#N/A</v>
      </c>
    </row>
    <row r="114" spans="11:26">
      <c r="K114" s="212" t="e">
        <f>INDEX('DB-function distributions'!C$11:C$65,MATCH($D114,'DB-function distributions'!$B$11:$B$65,0))</f>
        <v>#N/A</v>
      </c>
      <c r="L114" s="212" t="e">
        <f>INDEX('DB-function distributions'!D$11:D$65,MATCH($D114,'DB-function distributions'!$B$11:$B$65,0))</f>
        <v>#N/A</v>
      </c>
      <c r="M114" s="212" t="e">
        <f>INDEX('DB-function distributions'!E$11:E$65,MATCH($D114,'DB-function distributions'!$B$11:$B$65,0))</f>
        <v>#N/A</v>
      </c>
      <c r="N114" s="212" t="e">
        <f>INDEX('DB-function distributions'!F$11:F$65,MATCH($D114,'DB-function distributions'!$B$11:$B$65,0))</f>
        <v>#N/A</v>
      </c>
      <c r="O114" s="212" t="e">
        <f>INDEX('DB-function distributions'!G$11:G$65,MATCH($D114,'DB-function distributions'!$B$11:$B$65,0))</f>
        <v>#N/A</v>
      </c>
      <c r="P114" s="212" t="e">
        <f>INDEX('DB-function distributions'!H$11:H$65,MATCH($D114,'DB-function distributions'!$B$11:$B$65,0))</f>
        <v>#N/A</v>
      </c>
      <c r="Q114" s="212" t="e">
        <f>INDEX('DB-function distributions'!I$11:I$65,MATCH($D114,'DB-function distributions'!$B$11:$B$65,0))</f>
        <v>#N/A</v>
      </c>
      <c r="R114" s="212" t="e">
        <f>INDEX('DB-function distributions'!J$11:J$65,MATCH($D114,'DB-function distributions'!$B$11:$B$65,0))</f>
        <v>#N/A</v>
      </c>
      <c r="S114" s="212" t="e">
        <f>INDEX('DB-function distributions'!K$11:K$65,MATCH($D114,'DB-function distributions'!$B$11:$B$65,0))</f>
        <v>#N/A</v>
      </c>
      <c r="T114" s="212" t="e">
        <f>INDEX('DB-function distributions'!L$11:L$65,MATCH($D114,'DB-function distributions'!$B$11:$B$65,0))</f>
        <v>#N/A</v>
      </c>
      <c r="U114" s="212" t="e">
        <f>INDEX('DB-function distributions'!M$11:M$65,MATCH($D114,'DB-function distributions'!$B$11:$B$65,0))</f>
        <v>#N/A</v>
      </c>
      <c r="V114" s="212" t="e">
        <f>INDEX('DB-function distributions'!N$11:N$65,MATCH($D114,'DB-function distributions'!$B$11:$B$65,0))</f>
        <v>#N/A</v>
      </c>
      <c r="W114" s="212" t="e">
        <f>INDEX('DB-function distributions'!O$11:O$65,MATCH($D114,'DB-function distributions'!$B$11:$B$65,0))</f>
        <v>#N/A</v>
      </c>
      <c r="X114" s="212" t="e">
        <f>INDEX('DB-function distributions'!P$11:P$65,MATCH($D114,'DB-function distributions'!$B$11:$B$65,0))</f>
        <v>#N/A</v>
      </c>
      <c r="Y114" s="212" t="e">
        <f>INDEX('DB-function distributions'!Q$11:Q$65,MATCH($D114,'DB-function distributions'!$B$11:$B$65,0))</f>
        <v>#N/A</v>
      </c>
      <c r="Z114" s="212" t="e">
        <f>INDEX('DB-function distributions'!R$11:R$65,MATCH($D114,'DB-function distributions'!$B$11:$B$65,0))</f>
        <v>#N/A</v>
      </c>
    </row>
    <row r="115" spans="11:26">
      <c r="K115" s="212" t="e">
        <f>INDEX('DB-function distributions'!C$11:C$65,MATCH($D115,'DB-function distributions'!$B$11:$B$65,0))</f>
        <v>#N/A</v>
      </c>
      <c r="L115" s="212" t="e">
        <f>INDEX('DB-function distributions'!D$11:D$65,MATCH($D115,'DB-function distributions'!$B$11:$B$65,0))</f>
        <v>#N/A</v>
      </c>
      <c r="M115" s="212" t="e">
        <f>INDEX('DB-function distributions'!E$11:E$65,MATCH($D115,'DB-function distributions'!$B$11:$B$65,0))</f>
        <v>#N/A</v>
      </c>
      <c r="N115" s="212" t="e">
        <f>INDEX('DB-function distributions'!F$11:F$65,MATCH($D115,'DB-function distributions'!$B$11:$B$65,0))</f>
        <v>#N/A</v>
      </c>
      <c r="O115" s="212" t="e">
        <f>INDEX('DB-function distributions'!G$11:G$65,MATCH($D115,'DB-function distributions'!$B$11:$B$65,0))</f>
        <v>#N/A</v>
      </c>
      <c r="P115" s="212" t="e">
        <f>INDEX('DB-function distributions'!H$11:H$65,MATCH($D115,'DB-function distributions'!$B$11:$B$65,0))</f>
        <v>#N/A</v>
      </c>
      <c r="Q115" s="212" t="e">
        <f>INDEX('DB-function distributions'!I$11:I$65,MATCH($D115,'DB-function distributions'!$B$11:$B$65,0))</f>
        <v>#N/A</v>
      </c>
      <c r="R115" s="212" t="e">
        <f>INDEX('DB-function distributions'!J$11:J$65,MATCH($D115,'DB-function distributions'!$B$11:$B$65,0))</f>
        <v>#N/A</v>
      </c>
      <c r="S115" s="212" t="e">
        <f>INDEX('DB-function distributions'!K$11:K$65,MATCH($D115,'DB-function distributions'!$B$11:$B$65,0))</f>
        <v>#N/A</v>
      </c>
      <c r="T115" s="212" t="e">
        <f>INDEX('DB-function distributions'!L$11:L$65,MATCH($D115,'DB-function distributions'!$B$11:$B$65,0))</f>
        <v>#N/A</v>
      </c>
      <c r="U115" s="212" t="e">
        <f>INDEX('DB-function distributions'!M$11:M$65,MATCH($D115,'DB-function distributions'!$B$11:$B$65,0))</f>
        <v>#N/A</v>
      </c>
      <c r="V115" s="212" t="e">
        <f>INDEX('DB-function distributions'!N$11:N$65,MATCH($D115,'DB-function distributions'!$B$11:$B$65,0))</f>
        <v>#N/A</v>
      </c>
      <c r="W115" s="212" t="e">
        <f>INDEX('DB-function distributions'!O$11:O$65,MATCH($D115,'DB-function distributions'!$B$11:$B$65,0))</f>
        <v>#N/A</v>
      </c>
      <c r="X115" s="212" t="e">
        <f>INDEX('DB-function distributions'!P$11:P$65,MATCH($D115,'DB-function distributions'!$B$11:$B$65,0))</f>
        <v>#N/A</v>
      </c>
      <c r="Y115" s="212" t="e">
        <f>INDEX('DB-function distributions'!Q$11:Q$65,MATCH($D115,'DB-function distributions'!$B$11:$B$65,0))</f>
        <v>#N/A</v>
      </c>
      <c r="Z115" s="212" t="e">
        <f>INDEX('DB-function distributions'!R$11:R$65,MATCH($D115,'DB-function distributions'!$B$11:$B$65,0))</f>
        <v>#N/A</v>
      </c>
    </row>
    <row r="116" spans="11:26">
      <c r="K116" s="212" t="e">
        <f>INDEX('DB-function distributions'!C$11:C$65,MATCH($D116,'DB-function distributions'!$B$11:$B$65,0))</f>
        <v>#N/A</v>
      </c>
      <c r="L116" s="212" t="e">
        <f>INDEX('DB-function distributions'!D$11:D$65,MATCH($D116,'DB-function distributions'!$B$11:$B$65,0))</f>
        <v>#N/A</v>
      </c>
      <c r="M116" s="212" t="e">
        <f>INDEX('DB-function distributions'!E$11:E$65,MATCH($D116,'DB-function distributions'!$B$11:$B$65,0))</f>
        <v>#N/A</v>
      </c>
      <c r="N116" s="212" t="e">
        <f>INDEX('DB-function distributions'!F$11:F$65,MATCH($D116,'DB-function distributions'!$B$11:$B$65,0))</f>
        <v>#N/A</v>
      </c>
      <c r="O116" s="212" t="e">
        <f>INDEX('DB-function distributions'!G$11:G$65,MATCH($D116,'DB-function distributions'!$B$11:$B$65,0))</f>
        <v>#N/A</v>
      </c>
      <c r="P116" s="212" t="e">
        <f>INDEX('DB-function distributions'!H$11:H$65,MATCH($D116,'DB-function distributions'!$B$11:$B$65,0))</f>
        <v>#N/A</v>
      </c>
      <c r="Q116" s="212" t="e">
        <f>INDEX('DB-function distributions'!I$11:I$65,MATCH($D116,'DB-function distributions'!$B$11:$B$65,0))</f>
        <v>#N/A</v>
      </c>
      <c r="R116" s="212" t="e">
        <f>INDEX('DB-function distributions'!J$11:J$65,MATCH($D116,'DB-function distributions'!$B$11:$B$65,0))</f>
        <v>#N/A</v>
      </c>
      <c r="S116" s="212" t="e">
        <f>INDEX('DB-function distributions'!K$11:K$65,MATCH($D116,'DB-function distributions'!$B$11:$B$65,0))</f>
        <v>#N/A</v>
      </c>
      <c r="T116" s="212" t="e">
        <f>INDEX('DB-function distributions'!L$11:L$65,MATCH($D116,'DB-function distributions'!$B$11:$B$65,0))</f>
        <v>#N/A</v>
      </c>
      <c r="U116" s="212" t="e">
        <f>INDEX('DB-function distributions'!M$11:M$65,MATCH($D116,'DB-function distributions'!$B$11:$B$65,0))</f>
        <v>#N/A</v>
      </c>
      <c r="V116" s="212" t="e">
        <f>INDEX('DB-function distributions'!N$11:N$65,MATCH($D116,'DB-function distributions'!$B$11:$B$65,0))</f>
        <v>#N/A</v>
      </c>
      <c r="W116" s="212" t="e">
        <f>INDEX('DB-function distributions'!O$11:O$65,MATCH($D116,'DB-function distributions'!$B$11:$B$65,0))</f>
        <v>#N/A</v>
      </c>
      <c r="X116" s="212" t="e">
        <f>INDEX('DB-function distributions'!P$11:P$65,MATCH($D116,'DB-function distributions'!$B$11:$B$65,0))</f>
        <v>#N/A</v>
      </c>
      <c r="Y116" s="212" t="e">
        <f>INDEX('DB-function distributions'!Q$11:Q$65,MATCH($D116,'DB-function distributions'!$B$11:$B$65,0))</f>
        <v>#N/A</v>
      </c>
      <c r="Z116" s="212" t="e">
        <f>INDEX('DB-function distributions'!R$11:R$65,MATCH($D116,'DB-function distributions'!$B$11:$B$65,0))</f>
        <v>#N/A</v>
      </c>
    </row>
    <row r="117" spans="11:26">
      <c r="K117" s="212" t="e">
        <f>INDEX('DB-function distributions'!C$11:C$65,MATCH($D117,'DB-function distributions'!$B$11:$B$65,0))</f>
        <v>#N/A</v>
      </c>
      <c r="L117" s="212" t="e">
        <f>INDEX('DB-function distributions'!D$11:D$65,MATCH($D117,'DB-function distributions'!$B$11:$B$65,0))</f>
        <v>#N/A</v>
      </c>
      <c r="M117" s="212" t="e">
        <f>INDEX('DB-function distributions'!E$11:E$65,MATCH($D117,'DB-function distributions'!$B$11:$B$65,0))</f>
        <v>#N/A</v>
      </c>
      <c r="N117" s="212" t="e">
        <f>INDEX('DB-function distributions'!F$11:F$65,MATCH($D117,'DB-function distributions'!$B$11:$B$65,0))</f>
        <v>#N/A</v>
      </c>
      <c r="O117" s="212" t="e">
        <f>INDEX('DB-function distributions'!G$11:G$65,MATCH($D117,'DB-function distributions'!$B$11:$B$65,0))</f>
        <v>#N/A</v>
      </c>
      <c r="P117" s="212" t="e">
        <f>INDEX('DB-function distributions'!H$11:H$65,MATCH($D117,'DB-function distributions'!$B$11:$B$65,0))</f>
        <v>#N/A</v>
      </c>
      <c r="Q117" s="212" t="e">
        <f>INDEX('DB-function distributions'!I$11:I$65,MATCH($D117,'DB-function distributions'!$B$11:$B$65,0))</f>
        <v>#N/A</v>
      </c>
      <c r="R117" s="212" t="e">
        <f>INDEX('DB-function distributions'!J$11:J$65,MATCH($D117,'DB-function distributions'!$B$11:$B$65,0))</f>
        <v>#N/A</v>
      </c>
      <c r="S117" s="212" t="e">
        <f>INDEX('DB-function distributions'!K$11:K$65,MATCH($D117,'DB-function distributions'!$B$11:$B$65,0))</f>
        <v>#N/A</v>
      </c>
      <c r="T117" s="212" t="e">
        <f>INDEX('DB-function distributions'!L$11:L$65,MATCH($D117,'DB-function distributions'!$B$11:$B$65,0))</f>
        <v>#N/A</v>
      </c>
      <c r="U117" s="212" t="e">
        <f>INDEX('DB-function distributions'!M$11:M$65,MATCH($D117,'DB-function distributions'!$B$11:$B$65,0))</f>
        <v>#N/A</v>
      </c>
      <c r="V117" s="212" t="e">
        <f>INDEX('DB-function distributions'!N$11:N$65,MATCH($D117,'DB-function distributions'!$B$11:$B$65,0))</f>
        <v>#N/A</v>
      </c>
      <c r="W117" s="212" t="e">
        <f>INDEX('DB-function distributions'!O$11:O$65,MATCH($D117,'DB-function distributions'!$B$11:$B$65,0))</f>
        <v>#N/A</v>
      </c>
      <c r="X117" s="212" t="e">
        <f>INDEX('DB-function distributions'!P$11:P$65,MATCH($D117,'DB-function distributions'!$B$11:$B$65,0))</f>
        <v>#N/A</v>
      </c>
      <c r="Y117" s="212" t="e">
        <f>INDEX('DB-function distributions'!Q$11:Q$65,MATCH($D117,'DB-function distributions'!$B$11:$B$65,0))</f>
        <v>#N/A</v>
      </c>
      <c r="Z117" s="212" t="e">
        <f>INDEX('DB-function distributions'!R$11:R$65,MATCH($D117,'DB-function distributions'!$B$11:$B$65,0))</f>
        <v>#N/A</v>
      </c>
    </row>
    <row r="118" spans="11:26">
      <c r="K118" s="212" t="e">
        <f>INDEX('DB-function distributions'!C$11:C$65,MATCH($D118,'DB-function distributions'!$B$11:$B$65,0))</f>
        <v>#N/A</v>
      </c>
      <c r="L118" s="212" t="e">
        <f>INDEX('DB-function distributions'!D$11:D$65,MATCH($D118,'DB-function distributions'!$B$11:$B$65,0))</f>
        <v>#N/A</v>
      </c>
      <c r="M118" s="212" t="e">
        <f>INDEX('DB-function distributions'!E$11:E$65,MATCH($D118,'DB-function distributions'!$B$11:$B$65,0))</f>
        <v>#N/A</v>
      </c>
      <c r="N118" s="212" t="e">
        <f>INDEX('DB-function distributions'!F$11:F$65,MATCH($D118,'DB-function distributions'!$B$11:$B$65,0))</f>
        <v>#N/A</v>
      </c>
      <c r="O118" s="212" t="e">
        <f>INDEX('DB-function distributions'!G$11:G$65,MATCH($D118,'DB-function distributions'!$B$11:$B$65,0))</f>
        <v>#N/A</v>
      </c>
      <c r="P118" s="212" t="e">
        <f>INDEX('DB-function distributions'!H$11:H$65,MATCH($D118,'DB-function distributions'!$B$11:$B$65,0))</f>
        <v>#N/A</v>
      </c>
      <c r="Q118" s="212" t="e">
        <f>INDEX('DB-function distributions'!I$11:I$65,MATCH($D118,'DB-function distributions'!$B$11:$B$65,0))</f>
        <v>#N/A</v>
      </c>
      <c r="R118" s="212" t="e">
        <f>INDEX('DB-function distributions'!J$11:J$65,MATCH($D118,'DB-function distributions'!$B$11:$B$65,0))</f>
        <v>#N/A</v>
      </c>
      <c r="S118" s="212" t="e">
        <f>INDEX('DB-function distributions'!K$11:K$65,MATCH($D118,'DB-function distributions'!$B$11:$B$65,0))</f>
        <v>#N/A</v>
      </c>
      <c r="T118" s="212" t="e">
        <f>INDEX('DB-function distributions'!L$11:L$65,MATCH($D118,'DB-function distributions'!$B$11:$B$65,0))</f>
        <v>#N/A</v>
      </c>
      <c r="U118" s="212" t="e">
        <f>INDEX('DB-function distributions'!M$11:M$65,MATCH($D118,'DB-function distributions'!$B$11:$B$65,0))</f>
        <v>#N/A</v>
      </c>
      <c r="V118" s="212" t="e">
        <f>INDEX('DB-function distributions'!N$11:N$65,MATCH($D118,'DB-function distributions'!$B$11:$B$65,0))</f>
        <v>#N/A</v>
      </c>
      <c r="W118" s="212" t="e">
        <f>INDEX('DB-function distributions'!O$11:O$65,MATCH($D118,'DB-function distributions'!$B$11:$B$65,0))</f>
        <v>#N/A</v>
      </c>
      <c r="X118" s="212" t="e">
        <f>INDEX('DB-function distributions'!P$11:P$65,MATCH($D118,'DB-function distributions'!$B$11:$B$65,0))</f>
        <v>#N/A</v>
      </c>
      <c r="Y118" s="212" t="e">
        <f>INDEX('DB-function distributions'!Q$11:Q$65,MATCH($D118,'DB-function distributions'!$B$11:$B$65,0))</f>
        <v>#N/A</v>
      </c>
      <c r="Z118" s="212" t="e">
        <f>INDEX('DB-function distributions'!R$11:R$65,MATCH($D118,'DB-function distributions'!$B$11:$B$65,0))</f>
        <v>#N/A</v>
      </c>
    </row>
    <row r="119" spans="11:26">
      <c r="K119" s="212" t="e">
        <f>INDEX('DB-function distributions'!C$11:C$65,MATCH($D119,'DB-function distributions'!$B$11:$B$65,0))</f>
        <v>#N/A</v>
      </c>
      <c r="L119" s="212" t="e">
        <f>INDEX('DB-function distributions'!D$11:D$65,MATCH($D119,'DB-function distributions'!$B$11:$B$65,0))</f>
        <v>#N/A</v>
      </c>
      <c r="M119" s="212" t="e">
        <f>INDEX('DB-function distributions'!E$11:E$65,MATCH($D119,'DB-function distributions'!$B$11:$B$65,0))</f>
        <v>#N/A</v>
      </c>
      <c r="N119" s="212" t="e">
        <f>INDEX('DB-function distributions'!F$11:F$65,MATCH($D119,'DB-function distributions'!$B$11:$B$65,0))</f>
        <v>#N/A</v>
      </c>
      <c r="O119" s="212" t="e">
        <f>INDEX('DB-function distributions'!G$11:G$65,MATCH($D119,'DB-function distributions'!$B$11:$B$65,0))</f>
        <v>#N/A</v>
      </c>
      <c r="P119" s="212" t="e">
        <f>INDEX('DB-function distributions'!H$11:H$65,MATCH($D119,'DB-function distributions'!$B$11:$B$65,0))</f>
        <v>#N/A</v>
      </c>
      <c r="Q119" s="212" t="e">
        <f>INDEX('DB-function distributions'!I$11:I$65,MATCH($D119,'DB-function distributions'!$B$11:$B$65,0))</f>
        <v>#N/A</v>
      </c>
      <c r="R119" s="212" t="e">
        <f>INDEX('DB-function distributions'!J$11:J$65,MATCH($D119,'DB-function distributions'!$B$11:$B$65,0))</f>
        <v>#N/A</v>
      </c>
      <c r="S119" s="212" t="e">
        <f>INDEX('DB-function distributions'!K$11:K$65,MATCH($D119,'DB-function distributions'!$B$11:$B$65,0))</f>
        <v>#N/A</v>
      </c>
      <c r="T119" s="212" t="e">
        <f>INDEX('DB-function distributions'!L$11:L$65,MATCH($D119,'DB-function distributions'!$B$11:$B$65,0))</f>
        <v>#N/A</v>
      </c>
      <c r="U119" s="212" t="e">
        <f>INDEX('DB-function distributions'!M$11:M$65,MATCH($D119,'DB-function distributions'!$B$11:$B$65,0))</f>
        <v>#N/A</v>
      </c>
      <c r="V119" s="212" t="e">
        <f>INDEX('DB-function distributions'!N$11:N$65,MATCH($D119,'DB-function distributions'!$B$11:$B$65,0))</f>
        <v>#N/A</v>
      </c>
      <c r="W119" s="212" t="e">
        <f>INDEX('DB-function distributions'!O$11:O$65,MATCH($D119,'DB-function distributions'!$B$11:$B$65,0))</f>
        <v>#N/A</v>
      </c>
      <c r="X119" s="212" t="e">
        <f>INDEX('DB-function distributions'!P$11:P$65,MATCH($D119,'DB-function distributions'!$B$11:$B$65,0))</f>
        <v>#N/A</v>
      </c>
      <c r="Y119" s="212" t="e">
        <f>INDEX('DB-function distributions'!Q$11:Q$65,MATCH($D119,'DB-function distributions'!$B$11:$B$65,0))</f>
        <v>#N/A</v>
      </c>
      <c r="Z119" s="212" t="e">
        <f>INDEX('DB-function distributions'!R$11:R$65,MATCH($D119,'DB-function distributions'!$B$11:$B$65,0))</f>
        <v>#N/A</v>
      </c>
    </row>
  </sheetData>
  <phoneticPr fontId="2" type="noConversion"/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C181"/>
  <sheetViews>
    <sheetView topLeftCell="A8" workbookViewId="0">
      <selection activeCell="N11" sqref="N11"/>
    </sheetView>
  </sheetViews>
  <sheetFormatPr defaultColWidth="8.59765625" defaultRowHeight="12.75"/>
  <cols>
    <col min="1" max="1" width="8.59765625" style="205"/>
    <col min="2" max="16384" width="8.59765625" style="2"/>
  </cols>
  <sheetData>
    <row r="1" spans="1:29" hidden="1"/>
    <row r="2" spans="1:29" hidden="1"/>
    <row r="3" spans="1:29" hidden="1"/>
    <row r="4" spans="1:29" hidden="1"/>
    <row r="5" spans="1:29" hidden="1"/>
    <row r="6" spans="1:29" hidden="1"/>
    <row r="7" spans="1:29" ht="17.100000000000001" hidden="1" customHeight="1"/>
    <row r="8" spans="1:29" s="205" customFormat="1">
      <c r="B8" s="228" t="s">
        <v>25</v>
      </c>
    </row>
    <row r="9" spans="1:29" s="205" customFormat="1">
      <c r="B9" s="228" t="str">
        <f>"RE1-"&amp;Start!I60</f>
        <v>RE1-Mainland China</v>
      </c>
      <c r="F9" s="205" t="str">
        <f>"RE2-"&amp;Start!I61</f>
        <v>RE2-East Asia and Pacific industrial economics</v>
      </c>
      <c r="J9" s="205" t="str">
        <f>"RE3-"&amp;Start!I62</f>
        <v>RE3-Russia, South, Southeast Asia</v>
      </c>
      <c r="N9" s="205" t="str">
        <f>"RE4-"&amp;Start!I63</f>
        <v>RE4-East Europe</v>
      </c>
      <c r="R9" s="205" t="str">
        <f>"RE5-"&amp;Start!I64</f>
        <v>RE5-West Europe</v>
      </c>
      <c r="V9" s="205" t="str">
        <f>"RE6-"&amp;Start!I65</f>
        <v>RE6-North America</v>
      </c>
      <c r="Z9" s="205" t="str">
        <f>"RE7-"&amp;Start!I66</f>
        <v>RE7-Rest of the world</v>
      </c>
    </row>
    <row r="10" spans="1:29" s="205" customFormat="1">
      <c r="B10" s="228" t="s">
        <v>21</v>
      </c>
      <c r="C10" s="205" t="s">
        <v>26</v>
      </c>
      <c r="D10" s="205" t="s">
        <v>27</v>
      </c>
      <c r="E10" s="205" t="s">
        <v>28</v>
      </c>
      <c r="F10" s="205" t="s">
        <v>21</v>
      </c>
      <c r="G10" s="205" t="s">
        <v>26</v>
      </c>
      <c r="H10" s="205" t="s">
        <v>27</v>
      </c>
      <c r="I10" s="205" t="s">
        <v>28</v>
      </c>
      <c r="J10" s="205" t="s">
        <v>21</v>
      </c>
      <c r="K10" s="205" t="s">
        <v>26</v>
      </c>
      <c r="L10" s="205" t="s">
        <v>27</v>
      </c>
      <c r="M10" s="205" t="s">
        <v>28</v>
      </c>
      <c r="N10" s="205" t="s">
        <v>21</v>
      </c>
      <c r="O10" s="205" t="s">
        <v>26</v>
      </c>
      <c r="P10" s="205" t="s">
        <v>27</v>
      </c>
      <c r="Q10" s="205" t="s">
        <v>28</v>
      </c>
      <c r="R10" s="205" t="s">
        <v>21</v>
      </c>
      <c r="S10" s="205" t="s">
        <v>26</v>
      </c>
      <c r="T10" s="205" t="s">
        <v>27</v>
      </c>
      <c r="U10" s="205" t="s">
        <v>28</v>
      </c>
      <c r="V10" s="205" t="s">
        <v>21</v>
      </c>
      <c r="W10" s="205" t="s">
        <v>26</v>
      </c>
      <c r="X10" s="205" t="s">
        <v>27</v>
      </c>
      <c r="Y10" s="205" t="s">
        <v>28</v>
      </c>
      <c r="Z10" s="205" t="s">
        <v>21</v>
      </c>
      <c r="AA10" s="205" t="s">
        <v>26</v>
      </c>
      <c r="AB10" s="205" t="s">
        <v>27</v>
      </c>
      <c r="AC10" s="205" t="s">
        <v>28</v>
      </c>
    </row>
    <row r="11" spans="1:29">
      <c r="A11" s="205">
        <v>1930</v>
      </c>
      <c r="B11" s="2">
        <v>0</v>
      </c>
      <c r="C11" s="2">
        <v>1</v>
      </c>
      <c r="D11" s="2">
        <v>0</v>
      </c>
      <c r="E11" s="2">
        <v>0</v>
      </c>
      <c r="F11" s="2">
        <v>0.33</v>
      </c>
      <c r="G11" s="2">
        <v>0.66999999999999993</v>
      </c>
      <c r="H11" s="2">
        <v>0</v>
      </c>
      <c r="I11" s="2">
        <v>0</v>
      </c>
      <c r="J11" s="2">
        <v>0.15</v>
      </c>
      <c r="K11" s="2">
        <v>0.85</v>
      </c>
      <c r="L11" s="2">
        <v>0</v>
      </c>
      <c r="M11" s="2">
        <v>0</v>
      </c>
      <c r="N11" s="2">
        <v>0.15</v>
      </c>
      <c r="O11" s="2">
        <v>0.85</v>
      </c>
      <c r="P11" s="2">
        <v>0</v>
      </c>
      <c r="Q11" s="2">
        <v>0</v>
      </c>
      <c r="R11" s="2">
        <v>0.94</v>
      </c>
      <c r="S11" s="2">
        <v>0.06</v>
      </c>
      <c r="T11" s="2">
        <v>0</v>
      </c>
      <c r="U11" s="2">
        <v>0</v>
      </c>
      <c r="V11" s="2">
        <v>0.59395656279508979</v>
      </c>
      <c r="W11" s="2">
        <v>5.6657223796033995E-2</v>
      </c>
      <c r="X11" s="2">
        <v>0.28989612842304063</v>
      </c>
      <c r="Y11" s="2">
        <v>5.9490084985835696E-2</v>
      </c>
      <c r="Z11" s="2">
        <v>0.58700507614213204</v>
      </c>
      <c r="AA11" s="2">
        <v>0.41299492385786796</v>
      </c>
      <c r="AB11" s="2">
        <v>0</v>
      </c>
      <c r="AC11" s="2">
        <v>0</v>
      </c>
    </row>
    <row r="12" spans="1:29">
      <c r="A12" s="205">
        <v>1931</v>
      </c>
      <c r="B12" s="2">
        <v>0</v>
      </c>
      <c r="C12" s="2">
        <v>1</v>
      </c>
      <c r="D12" s="2">
        <v>0</v>
      </c>
      <c r="E12" s="2">
        <v>0</v>
      </c>
      <c r="F12" s="2">
        <v>0.33</v>
      </c>
      <c r="G12" s="2">
        <v>0.66999999999999993</v>
      </c>
      <c r="H12" s="2">
        <v>0</v>
      </c>
      <c r="I12" s="2">
        <v>0</v>
      </c>
      <c r="J12" s="2">
        <v>0.15</v>
      </c>
      <c r="K12" s="2">
        <v>0.85</v>
      </c>
      <c r="L12" s="2">
        <v>0</v>
      </c>
      <c r="M12" s="2">
        <v>0</v>
      </c>
      <c r="N12" s="2">
        <v>0.16206896551724137</v>
      </c>
      <c r="O12" s="2">
        <v>0.83793103448275863</v>
      </c>
      <c r="P12" s="2">
        <v>0</v>
      </c>
      <c r="Q12" s="2">
        <v>0</v>
      </c>
      <c r="R12" s="2">
        <v>0.94</v>
      </c>
      <c r="S12" s="2">
        <v>0.06</v>
      </c>
      <c r="T12" s="2">
        <v>0</v>
      </c>
      <c r="U12" s="2">
        <v>0</v>
      </c>
      <c r="V12" s="2">
        <v>0.59395656279508979</v>
      </c>
      <c r="W12" s="2">
        <v>5.6657223796033995E-2</v>
      </c>
      <c r="X12" s="2">
        <v>0.28989612842304063</v>
      </c>
      <c r="Y12" s="2">
        <v>5.9490084985835696E-2</v>
      </c>
      <c r="Z12" s="2">
        <v>0.58700507614213204</v>
      </c>
      <c r="AA12" s="2">
        <v>0.41299492385786796</v>
      </c>
      <c r="AB12" s="2">
        <v>0</v>
      </c>
      <c r="AC12" s="2">
        <v>0</v>
      </c>
    </row>
    <row r="13" spans="1:29">
      <c r="A13" s="205">
        <v>1932</v>
      </c>
      <c r="B13" s="2">
        <v>0</v>
      </c>
      <c r="C13" s="2">
        <v>1</v>
      </c>
      <c r="D13" s="2">
        <v>0</v>
      </c>
      <c r="E13" s="2">
        <v>0</v>
      </c>
      <c r="F13" s="2">
        <v>0.33</v>
      </c>
      <c r="G13" s="2">
        <v>0.66999999999999993</v>
      </c>
      <c r="H13" s="2">
        <v>0</v>
      </c>
      <c r="I13" s="2">
        <v>0</v>
      </c>
      <c r="J13" s="2">
        <v>0.15</v>
      </c>
      <c r="K13" s="2">
        <v>0.85</v>
      </c>
      <c r="L13" s="2">
        <v>0</v>
      </c>
      <c r="M13" s="2">
        <v>0</v>
      </c>
      <c r="N13" s="2">
        <v>0.17413793103448275</v>
      </c>
      <c r="O13" s="2">
        <v>0.82586206896551728</v>
      </c>
      <c r="P13" s="2">
        <v>0</v>
      </c>
      <c r="Q13" s="2">
        <v>0</v>
      </c>
      <c r="R13" s="2">
        <v>0.94</v>
      </c>
      <c r="S13" s="2">
        <v>0.06</v>
      </c>
      <c r="T13" s="2">
        <v>0</v>
      </c>
      <c r="U13" s="2">
        <v>0</v>
      </c>
      <c r="V13" s="2">
        <v>0.59395656279508979</v>
      </c>
      <c r="W13" s="2">
        <v>5.6657223796033995E-2</v>
      </c>
      <c r="X13" s="2">
        <v>0.28989612842304063</v>
      </c>
      <c r="Y13" s="2">
        <v>5.9490084985835696E-2</v>
      </c>
      <c r="Z13" s="2">
        <v>0.58700507614213204</v>
      </c>
      <c r="AA13" s="2">
        <v>0.41299492385786796</v>
      </c>
      <c r="AB13" s="2">
        <v>0</v>
      </c>
      <c r="AC13" s="2">
        <v>0</v>
      </c>
    </row>
    <row r="14" spans="1:29">
      <c r="A14" s="205">
        <v>1933</v>
      </c>
      <c r="B14" s="2">
        <v>0</v>
      </c>
      <c r="C14" s="2">
        <v>1</v>
      </c>
      <c r="D14" s="2">
        <v>0</v>
      </c>
      <c r="E14" s="2">
        <v>0</v>
      </c>
      <c r="F14" s="2">
        <v>0.33</v>
      </c>
      <c r="G14" s="2">
        <v>0.66999999999999993</v>
      </c>
      <c r="H14" s="2">
        <v>0</v>
      </c>
      <c r="I14" s="2">
        <v>0</v>
      </c>
      <c r="J14" s="2">
        <v>0.15</v>
      </c>
      <c r="K14" s="2">
        <v>0.85</v>
      </c>
      <c r="L14" s="2">
        <v>0</v>
      </c>
      <c r="M14" s="2">
        <v>0</v>
      </c>
      <c r="N14" s="2">
        <v>0.18620689655172412</v>
      </c>
      <c r="O14" s="2">
        <v>0.81379310344827593</v>
      </c>
      <c r="P14" s="2">
        <v>0</v>
      </c>
      <c r="Q14" s="2">
        <v>0</v>
      </c>
      <c r="R14" s="2">
        <v>0.94</v>
      </c>
      <c r="S14" s="2">
        <v>0.06</v>
      </c>
      <c r="T14" s="2">
        <v>0</v>
      </c>
      <c r="U14" s="2">
        <v>0</v>
      </c>
      <c r="V14" s="2">
        <v>0.59395656279508979</v>
      </c>
      <c r="W14" s="2">
        <v>5.6657223796033995E-2</v>
      </c>
      <c r="X14" s="2">
        <v>0.28989612842304063</v>
      </c>
      <c r="Y14" s="2">
        <v>5.9490084985835696E-2</v>
      </c>
      <c r="Z14" s="2">
        <v>0.58700507614213204</v>
      </c>
      <c r="AA14" s="2">
        <v>0.41299492385786796</v>
      </c>
      <c r="AB14" s="2">
        <v>0</v>
      </c>
      <c r="AC14" s="2">
        <v>0</v>
      </c>
    </row>
    <row r="15" spans="1:29">
      <c r="A15" s="205">
        <v>1934</v>
      </c>
      <c r="B15" s="2">
        <v>0</v>
      </c>
      <c r="C15" s="2">
        <v>1</v>
      </c>
      <c r="D15" s="2">
        <v>0</v>
      </c>
      <c r="E15" s="2">
        <v>0</v>
      </c>
      <c r="F15" s="2">
        <v>0.33</v>
      </c>
      <c r="G15" s="2">
        <v>0.66999999999999993</v>
      </c>
      <c r="H15" s="2">
        <v>0</v>
      </c>
      <c r="I15" s="2">
        <v>0</v>
      </c>
      <c r="J15" s="2">
        <v>0.15</v>
      </c>
      <c r="K15" s="2">
        <v>0.85</v>
      </c>
      <c r="L15" s="2">
        <v>0</v>
      </c>
      <c r="M15" s="2">
        <v>0</v>
      </c>
      <c r="N15" s="2">
        <v>0.1982758620689655</v>
      </c>
      <c r="O15" s="2">
        <v>0.80172413793103448</v>
      </c>
      <c r="P15" s="2">
        <v>0</v>
      </c>
      <c r="Q15" s="2">
        <v>0</v>
      </c>
      <c r="R15" s="2">
        <v>0.94</v>
      </c>
      <c r="S15" s="2">
        <v>0.06</v>
      </c>
      <c r="T15" s="2">
        <v>0</v>
      </c>
      <c r="U15" s="2">
        <v>0</v>
      </c>
      <c r="V15" s="2">
        <v>0.59395656279508979</v>
      </c>
      <c r="W15" s="2">
        <v>5.6657223796033995E-2</v>
      </c>
      <c r="X15" s="2">
        <v>0.28989612842304063</v>
      </c>
      <c r="Y15" s="2">
        <v>5.9490084985835696E-2</v>
      </c>
      <c r="Z15" s="2">
        <v>0.58700507614213204</v>
      </c>
      <c r="AA15" s="2">
        <v>0.41299492385786796</v>
      </c>
      <c r="AB15" s="2">
        <v>0</v>
      </c>
      <c r="AC15" s="2">
        <v>0</v>
      </c>
    </row>
    <row r="16" spans="1:29">
      <c r="A16" s="205">
        <v>1935</v>
      </c>
      <c r="B16" s="2">
        <v>0</v>
      </c>
      <c r="C16" s="2">
        <v>1</v>
      </c>
      <c r="D16" s="2">
        <v>0</v>
      </c>
      <c r="E16" s="2">
        <v>0</v>
      </c>
      <c r="F16" s="2">
        <v>0.33</v>
      </c>
      <c r="G16" s="2">
        <v>0.66999999999999993</v>
      </c>
      <c r="H16" s="2">
        <v>0</v>
      </c>
      <c r="I16" s="2">
        <v>0</v>
      </c>
      <c r="J16" s="2">
        <v>0.15</v>
      </c>
      <c r="K16" s="2">
        <v>0.85</v>
      </c>
      <c r="L16" s="2">
        <v>0</v>
      </c>
      <c r="M16" s="2">
        <v>0</v>
      </c>
      <c r="N16" s="2">
        <v>0.21034482758620687</v>
      </c>
      <c r="O16" s="2">
        <v>0.78965517241379313</v>
      </c>
      <c r="P16" s="2">
        <v>0</v>
      </c>
      <c r="Q16" s="2">
        <v>0</v>
      </c>
      <c r="R16" s="2">
        <v>0.94</v>
      </c>
      <c r="S16" s="2">
        <v>0.06</v>
      </c>
      <c r="T16" s="2">
        <v>0</v>
      </c>
      <c r="U16" s="2">
        <v>0</v>
      </c>
      <c r="V16" s="2">
        <v>0.59395656279508979</v>
      </c>
      <c r="W16" s="2">
        <v>5.6657223796033995E-2</v>
      </c>
      <c r="X16" s="2">
        <v>0.28989612842304063</v>
      </c>
      <c r="Y16" s="2">
        <v>5.9490084985835696E-2</v>
      </c>
      <c r="Z16" s="2">
        <v>0.58700507614213204</v>
      </c>
      <c r="AA16" s="2">
        <v>0.41299492385786796</v>
      </c>
      <c r="AB16" s="2">
        <v>0</v>
      </c>
      <c r="AC16" s="2">
        <v>0</v>
      </c>
    </row>
    <row r="17" spans="1:29">
      <c r="A17" s="205">
        <v>1936</v>
      </c>
      <c r="B17" s="2">
        <v>0</v>
      </c>
      <c r="C17" s="2">
        <v>1</v>
      </c>
      <c r="D17" s="2">
        <v>0</v>
      </c>
      <c r="E17" s="2">
        <v>0</v>
      </c>
      <c r="F17" s="2">
        <v>0.33</v>
      </c>
      <c r="G17" s="2">
        <v>0.66999999999999993</v>
      </c>
      <c r="H17" s="2">
        <v>0</v>
      </c>
      <c r="I17" s="2">
        <v>0</v>
      </c>
      <c r="J17" s="2">
        <v>0.15</v>
      </c>
      <c r="K17" s="2">
        <v>0.85</v>
      </c>
      <c r="L17" s="2">
        <v>0</v>
      </c>
      <c r="M17" s="2">
        <v>0</v>
      </c>
      <c r="N17" s="2">
        <v>0.22241379310344825</v>
      </c>
      <c r="O17" s="2">
        <v>0.77758620689655178</v>
      </c>
      <c r="P17" s="2">
        <v>0</v>
      </c>
      <c r="Q17" s="2">
        <v>0</v>
      </c>
      <c r="R17" s="2">
        <v>0.94</v>
      </c>
      <c r="S17" s="2">
        <v>0.06</v>
      </c>
      <c r="T17" s="2">
        <v>0</v>
      </c>
      <c r="U17" s="2">
        <v>0</v>
      </c>
      <c r="V17" s="2">
        <v>0.59395656279508979</v>
      </c>
      <c r="W17" s="2">
        <v>5.6657223796033995E-2</v>
      </c>
      <c r="X17" s="2">
        <v>0.28989612842304063</v>
      </c>
      <c r="Y17" s="2">
        <v>5.9490084985835696E-2</v>
      </c>
      <c r="Z17" s="2">
        <v>0.58700507614213204</v>
      </c>
      <c r="AA17" s="2">
        <v>0.41299492385786796</v>
      </c>
      <c r="AB17" s="2">
        <v>0</v>
      </c>
      <c r="AC17" s="2">
        <v>0</v>
      </c>
    </row>
    <row r="18" spans="1:29">
      <c r="A18" s="205">
        <v>1937</v>
      </c>
      <c r="B18" s="2">
        <v>0</v>
      </c>
      <c r="C18" s="2">
        <v>1</v>
      </c>
      <c r="D18" s="2">
        <v>0</v>
      </c>
      <c r="E18" s="2">
        <v>0</v>
      </c>
      <c r="F18" s="2">
        <v>0.33</v>
      </c>
      <c r="G18" s="2">
        <v>0.66999999999999993</v>
      </c>
      <c r="H18" s="2">
        <v>0</v>
      </c>
      <c r="I18" s="2">
        <v>0</v>
      </c>
      <c r="J18" s="2">
        <v>0.15</v>
      </c>
      <c r="K18" s="2">
        <v>0.85</v>
      </c>
      <c r="L18" s="2">
        <v>0</v>
      </c>
      <c r="M18" s="2">
        <v>0</v>
      </c>
      <c r="N18" s="2">
        <v>0.23448275862068962</v>
      </c>
      <c r="O18" s="2">
        <v>0.76551724137931032</v>
      </c>
      <c r="P18" s="2">
        <v>0</v>
      </c>
      <c r="Q18" s="2">
        <v>0</v>
      </c>
      <c r="R18" s="2">
        <v>0.94</v>
      </c>
      <c r="S18" s="2">
        <v>0.06</v>
      </c>
      <c r="T18" s="2">
        <v>0</v>
      </c>
      <c r="U18" s="2">
        <v>0</v>
      </c>
      <c r="V18" s="2">
        <v>0.59395656279508979</v>
      </c>
      <c r="W18" s="2">
        <v>5.6657223796033995E-2</v>
      </c>
      <c r="X18" s="2">
        <v>0.28989612842304063</v>
      </c>
      <c r="Y18" s="2">
        <v>5.9490084985835696E-2</v>
      </c>
      <c r="Z18" s="2">
        <v>0.58700507614213204</v>
      </c>
      <c r="AA18" s="2">
        <v>0.41299492385786796</v>
      </c>
      <c r="AB18" s="2">
        <v>0</v>
      </c>
      <c r="AC18" s="2">
        <v>0</v>
      </c>
    </row>
    <row r="19" spans="1:29">
      <c r="A19" s="205">
        <v>1938</v>
      </c>
      <c r="B19" s="2">
        <v>0</v>
      </c>
      <c r="C19" s="2">
        <v>1</v>
      </c>
      <c r="D19" s="2">
        <v>0</v>
      </c>
      <c r="E19" s="2">
        <v>0</v>
      </c>
      <c r="F19" s="2">
        <v>0.33</v>
      </c>
      <c r="G19" s="2">
        <v>0.66999999999999993</v>
      </c>
      <c r="H19" s="2">
        <v>0</v>
      </c>
      <c r="I19" s="2">
        <v>0</v>
      </c>
      <c r="J19" s="2">
        <v>0.15</v>
      </c>
      <c r="K19" s="2">
        <v>0.85</v>
      </c>
      <c r="L19" s="2">
        <v>0</v>
      </c>
      <c r="M19" s="2">
        <v>0</v>
      </c>
      <c r="N19" s="2">
        <v>0.246551724137931</v>
      </c>
      <c r="O19" s="2">
        <v>0.75344827586206897</v>
      </c>
      <c r="P19" s="2">
        <v>0</v>
      </c>
      <c r="Q19" s="2">
        <v>0</v>
      </c>
      <c r="R19" s="2">
        <v>0.94</v>
      </c>
      <c r="S19" s="2">
        <v>0.06</v>
      </c>
      <c r="T19" s="2">
        <v>0</v>
      </c>
      <c r="U19" s="2">
        <v>0</v>
      </c>
      <c r="V19" s="2">
        <v>0.59395656279508979</v>
      </c>
      <c r="W19" s="2">
        <v>5.6657223796033995E-2</v>
      </c>
      <c r="X19" s="2">
        <v>0.28989612842304063</v>
      </c>
      <c r="Y19" s="2">
        <v>5.9490084985835696E-2</v>
      </c>
      <c r="Z19" s="2">
        <v>0.58700507614213204</v>
      </c>
      <c r="AA19" s="2">
        <v>0.41299492385786796</v>
      </c>
      <c r="AB19" s="2">
        <v>0</v>
      </c>
      <c r="AC19" s="2">
        <v>0</v>
      </c>
    </row>
    <row r="20" spans="1:29">
      <c r="A20" s="205">
        <v>1939</v>
      </c>
      <c r="B20" s="2">
        <v>0</v>
      </c>
      <c r="C20" s="2">
        <v>1</v>
      </c>
      <c r="D20" s="2">
        <v>0</v>
      </c>
      <c r="E20" s="2">
        <v>0</v>
      </c>
      <c r="F20" s="2">
        <v>0.33</v>
      </c>
      <c r="G20" s="2">
        <v>0.66999999999999993</v>
      </c>
      <c r="H20" s="2">
        <v>0</v>
      </c>
      <c r="I20" s="2">
        <v>0</v>
      </c>
      <c r="J20" s="2">
        <v>0.15</v>
      </c>
      <c r="K20" s="2">
        <v>0.85</v>
      </c>
      <c r="L20" s="2">
        <v>0</v>
      </c>
      <c r="M20" s="2">
        <v>0</v>
      </c>
      <c r="N20" s="2">
        <v>0.25862068965517238</v>
      </c>
      <c r="O20" s="2">
        <v>0.74137931034482762</v>
      </c>
      <c r="P20" s="2">
        <v>0</v>
      </c>
      <c r="Q20" s="2">
        <v>0</v>
      </c>
      <c r="R20" s="2">
        <v>0.94</v>
      </c>
      <c r="S20" s="2">
        <v>0.06</v>
      </c>
      <c r="T20" s="2">
        <v>0</v>
      </c>
      <c r="U20" s="2">
        <v>0</v>
      </c>
      <c r="V20" s="2">
        <v>0.59395656279508979</v>
      </c>
      <c r="W20" s="2">
        <v>5.6657223796033995E-2</v>
      </c>
      <c r="X20" s="2">
        <v>0.28989612842304063</v>
      </c>
      <c r="Y20" s="2">
        <v>5.9490084985835696E-2</v>
      </c>
      <c r="Z20" s="2">
        <v>0.58700507614213204</v>
      </c>
      <c r="AA20" s="2">
        <v>0.41299492385786796</v>
      </c>
      <c r="AB20" s="2">
        <v>0</v>
      </c>
      <c r="AC20" s="2">
        <v>0</v>
      </c>
    </row>
    <row r="21" spans="1:29">
      <c r="A21" s="205">
        <v>1940</v>
      </c>
      <c r="B21" s="2">
        <v>0</v>
      </c>
      <c r="C21" s="2">
        <v>1</v>
      </c>
      <c r="D21" s="2">
        <v>0</v>
      </c>
      <c r="E21" s="2">
        <v>0</v>
      </c>
      <c r="F21" s="2">
        <v>0.33</v>
      </c>
      <c r="G21" s="2">
        <v>0.66999999999999993</v>
      </c>
      <c r="H21" s="2">
        <v>0</v>
      </c>
      <c r="I21" s="2">
        <v>0</v>
      </c>
      <c r="J21" s="2">
        <v>0.15</v>
      </c>
      <c r="K21" s="2">
        <v>0.85</v>
      </c>
      <c r="L21" s="2">
        <v>0</v>
      </c>
      <c r="M21" s="2">
        <v>0</v>
      </c>
      <c r="N21" s="2">
        <v>0.27068965517241378</v>
      </c>
      <c r="O21" s="2">
        <v>0.72931034482758617</v>
      </c>
      <c r="P21" s="2">
        <v>0</v>
      </c>
      <c r="Q21" s="2">
        <v>0</v>
      </c>
      <c r="R21" s="2">
        <v>0.94</v>
      </c>
      <c r="S21" s="2">
        <v>0.06</v>
      </c>
      <c r="T21" s="2">
        <v>0</v>
      </c>
      <c r="U21" s="2">
        <v>0</v>
      </c>
      <c r="V21" s="2">
        <v>0.59395656279508979</v>
      </c>
      <c r="W21" s="2">
        <v>5.6657223796033995E-2</v>
      </c>
      <c r="X21" s="2">
        <v>0.28989612842304063</v>
      </c>
      <c r="Y21" s="2">
        <v>5.9490084985835696E-2</v>
      </c>
      <c r="Z21" s="2">
        <v>0.58700507614213204</v>
      </c>
      <c r="AA21" s="2">
        <v>0.41299492385786796</v>
      </c>
      <c r="AB21" s="2">
        <v>0</v>
      </c>
      <c r="AC21" s="2">
        <v>0</v>
      </c>
    </row>
    <row r="22" spans="1:29">
      <c r="A22" s="205">
        <v>1941</v>
      </c>
      <c r="B22" s="2">
        <v>0</v>
      </c>
      <c r="C22" s="2">
        <v>1</v>
      </c>
      <c r="D22" s="2">
        <v>0</v>
      </c>
      <c r="E22" s="2">
        <v>0</v>
      </c>
      <c r="F22" s="2">
        <v>0.33</v>
      </c>
      <c r="G22" s="2">
        <v>0.66999999999999993</v>
      </c>
      <c r="H22" s="2">
        <v>0</v>
      </c>
      <c r="I22" s="2">
        <v>0</v>
      </c>
      <c r="J22" s="2">
        <v>0.15</v>
      </c>
      <c r="K22" s="2">
        <v>0.85</v>
      </c>
      <c r="L22" s="2">
        <v>0</v>
      </c>
      <c r="M22" s="2">
        <v>0</v>
      </c>
      <c r="N22" s="2">
        <v>0.28275862068965518</v>
      </c>
      <c r="O22" s="2">
        <v>0.71724137931034482</v>
      </c>
      <c r="P22" s="2">
        <v>0</v>
      </c>
      <c r="Q22" s="2">
        <v>0</v>
      </c>
      <c r="R22" s="2">
        <v>0.94</v>
      </c>
      <c r="S22" s="2">
        <v>0.06</v>
      </c>
      <c r="T22" s="2">
        <v>0</v>
      </c>
      <c r="U22" s="2">
        <v>0</v>
      </c>
      <c r="V22" s="2">
        <v>0.59395656279508979</v>
      </c>
      <c r="W22" s="2">
        <v>5.6657223796033995E-2</v>
      </c>
      <c r="X22" s="2">
        <v>0.28989612842304063</v>
      </c>
      <c r="Y22" s="2">
        <v>5.9490084985835696E-2</v>
      </c>
      <c r="Z22" s="2">
        <v>0.58700507614213204</v>
      </c>
      <c r="AA22" s="2">
        <v>0.41299492385786796</v>
      </c>
      <c r="AB22" s="2">
        <v>0</v>
      </c>
      <c r="AC22" s="2">
        <v>0</v>
      </c>
    </row>
    <row r="23" spans="1:29">
      <c r="A23" s="205">
        <v>1942</v>
      </c>
      <c r="B23" s="2">
        <v>0</v>
      </c>
      <c r="C23" s="2">
        <v>1</v>
      </c>
      <c r="D23" s="2">
        <v>0</v>
      </c>
      <c r="E23" s="2">
        <v>0</v>
      </c>
      <c r="F23" s="2">
        <v>0.33</v>
      </c>
      <c r="G23" s="2">
        <v>0.66999999999999993</v>
      </c>
      <c r="H23" s="2">
        <v>0</v>
      </c>
      <c r="I23" s="2">
        <v>0</v>
      </c>
      <c r="J23" s="2">
        <v>0.15</v>
      </c>
      <c r="K23" s="2">
        <v>0.85</v>
      </c>
      <c r="L23" s="2">
        <v>0</v>
      </c>
      <c r="M23" s="2">
        <v>0</v>
      </c>
      <c r="N23" s="2">
        <v>0.29482758620689659</v>
      </c>
      <c r="O23" s="2">
        <v>0.70517241379310347</v>
      </c>
      <c r="P23" s="2">
        <v>0</v>
      </c>
      <c r="Q23" s="2">
        <v>0</v>
      </c>
      <c r="R23" s="2">
        <v>0.94</v>
      </c>
      <c r="S23" s="2">
        <v>0.06</v>
      </c>
      <c r="T23" s="2">
        <v>0</v>
      </c>
      <c r="U23" s="2">
        <v>0</v>
      </c>
      <c r="V23" s="2">
        <v>0.59395656279508979</v>
      </c>
      <c r="W23" s="2">
        <v>5.6657223796033995E-2</v>
      </c>
      <c r="X23" s="2">
        <v>0.28989612842304063</v>
      </c>
      <c r="Y23" s="2">
        <v>5.9490084985835696E-2</v>
      </c>
      <c r="Z23" s="2">
        <v>0.58700507614213204</v>
      </c>
      <c r="AA23" s="2">
        <v>0.41299492385786796</v>
      </c>
      <c r="AB23" s="2">
        <v>0</v>
      </c>
      <c r="AC23" s="2">
        <v>0</v>
      </c>
    </row>
    <row r="24" spans="1:29">
      <c r="A24" s="205">
        <v>1943</v>
      </c>
      <c r="B24" s="2">
        <v>0</v>
      </c>
      <c r="C24" s="2">
        <v>1</v>
      </c>
      <c r="D24" s="2">
        <v>0</v>
      </c>
      <c r="E24" s="2">
        <v>0</v>
      </c>
      <c r="F24" s="2">
        <v>0.33</v>
      </c>
      <c r="G24" s="2">
        <v>0.66999999999999993</v>
      </c>
      <c r="H24" s="2">
        <v>0</v>
      </c>
      <c r="I24" s="2">
        <v>0</v>
      </c>
      <c r="J24" s="2">
        <v>0.15</v>
      </c>
      <c r="K24" s="2">
        <v>0.85</v>
      </c>
      <c r="L24" s="2">
        <v>0</v>
      </c>
      <c r="M24" s="2">
        <v>0</v>
      </c>
      <c r="N24" s="2">
        <v>0.30689655172413799</v>
      </c>
      <c r="O24" s="2">
        <v>0.69310344827586201</v>
      </c>
      <c r="P24" s="2">
        <v>0</v>
      </c>
      <c r="Q24" s="2">
        <v>0</v>
      </c>
      <c r="R24" s="2">
        <v>0.94</v>
      </c>
      <c r="S24" s="2">
        <v>0.06</v>
      </c>
      <c r="T24" s="2">
        <v>0</v>
      </c>
      <c r="U24" s="2">
        <v>0</v>
      </c>
      <c r="V24" s="2">
        <v>0.59395656279508979</v>
      </c>
      <c r="W24" s="2">
        <v>5.6657223796033995E-2</v>
      </c>
      <c r="X24" s="2">
        <v>0.28989612842304063</v>
      </c>
      <c r="Y24" s="2">
        <v>5.9490084985835696E-2</v>
      </c>
      <c r="Z24" s="2">
        <v>0.58700507614213204</v>
      </c>
      <c r="AA24" s="2">
        <v>0.41299492385786796</v>
      </c>
      <c r="AB24" s="2">
        <v>0</v>
      </c>
      <c r="AC24" s="2">
        <v>0</v>
      </c>
    </row>
    <row r="25" spans="1:29">
      <c r="A25" s="205">
        <v>1944</v>
      </c>
      <c r="B25" s="2">
        <v>0</v>
      </c>
      <c r="C25" s="2">
        <v>1</v>
      </c>
      <c r="D25" s="2">
        <v>0</v>
      </c>
      <c r="E25" s="2">
        <v>0</v>
      </c>
      <c r="F25" s="2">
        <v>0.33</v>
      </c>
      <c r="G25" s="2">
        <v>0.66999999999999993</v>
      </c>
      <c r="H25" s="2">
        <v>0</v>
      </c>
      <c r="I25" s="2">
        <v>0</v>
      </c>
      <c r="J25" s="2">
        <v>0.15</v>
      </c>
      <c r="K25" s="2">
        <v>0.85</v>
      </c>
      <c r="L25" s="2">
        <v>0</v>
      </c>
      <c r="M25" s="2">
        <v>0</v>
      </c>
      <c r="N25" s="2">
        <v>0.31896551724137939</v>
      </c>
      <c r="O25" s="2">
        <v>0.68103448275862055</v>
      </c>
      <c r="P25" s="2">
        <v>0</v>
      </c>
      <c r="Q25" s="2">
        <v>0</v>
      </c>
      <c r="R25" s="2">
        <v>0.94</v>
      </c>
      <c r="S25" s="2">
        <v>0.06</v>
      </c>
      <c r="T25" s="2">
        <v>0</v>
      </c>
      <c r="U25" s="2">
        <v>0</v>
      </c>
      <c r="V25" s="2">
        <v>0.59395656279508979</v>
      </c>
      <c r="W25" s="2">
        <v>5.6657223796033995E-2</v>
      </c>
      <c r="X25" s="2">
        <v>0.28989612842304063</v>
      </c>
      <c r="Y25" s="2">
        <v>5.9490084985835696E-2</v>
      </c>
      <c r="Z25" s="2">
        <v>0.58700507614213204</v>
      </c>
      <c r="AA25" s="2">
        <v>0.41299492385786796</v>
      </c>
      <c r="AB25" s="2">
        <v>0</v>
      </c>
      <c r="AC25" s="2">
        <v>0</v>
      </c>
    </row>
    <row r="26" spans="1:29">
      <c r="A26" s="205">
        <v>1945</v>
      </c>
      <c r="B26" s="2">
        <v>0</v>
      </c>
      <c r="C26" s="2">
        <v>1</v>
      </c>
      <c r="D26" s="2">
        <v>0</v>
      </c>
      <c r="E26" s="2">
        <v>0</v>
      </c>
      <c r="F26" s="2">
        <v>0.33</v>
      </c>
      <c r="G26" s="2">
        <v>0.66999999999999993</v>
      </c>
      <c r="H26" s="2">
        <v>0</v>
      </c>
      <c r="I26" s="2">
        <v>0</v>
      </c>
      <c r="J26" s="2">
        <v>0.15</v>
      </c>
      <c r="K26" s="2">
        <v>0.85</v>
      </c>
      <c r="L26" s="2">
        <v>0</v>
      </c>
      <c r="M26" s="2">
        <v>0</v>
      </c>
      <c r="N26" s="2">
        <v>0.3310344827586208</v>
      </c>
      <c r="O26" s="2">
        <v>0.6689655172413792</v>
      </c>
      <c r="P26" s="2">
        <v>0</v>
      </c>
      <c r="Q26" s="2">
        <v>0</v>
      </c>
      <c r="R26" s="2">
        <v>0.94</v>
      </c>
      <c r="S26" s="2">
        <v>0.06</v>
      </c>
      <c r="T26" s="2">
        <v>0</v>
      </c>
      <c r="U26" s="2">
        <v>0</v>
      </c>
      <c r="V26" s="2">
        <v>0.59395656279508979</v>
      </c>
      <c r="W26" s="2">
        <v>5.6657223796033995E-2</v>
      </c>
      <c r="X26" s="2">
        <v>0.28989612842304063</v>
      </c>
      <c r="Y26" s="2">
        <v>5.9490084985835696E-2</v>
      </c>
      <c r="Z26" s="2">
        <v>0.58700507614213204</v>
      </c>
      <c r="AA26" s="2">
        <v>0.41299492385786796</v>
      </c>
      <c r="AB26" s="2">
        <v>0</v>
      </c>
      <c r="AC26" s="2">
        <v>0</v>
      </c>
    </row>
    <row r="27" spans="1:29">
      <c r="A27" s="205">
        <v>1946</v>
      </c>
      <c r="B27" s="2">
        <v>0</v>
      </c>
      <c r="C27" s="2">
        <v>1</v>
      </c>
      <c r="D27" s="2">
        <v>0</v>
      </c>
      <c r="E27" s="2">
        <v>0</v>
      </c>
      <c r="F27" s="2">
        <v>0.33</v>
      </c>
      <c r="G27" s="2">
        <v>0.66999999999999993</v>
      </c>
      <c r="H27" s="2">
        <v>0</v>
      </c>
      <c r="I27" s="2">
        <v>0</v>
      </c>
      <c r="J27" s="2">
        <v>0.15</v>
      </c>
      <c r="K27" s="2">
        <v>0.85</v>
      </c>
      <c r="L27" s="2">
        <v>0</v>
      </c>
      <c r="M27" s="2">
        <v>0</v>
      </c>
      <c r="N27" s="2">
        <v>0.3431034482758622</v>
      </c>
      <c r="O27" s="2">
        <v>0.65689655172413786</v>
      </c>
      <c r="P27" s="2">
        <v>0</v>
      </c>
      <c r="Q27" s="2">
        <v>0</v>
      </c>
      <c r="R27" s="2">
        <v>0.94</v>
      </c>
      <c r="S27" s="2">
        <v>0.06</v>
      </c>
      <c r="T27" s="2">
        <v>0</v>
      </c>
      <c r="U27" s="2">
        <v>0</v>
      </c>
      <c r="V27" s="2">
        <v>0.59395656279508979</v>
      </c>
      <c r="W27" s="2">
        <v>5.6657223796033995E-2</v>
      </c>
      <c r="X27" s="2">
        <v>0.28989612842304063</v>
      </c>
      <c r="Y27" s="2">
        <v>5.9490084985835696E-2</v>
      </c>
      <c r="Z27" s="2">
        <v>0.58700507614213204</v>
      </c>
      <c r="AA27" s="2">
        <v>0.41299492385786796</v>
      </c>
      <c r="AB27" s="2">
        <v>0</v>
      </c>
      <c r="AC27" s="2">
        <v>0</v>
      </c>
    </row>
    <row r="28" spans="1:29">
      <c r="A28" s="205">
        <v>1947</v>
      </c>
      <c r="B28" s="2">
        <v>0</v>
      </c>
      <c r="C28" s="2">
        <v>1</v>
      </c>
      <c r="D28" s="2">
        <v>0</v>
      </c>
      <c r="E28" s="2">
        <v>0</v>
      </c>
      <c r="F28" s="2">
        <v>0.33</v>
      </c>
      <c r="G28" s="2">
        <v>0.66999999999999993</v>
      </c>
      <c r="H28" s="2">
        <v>0</v>
      </c>
      <c r="I28" s="2">
        <v>0</v>
      </c>
      <c r="J28" s="2">
        <v>0.15</v>
      </c>
      <c r="K28" s="2">
        <v>0.85</v>
      </c>
      <c r="L28" s="2">
        <v>0</v>
      </c>
      <c r="M28" s="2">
        <v>0</v>
      </c>
      <c r="N28" s="2">
        <v>0.3551724137931036</v>
      </c>
      <c r="O28" s="2">
        <v>0.6448275862068964</v>
      </c>
      <c r="P28" s="2">
        <v>0</v>
      </c>
      <c r="Q28" s="2">
        <v>0</v>
      </c>
      <c r="R28" s="2">
        <v>0.94</v>
      </c>
      <c r="S28" s="2">
        <v>0.06</v>
      </c>
      <c r="T28" s="2">
        <v>0</v>
      </c>
      <c r="U28" s="2">
        <v>0</v>
      </c>
      <c r="V28" s="2">
        <v>0.59395656279508979</v>
      </c>
      <c r="W28" s="2">
        <v>5.6657223796033995E-2</v>
      </c>
      <c r="X28" s="2">
        <v>0.28989612842304063</v>
      </c>
      <c r="Y28" s="2">
        <v>5.9490084985835696E-2</v>
      </c>
      <c r="Z28" s="2">
        <v>0.58700507614213204</v>
      </c>
      <c r="AA28" s="2">
        <v>0.41299492385786796</v>
      </c>
      <c r="AB28" s="2">
        <v>0</v>
      </c>
      <c r="AC28" s="2">
        <v>0</v>
      </c>
    </row>
    <row r="29" spans="1:29">
      <c r="A29" s="205">
        <v>1948</v>
      </c>
      <c r="B29" s="2">
        <v>0</v>
      </c>
      <c r="C29" s="2">
        <v>1</v>
      </c>
      <c r="D29" s="2">
        <v>0</v>
      </c>
      <c r="E29" s="2">
        <v>0</v>
      </c>
      <c r="F29" s="2">
        <v>0.33</v>
      </c>
      <c r="G29" s="2">
        <v>0.66999999999999993</v>
      </c>
      <c r="H29" s="2">
        <v>0</v>
      </c>
      <c r="I29" s="2">
        <v>0</v>
      </c>
      <c r="J29" s="2">
        <v>0.15</v>
      </c>
      <c r="K29" s="2">
        <v>0.85</v>
      </c>
      <c r="L29" s="2">
        <v>0</v>
      </c>
      <c r="M29" s="2">
        <v>0</v>
      </c>
      <c r="N29" s="2">
        <v>0.36724137931034501</v>
      </c>
      <c r="O29" s="2">
        <v>0.63275862068965494</v>
      </c>
      <c r="P29" s="2">
        <v>0</v>
      </c>
      <c r="Q29" s="2">
        <v>0</v>
      </c>
      <c r="R29" s="2">
        <v>0.94</v>
      </c>
      <c r="S29" s="2">
        <v>0.06</v>
      </c>
      <c r="T29" s="2">
        <v>0</v>
      </c>
      <c r="U29" s="2">
        <v>0</v>
      </c>
      <c r="V29" s="2">
        <v>0.59395656279508979</v>
      </c>
      <c r="W29" s="2">
        <v>5.6657223796033995E-2</v>
      </c>
      <c r="X29" s="2">
        <v>0.28989612842304063</v>
      </c>
      <c r="Y29" s="2">
        <v>5.9490084985835696E-2</v>
      </c>
      <c r="Z29" s="2">
        <v>0.58700507614213204</v>
      </c>
      <c r="AA29" s="2">
        <v>0.41299492385786796</v>
      </c>
      <c r="AB29" s="2">
        <v>0</v>
      </c>
      <c r="AC29" s="2">
        <v>0</v>
      </c>
    </row>
    <row r="30" spans="1:29">
      <c r="A30" s="205">
        <v>1949</v>
      </c>
      <c r="B30" s="2">
        <v>0</v>
      </c>
      <c r="C30" s="2">
        <v>1</v>
      </c>
      <c r="D30" s="2">
        <v>0</v>
      </c>
      <c r="E30" s="2">
        <v>0</v>
      </c>
      <c r="F30" s="2">
        <v>0.33</v>
      </c>
      <c r="G30" s="2">
        <v>0.66999999999999993</v>
      </c>
      <c r="H30" s="2">
        <v>0</v>
      </c>
      <c r="I30" s="2">
        <v>0</v>
      </c>
      <c r="J30" s="2">
        <v>0.15</v>
      </c>
      <c r="K30" s="2">
        <v>0.85</v>
      </c>
      <c r="L30" s="2">
        <v>0</v>
      </c>
      <c r="M30" s="2">
        <v>0</v>
      </c>
      <c r="N30" s="2">
        <v>0.37931034482758641</v>
      </c>
      <c r="O30" s="2">
        <v>0.62068965517241359</v>
      </c>
      <c r="P30" s="2">
        <v>0</v>
      </c>
      <c r="Q30" s="2">
        <v>0</v>
      </c>
      <c r="R30" s="2">
        <v>0.94</v>
      </c>
      <c r="S30" s="2">
        <v>0.06</v>
      </c>
      <c r="T30" s="2">
        <v>0</v>
      </c>
      <c r="U30" s="2">
        <v>0</v>
      </c>
      <c r="V30" s="2">
        <v>0.59395656279508979</v>
      </c>
      <c r="W30" s="2">
        <v>5.6657223796033995E-2</v>
      </c>
      <c r="X30" s="2">
        <v>0.28989612842304063</v>
      </c>
      <c r="Y30" s="2">
        <v>5.9490084985835696E-2</v>
      </c>
      <c r="Z30" s="2">
        <v>0.58700507614213204</v>
      </c>
      <c r="AA30" s="2">
        <v>0.41299492385786796</v>
      </c>
      <c r="AB30" s="2">
        <v>0</v>
      </c>
      <c r="AC30" s="2">
        <v>0</v>
      </c>
    </row>
    <row r="31" spans="1:29">
      <c r="A31" s="205">
        <v>1950</v>
      </c>
      <c r="B31" s="2">
        <v>0</v>
      </c>
      <c r="C31" s="2">
        <v>1</v>
      </c>
      <c r="D31" s="2">
        <v>0</v>
      </c>
      <c r="E31" s="2">
        <v>0</v>
      </c>
      <c r="F31" s="2">
        <v>0.33</v>
      </c>
      <c r="G31" s="2">
        <v>0.66999999999999993</v>
      </c>
      <c r="H31" s="2">
        <v>0</v>
      </c>
      <c r="I31" s="2">
        <v>0</v>
      </c>
      <c r="J31" s="2">
        <v>0.15</v>
      </c>
      <c r="K31" s="2">
        <v>0.85</v>
      </c>
      <c r="L31" s="2">
        <v>0</v>
      </c>
      <c r="M31" s="2">
        <v>0</v>
      </c>
      <c r="N31" s="2">
        <v>0.39137931034482781</v>
      </c>
      <c r="O31" s="2">
        <v>0.60862068965517224</v>
      </c>
      <c r="P31" s="2">
        <v>0</v>
      </c>
      <c r="Q31" s="2">
        <v>0</v>
      </c>
      <c r="R31" s="2">
        <v>0.94</v>
      </c>
      <c r="S31" s="2">
        <v>0.06</v>
      </c>
      <c r="T31" s="2">
        <v>0</v>
      </c>
      <c r="U31" s="2">
        <v>0</v>
      </c>
      <c r="V31" s="2">
        <v>0.59395656279508979</v>
      </c>
      <c r="W31" s="2">
        <v>5.6657223796033995E-2</v>
      </c>
      <c r="X31" s="2">
        <v>0.28989612842304063</v>
      </c>
      <c r="Y31" s="2">
        <v>5.9490084985835696E-2</v>
      </c>
      <c r="Z31" s="2">
        <v>0.58700507614213204</v>
      </c>
      <c r="AA31" s="2">
        <v>0.41299492385786796</v>
      </c>
      <c r="AB31" s="2">
        <v>0</v>
      </c>
      <c r="AC31" s="2">
        <v>0</v>
      </c>
    </row>
    <row r="32" spans="1:29">
      <c r="A32" s="205">
        <v>1951</v>
      </c>
      <c r="B32" s="2">
        <v>0</v>
      </c>
      <c r="C32" s="2">
        <v>1</v>
      </c>
      <c r="D32" s="2">
        <v>0</v>
      </c>
      <c r="E32" s="2">
        <v>0</v>
      </c>
      <c r="F32" s="2">
        <v>0.33</v>
      </c>
      <c r="G32" s="2">
        <v>0.66999999999999993</v>
      </c>
      <c r="H32" s="2">
        <v>0</v>
      </c>
      <c r="I32" s="2">
        <v>0</v>
      </c>
      <c r="J32" s="2">
        <v>0.15</v>
      </c>
      <c r="K32" s="2">
        <v>0.85</v>
      </c>
      <c r="L32" s="2">
        <v>0</v>
      </c>
      <c r="M32" s="2">
        <v>0</v>
      </c>
      <c r="N32" s="2">
        <v>0.40344827586206922</v>
      </c>
      <c r="O32" s="2">
        <v>0.59655172413793078</v>
      </c>
      <c r="P32" s="2">
        <v>0</v>
      </c>
      <c r="Q32" s="2">
        <v>0</v>
      </c>
      <c r="R32" s="2">
        <v>0.94</v>
      </c>
      <c r="S32" s="2">
        <v>0.06</v>
      </c>
      <c r="T32" s="2">
        <v>0</v>
      </c>
      <c r="U32" s="2">
        <v>0</v>
      </c>
      <c r="V32" s="2">
        <v>0.59395656279508979</v>
      </c>
      <c r="W32" s="2">
        <v>5.6657223796033995E-2</v>
      </c>
      <c r="X32" s="2">
        <v>0.28989612842304063</v>
      </c>
      <c r="Y32" s="2">
        <v>5.9490084985835696E-2</v>
      </c>
      <c r="Z32" s="2">
        <v>0.58700507614213204</v>
      </c>
      <c r="AA32" s="2">
        <v>0.41299492385786796</v>
      </c>
      <c r="AB32" s="2">
        <v>0</v>
      </c>
      <c r="AC32" s="2">
        <v>0</v>
      </c>
    </row>
    <row r="33" spans="1:29">
      <c r="A33" s="205">
        <v>1952</v>
      </c>
      <c r="B33" s="2">
        <v>0</v>
      </c>
      <c r="C33" s="2">
        <v>1</v>
      </c>
      <c r="D33" s="2">
        <v>0</v>
      </c>
      <c r="E33" s="2">
        <v>0</v>
      </c>
      <c r="F33" s="2">
        <v>0.33</v>
      </c>
      <c r="G33" s="2">
        <v>0.66999999999999993</v>
      </c>
      <c r="H33" s="2">
        <v>0</v>
      </c>
      <c r="I33" s="2">
        <v>0</v>
      </c>
      <c r="J33" s="2">
        <v>0.15</v>
      </c>
      <c r="K33" s="2">
        <v>0.85</v>
      </c>
      <c r="L33" s="2">
        <v>0</v>
      </c>
      <c r="M33" s="2">
        <v>0</v>
      </c>
      <c r="N33" s="2">
        <v>0.41551724137931062</v>
      </c>
      <c r="O33" s="2">
        <v>0.58448275862068932</v>
      </c>
      <c r="P33" s="2">
        <v>0</v>
      </c>
      <c r="Q33" s="2">
        <v>0</v>
      </c>
      <c r="R33" s="2">
        <v>0.94</v>
      </c>
      <c r="S33" s="2">
        <v>0.06</v>
      </c>
      <c r="T33" s="2">
        <v>0</v>
      </c>
      <c r="U33" s="2">
        <v>0</v>
      </c>
      <c r="V33" s="2">
        <v>0.59395656279508979</v>
      </c>
      <c r="W33" s="2">
        <v>5.6657223796033995E-2</v>
      </c>
      <c r="X33" s="2">
        <v>0.28989612842304063</v>
      </c>
      <c r="Y33" s="2">
        <v>5.9490084985835696E-2</v>
      </c>
      <c r="Z33" s="2">
        <v>0.58700507614213204</v>
      </c>
      <c r="AA33" s="2">
        <v>0.41299492385786796</v>
      </c>
      <c r="AB33" s="2">
        <v>0</v>
      </c>
      <c r="AC33" s="2">
        <v>0</v>
      </c>
    </row>
    <row r="34" spans="1:29">
      <c r="A34" s="205">
        <v>1953</v>
      </c>
      <c r="B34" s="2">
        <v>0</v>
      </c>
      <c r="C34" s="2">
        <v>1</v>
      </c>
      <c r="D34" s="2">
        <v>0</v>
      </c>
      <c r="E34" s="2">
        <v>0</v>
      </c>
      <c r="F34" s="2">
        <v>0.33</v>
      </c>
      <c r="G34" s="2">
        <v>0.66999999999999993</v>
      </c>
      <c r="H34" s="2">
        <v>0</v>
      </c>
      <c r="I34" s="2">
        <v>0</v>
      </c>
      <c r="J34" s="2">
        <v>0.15</v>
      </c>
      <c r="K34" s="2">
        <v>0.85</v>
      </c>
      <c r="L34" s="2">
        <v>0</v>
      </c>
      <c r="M34" s="2">
        <v>0</v>
      </c>
      <c r="N34" s="2">
        <v>0.42758620689655202</v>
      </c>
      <c r="O34" s="2">
        <v>0.57241379310344798</v>
      </c>
      <c r="P34" s="2">
        <v>0</v>
      </c>
      <c r="Q34" s="2">
        <v>0</v>
      </c>
      <c r="R34" s="2">
        <v>0.94</v>
      </c>
      <c r="S34" s="2">
        <v>0.06</v>
      </c>
      <c r="T34" s="2">
        <v>0</v>
      </c>
      <c r="U34" s="2">
        <v>0</v>
      </c>
      <c r="V34" s="2">
        <v>0.59395656279508979</v>
      </c>
      <c r="W34" s="2">
        <v>5.6657223796033995E-2</v>
      </c>
      <c r="X34" s="2">
        <v>0.28989612842304063</v>
      </c>
      <c r="Y34" s="2">
        <v>5.9490084985835696E-2</v>
      </c>
      <c r="Z34" s="2">
        <v>0.58700507614213204</v>
      </c>
      <c r="AA34" s="2">
        <v>0.41299492385786796</v>
      </c>
      <c r="AB34" s="2">
        <v>0</v>
      </c>
      <c r="AC34" s="2">
        <v>0</v>
      </c>
    </row>
    <row r="35" spans="1:29">
      <c r="A35" s="205">
        <v>1954</v>
      </c>
      <c r="B35" s="2">
        <v>0</v>
      </c>
      <c r="C35" s="2">
        <v>1</v>
      </c>
      <c r="D35" s="2">
        <v>0</v>
      </c>
      <c r="E35" s="2">
        <v>0</v>
      </c>
      <c r="F35" s="2">
        <v>0.33</v>
      </c>
      <c r="G35" s="2">
        <v>0.66999999999999993</v>
      </c>
      <c r="H35" s="2">
        <v>0</v>
      </c>
      <c r="I35" s="2">
        <v>0</v>
      </c>
      <c r="J35" s="2">
        <v>0.15</v>
      </c>
      <c r="K35" s="2">
        <v>0.85</v>
      </c>
      <c r="L35" s="2">
        <v>0</v>
      </c>
      <c r="M35" s="2">
        <v>0</v>
      </c>
      <c r="N35" s="2">
        <v>0.43965517241379343</v>
      </c>
      <c r="O35" s="2">
        <v>0.56034482758620663</v>
      </c>
      <c r="P35" s="2">
        <v>0</v>
      </c>
      <c r="Q35" s="2">
        <v>0</v>
      </c>
      <c r="R35" s="2">
        <v>0.94</v>
      </c>
      <c r="S35" s="2">
        <v>0.06</v>
      </c>
      <c r="T35" s="2">
        <v>0</v>
      </c>
      <c r="U35" s="2">
        <v>0</v>
      </c>
      <c r="V35" s="2">
        <v>0.59395656279508979</v>
      </c>
      <c r="W35" s="2">
        <v>5.6657223796033995E-2</v>
      </c>
      <c r="X35" s="2">
        <v>0.28989612842304063</v>
      </c>
      <c r="Y35" s="2">
        <v>5.9490084985835696E-2</v>
      </c>
      <c r="Z35" s="2">
        <v>0.58700507614213204</v>
      </c>
      <c r="AA35" s="2">
        <v>0.41299492385786796</v>
      </c>
      <c r="AB35" s="2">
        <v>0</v>
      </c>
      <c r="AC35" s="2">
        <v>0</v>
      </c>
    </row>
    <row r="36" spans="1:29">
      <c r="A36" s="205">
        <v>1955</v>
      </c>
      <c r="B36" s="2">
        <v>0</v>
      </c>
      <c r="C36" s="2">
        <v>1</v>
      </c>
      <c r="D36" s="2">
        <v>0</v>
      </c>
      <c r="E36" s="2">
        <v>0</v>
      </c>
      <c r="F36" s="2">
        <v>0.33</v>
      </c>
      <c r="G36" s="2">
        <v>0.66999999999999993</v>
      </c>
      <c r="H36" s="2">
        <v>0</v>
      </c>
      <c r="I36" s="2">
        <v>0</v>
      </c>
      <c r="J36" s="2">
        <v>0.15</v>
      </c>
      <c r="K36" s="2">
        <v>0.85</v>
      </c>
      <c r="L36" s="2">
        <v>0</v>
      </c>
      <c r="M36" s="2">
        <v>0</v>
      </c>
      <c r="N36" s="2">
        <v>0.45172413793103483</v>
      </c>
      <c r="O36" s="2">
        <v>0.54827586206896517</v>
      </c>
      <c r="P36" s="2">
        <v>0</v>
      </c>
      <c r="Q36" s="2">
        <v>0</v>
      </c>
      <c r="R36" s="2">
        <v>0.94</v>
      </c>
      <c r="S36" s="2">
        <v>0.06</v>
      </c>
      <c r="T36" s="2">
        <v>0</v>
      </c>
      <c r="U36" s="2">
        <v>0</v>
      </c>
      <c r="V36" s="2">
        <v>0.59395656279508979</v>
      </c>
      <c r="W36" s="2">
        <v>5.6657223796033995E-2</v>
      </c>
      <c r="X36" s="2">
        <v>0.28989612842304063</v>
      </c>
      <c r="Y36" s="2">
        <v>5.9490084985835696E-2</v>
      </c>
      <c r="Z36" s="2">
        <v>0.58700507614213204</v>
      </c>
      <c r="AA36" s="2">
        <v>0.41299492385786796</v>
      </c>
      <c r="AB36" s="2">
        <v>0</v>
      </c>
      <c r="AC36" s="2">
        <v>0</v>
      </c>
    </row>
    <row r="37" spans="1:29">
      <c r="A37" s="205">
        <v>1956</v>
      </c>
      <c r="B37" s="2">
        <v>0</v>
      </c>
      <c r="C37" s="2">
        <v>1</v>
      </c>
      <c r="D37" s="2">
        <v>0</v>
      </c>
      <c r="E37" s="2">
        <v>0</v>
      </c>
      <c r="F37" s="2">
        <v>0.33</v>
      </c>
      <c r="G37" s="2">
        <v>0.66999999999999993</v>
      </c>
      <c r="H37" s="2">
        <v>0</v>
      </c>
      <c r="I37" s="2">
        <v>0</v>
      </c>
      <c r="J37" s="2">
        <v>0.15</v>
      </c>
      <c r="K37" s="2">
        <v>0.85</v>
      </c>
      <c r="L37" s="2">
        <v>0</v>
      </c>
      <c r="M37" s="2">
        <v>0</v>
      </c>
      <c r="N37" s="2">
        <v>0.46379310344827623</v>
      </c>
      <c r="O37" s="2">
        <v>0.53620689655172371</v>
      </c>
      <c r="P37" s="2">
        <v>0</v>
      </c>
      <c r="Q37" s="2">
        <v>0</v>
      </c>
      <c r="R37" s="2">
        <v>0.94</v>
      </c>
      <c r="S37" s="2">
        <v>0.06</v>
      </c>
      <c r="T37" s="2">
        <v>0</v>
      </c>
      <c r="U37" s="2">
        <v>0</v>
      </c>
      <c r="V37" s="2">
        <v>0.59395656279508979</v>
      </c>
      <c r="W37" s="2">
        <v>5.6657223796033995E-2</v>
      </c>
      <c r="X37" s="2">
        <v>0.28989612842304063</v>
      </c>
      <c r="Y37" s="2">
        <v>5.9490084985835696E-2</v>
      </c>
      <c r="Z37" s="2">
        <v>0.58700507614213204</v>
      </c>
      <c r="AA37" s="2">
        <v>0.41299492385786796</v>
      </c>
      <c r="AB37" s="2">
        <v>0</v>
      </c>
      <c r="AC37" s="2">
        <v>0</v>
      </c>
    </row>
    <row r="38" spans="1:29">
      <c r="A38" s="205">
        <v>1957</v>
      </c>
      <c r="B38" s="2">
        <v>0</v>
      </c>
      <c r="C38" s="2">
        <v>1</v>
      </c>
      <c r="D38" s="2">
        <v>0</v>
      </c>
      <c r="E38" s="2">
        <v>0</v>
      </c>
      <c r="F38" s="2">
        <v>0.33</v>
      </c>
      <c r="G38" s="2">
        <v>0.66999999999999993</v>
      </c>
      <c r="H38" s="2">
        <v>0</v>
      </c>
      <c r="I38" s="2">
        <v>0</v>
      </c>
      <c r="J38" s="2">
        <v>0.15</v>
      </c>
      <c r="K38" s="2">
        <v>0.85</v>
      </c>
      <c r="L38" s="2">
        <v>0</v>
      </c>
      <c r="M38" s="2">
        <v>0</v>
      </c>
      <c r="N38" s="2">
        <v>0.47586206896551764</v>
      </c>
      <c r="O38" s="2">
        <v>0.52413793103448236</v>
      </c>
      <c r="P38" s="2">
        <v>0</v>
      </c>
      <c r="Q38" s="2">
        <v>0</v>
      </c>
      <c r="R38" s="2">
        <v>0.94</v>
      </c>
      <c r="S38" s="2">
        <v>0.06</v>
      </c>
      <c r="T38" s="2">
        <v>0</v>
      </c>
      <c r="U38" s="2">
        <v>0</v>
      </c>
      <c r="V38" s="2">
        <v>0.59395656279508979</v>
      </c>
      <c r="W38" s="2">
        <v>5.6657223796033995E-2</v>
      </c>
      <c r="X38" s="2">
        <v>0.28989612842304063</v>
      </c>
      <c r="Y38" s="2">
        <v>5.9490084985835696E-2</v>
      </c>
      <c r="Z38" s="2">
        <v>0.58700507614213204</v>
      </c>
      <c r="AA38" s="2">
        <v>0.41299492385786796</v>
      </c>
      <c r="AB38" s="2">
        <v>0</v>
      </c>
      <c r="AC38" s="2">
        <v>0</v>
      </c>
    </row>
    <row r="39" spans="1:29">
      <c r="A39" s="205">
        <v>1958</v>
      </c>
      <c r="B39" s="2">
        <v>0</v>
      </c>
      <c r="C39" s="2">
        <v>1</v>
      </c>
      <c r="D39" s="2">
        <v>0</v>
      </c>
      <c r="E39" s="2">
        <v>0</v>
      </c>
      <c r="F39" s="2">
        <v>0.33</v>
      </c>
      <c r="G39" s="2">
        <v>0.66999999999999993</v>
      </c>
      <c r="H39" s="2">
        <v>0</v>
      </c>
      <c r="I39" s="2">
        <v>0</v>
      </c>
      <c r="J39" s="2">
        <v>0.15</v>
      </c>
      <c r="K39" s="2">
        <v>0.85</v>
      </c>
      <c r="L39" s="2">
        <v>0</v>
      </c>
      <c r="M39" s="2">
        <v>0</v>
      </c>
      <c r="N39" s="2">
        <v>0.48793103448275904</v>
      </c>
      <c r="O39" s="2">
        <v>0.51206896551724101</v>
      </c>
      <c r="P39" s="2">
        <v>0</v>
      </c>
      <c r="Q39" s="2">
        <v>0</v>
      </c>
      <c r="R39" s="2">
        <v>0.94</v>
      </c>
      <c r="S39" s="2">
        <v>0.06</v>
      </c>
      <c r="T39" s="2">
        <v>0</v>
      </c>
      <c r="U39" s="2">
        <v>0</v>
      </c>
      <c r="V39" s="2">
        <v>0.59395656279508979</v>
      </c>
      <c r="W39" s="2">
        <v>5.6657223796033995E-2</v>
      </c>
      <c r="X39" s="2">
        <v>0.28989612842304063</v>
      </c>
      <c r="Y39" s="2">
        <v>5.9490084985835696E-2</v>
      </c>
      <c r="Z39" s="2">
        <v>0.58700507614213204</v>
      </c>
      <c r="AA39" s="2">
        <v>0.41299492385786796</v>
      </c>
      <c r="AB39" s="2">
        <v>0</v>
      </c>
      <c r="AC39" s="2">
        <v>0</v>
      </c>
    </row>
    <row r="40" spans="1:29">
      <c r="A40" s="205">
        <v>1959</v>
      </c>
      <c r="B40" s="2">
        <v>0</v>
      </c>
      <c r="C40" s="2">
        <v>1</v>
      </c>
      <c r="D40" s="2">
        <v>0</v>
      </c>
      <c r="E40" s="2">
        <v>0</v>
      </c>
      <c r="F40" s="2">
        <v>0.33</v>
      </c>
      <c r="G40" s="2">
        <v>0.66999999999999993</v>
      </c>
      <c r="H40" s="2">
        <v>0</v>
      </c>
      <c r="I40" s="2">
        <v>0</v>
      </c>
      <c r="J40" s="2">
        <v>0.15</v>
      </c>
      <c r="K40" s="2">
        <v>0.85</v>
      </c>
      <c r="L40" s="2">
        <v>0</v>
      </c>
      <c r="M40" s="2">
        <v>0</v>
      </c>
      <c r="N40" s="2">
        <v>0.50000000000000044</v>
      </c>
      <c r="O40" s="2">
        <v>0.49999999999999956</v>
      </c>
      <c r="P40" s="2">
        <v>0</v>
      </c>
      <c r="Q40" s="2">
        <v>0</v>
      </c>
      <c r="R40" s="2">
        <v>0.94</v>
      </c>
      <c r="S40" s="2">
        <v>0.06</v>
      </c>
      <c r="T40" s="2">
        <v>0</v>
      </c>
      <c r="U40" s="2">
        <v>0</v>
      </c>
      <c r="V40" s="2">
        <v>0.59395656279508979</v>
      </c>
      <c r="W40" s="2">
        <v>5.6657223796033995E-2</v>
      </c>
      <c r="X40" s="2">
        <v>0.28989612842304063</v>
      </c>
      <c r="Y40" s="2">
        <v>5.9490084985835696E-2</v>
      </c>
      <c r="Z40" s="2">
        <v>0.58700507614213204</v>
      </c>
      <c r="AA40" s="2">
        <v>0.41299492385786796</v>
      </c>
      <c r="AB40" s="2">
        <v>0</v>
      </c>
      <c r="AC40" s="2">
        <v>0</v>
      </c>
    </row>
    <row r="41" spans="1:29">
      <c r="A41" s="205">
        <v>1960</v>
      </c>
      <c r="B41" s="2">
        <v>0</v>
      </c>
      <c r="C41" s="2">
        <v>1</v>
      </c>
      <c r="D41" s="2">
        <v>0</v>
      </c>
      <c r="E41" s="2">
        <v>0</v>
      </c>
      <c r="F41" s="2">
        <v>0.33</v>
      </c>
      <c r="G41" s="2">
        <v>0.66999999999999993</v>
      </c>
      <c r="H41" s="2">
        <v>0</v>
      </c>
      <c r="I41" s="2">
        <v>0</v>
      </c>
      <c r="J41" s="2">
        <v>0.15</v>
      </c>
      <c r="K41" s="2">
        <v>0.85</v>
      </c>
      <c r="L41" s="2">
        <v>0</v>
      </c>
      <c r="M41" s="2">
        <v>0</v>
      </c>
      <c r="N41" s="2">
        <v>0.51206896551724179</v>
      </c>
      <c r="O41" s="2">
        <v>0.48793103448275821</v>
      </c>
      <c r="P41" s="2">
        <v>0</v>
      </c>
      <c r="Q41" s="2">
        <v>0</v>
      </c>
      <c r="R41" s="2">
        <v>0.94</v>
      </c>
      <c r="S41" s="2">
        <v>0.06</v>
      </c>
      <c r="T41" s="2">
        <v>0</v>
      </c>
      <c r="U41" s="2">
        <v>0</v>
      </c>
      <c r="V41" s="2">
        <v>0.59395656279508979</v>
      </c>
      <c r="W41" s="2">
        <v>5.6657223796033995E-2</v>
      </c>
      <c r="X41" s="2">
        <v>0.28989612842304063</v>
      </c>
      <c r="Y41" s="2">
        <v>5.9490084985835696E-2</v>
      </c>
      <c r="Z41" s="2">
        <v>0.58700507614213204</v>
      </c>
      <c r="AA41" s="2">
        <v>0.41299492385786796</v>
      </c>
      <c r="AB41" s="2">
        <v>0</v>
      </c>
      <c r="AC41" s="2">
        <v>0</v>
      </c>
    </row>
    <row r="42" spans="1:29">
      <c r="A42" s="205">
        <v>1961</v>
      </c>
      <c r="B42" s="2">
        <v>0</v>
      </c>
      <c r="C42" s="2">
        <v>1</v>
      </c>
      <c r="D42" s="2">
        <v>0</v>
      </c>
      <c r="E42" s="2">
        <v>0</v>
      </c>
      <c r="F42" s="2">
        <v>0.33</v>
      </c>
      <c r="G42" s="2">
        <v>0.66999999999999993</v>
      </c>
      <c r="H42" s="2">
        <v>0</v>
      </c>
      <c r="I42" s="2">
        <v>0</v>
      </c>
      <c r="J42" s="2">
        <v>0.15</v>
      </c>
      <c r="K42" s="2">
        <v>0.85</v>
      </c>
      <c r="L42" s="2">
        <v>0</v>
      </c>
      <c r="M42" s="2">
        <v>0</v>
      </c>
      <c r="N42" s="2">
        <v>0.52413793103448314</v>
      </c>
      <c r="O42" s="2">
        <v>0.47586206896551686</v>
      </c>
      <c r="P42" s="2">
        <v>0</v>
      </c>
      <c r="Q42" s="2">
        <v>0</v>
      </c>
      <c r="R42" s="2">
        <v>0.94</v>
      </c>
      <c r="S42" s="2">
        <v>0.06</v>
      </c>
      <c r="T42" s="2">
        <v>0</v>
      </c>
      <c r="U42" s="2">
        <v>0</v>
      </c>
      <c r="V42" s="2">
        <v>0.60289806019445924</v>
      </c>
      <c r="W42" s="2">
        <v>5.6656937835194605E-2</v>
      </c>
      <c r="X42" s="2">
        <v>0.28078235034146803</v>
      </c>
      <c r="Y42" s="2">
        <v>5.9662651628878134E-2</v>
      </c>
      <c r="Z42" s="2">
        <v>0.58700507614213204</v>
      </c>
      <c r="AA42" s="2">
        <v>0.41299492385786796</v>
      </c>
      <c r="AB42" s="2">
        <v>0</v>
      </c>
      <c r="AC42" s="2">
        <v>0</v>
      </c>
    </row>
    <row r="43" spans="1:29">
      <c r="A43" s="205">
        <v>1962</v>
      </c>
      <c r="B43" s="2">
        <v>0</v>
      </c>
      <c r="C43" s="2">
        <v>1</v>
      </c>
      <c r="D43" s="2">
        <v>0</v>
      </c>
      <c r="E43" s="2">
        <v>0</v>
      </c>
      <c r="F43" s="2">
        <v>0.33</v>
      </c>
      <c r="G43" s="2">
        <v>0.66999999999999993</v>
      </c>
      <c r="H43" s="2">
        <v>0</v>
      </c>
      <c r="I43" s="2">
        <v>0</v>
      </c>
      <c r="J43" s="2">
        <v>0.15</v>
      </c>
      <c r="K43" s="2">
        <v>0.85</v>
      </c>
      <c r="L43" s="2">
        <v>0</v>
      </c>
      <c r="M43" s="2">
        <v>0</v>
      </c>
      <c r="N43" s="2">
        <v>0.53620689655172449</v>
      </c>
      <c r="O43" s="2">
        <v>0.46379310344827551</v>
      </c>
      <c r="P43" s="2">
        <v>0</v>
      </c>
      <c r="Q43" s="2">
        <v>0</v>
      </c>
      <c r="R43" s="2">
        <v>0.94</v>
      </c>
      <c r="S43" s="2">
        <v>0.06</v>
      </c>
      <c r="T43" s="2">
        <v>0</v>
      </c>
      <c r="U43" s="2">
        <v>0</v>
      </c>
      <c r="V43" s="2">
        <v>0.61183946733507522</v>
      </c>
      <c r="W43" s="2">
        <v>5.6656651877241802E-2</v>
      </c>
      <c r="X43" s="2">
        <v>0.2716686642577133</v>
      </c>
      <c r="Y43" s="2">
        <v>5.98352165299696E-2</v>
      </c>
      <c r="Z43" s="2">
        <v>0.58700507614213204</v>
      </c>
      <c r="AA43" s="2">
        <v>0.41299492385786796</v>
      </c>
      <c r="AB43" s="2">
        <v>0</v>
      </c>
      <c r="AC43" s="2">
        <v>0</v>
      </c>
    </row>
    <row r="44" spans="1:29">
      <c r="A44" s="205">
        <v>1963</v>
      </c>
      <c r="B44" s="2">
        <v>0</v>
      </c>
      <c r="C44" s="2">
        <v>1</v>
      </c>
      <c r="D44" s="2">
        <v>0</v>
      </c>
      <c r="E44" s="2">
        <v>0</v>
      </c>
      <c r="F44" s="2">
        <v>0.33</v>
      </c>
      <c r="G44" s="2">
        <v>0.66999999999999993</v>
      </c>
      <c r="H44" s="2">
        <v>0</v>
      </c>
      <c r="I44" s="2">
        <v>0</v>
      </c>
      <c r="J44" s="2">
        <v>0.15</v>
      </c>
      <c r="K44" s="2">
        <v>0.85</v>
      </c>
      <c r="L44" s="2">
        <v>0</v>
      </c>
      <c r="M44" s="2">
        <v>0</v>
      </c>
      <c r="N44" s="2">
        <v>0.54827586206896584</v>
      </c>
      <c r="O44" s="2">
        <v>0.45172413793103416</v>
      </c>
      <c r="P44" s="2">
        <v>0</v>
      </c>
      <c r="Q44" s="2">
        <v>0</v>
      </c>
      <c r="R44" s="2">
        <v>0.94</v>
      </c>
      <c r="S44" s="2">
        <v>0.06</v>
      </c>
      <c r="T44" s="2">
        <v>0</v>
      </c>
      <c r="U44" s="2">
        <v>0</v>
      </c>
      <c r="V44" s="2">
        <v>0.62078078421830452</v>
      </c>
      <c r="W44" s="2">
        <v>5.6656365922175551E-2</v>
      </c>
      <c r="X44" s="2">
        <v>0.26255507017038343</v>
      </c>
      <c r="Y44" s="2">
        <v>6.0007779689136467E-2</v>
      </c>
      <c r="Z44" s="2">
        <v>0.58700507614213204</v>
      </c>
      <c r="AA44" s="2">
        <v>0.41299492385786796</v>
      </c>
      <c r="AB44" s="2">
        <v>0</v>
      </c>
      <c r="AC44" s="2">
        <v>0</v>
      </c>
    </row>
    <row r="45" spans="1:29">
      <c r="A45" s="205">
        <v>1964</v>
      </c>
      <c r="B45" s="2">
        <v>0</v>
      </c>
      <c r="C45" s="2">
        <v>1</v>
      </c>
      <c r="D45" s="2">
        <v>0</v>
      </c>
      <c r="E45" s="2">
        <v>0</v>
      </c>
      <c r="F45" s="2">
        <v>0.29139072847682118</v>
      </c>
      <c r="G45" s="2">
        <v>0.59161147902869748</v>
      </c>
      <c r="H45" s="2">
        <v>9.9337748344370855E-2</v>
      </c>
      <c r="I45" s="2">
        <v>1.7660044150110375E-2</v>
      </c>
      <c r="J45" s="2">
        <v>0.15</v>
      </c>
      <c r="K45" s="2">
        <v>0.84399999999999997</v>
      </c>
      <c r="L45" s="2">
        <v>6.0000000000000001E-3</v>
      </c>
      <c r="M45" s="2">
        <v>0</v>
      </c>
      <c r="N45" s="2">
        <v>0.56034482758620718</v>
      </c>
      <c r="O45" s="2">
        <v>0.43965517241379282</v>
      </c>
      <c r="P45" s="2">
        <v>0</v>
      </c>
      <c r="Q45" s="2">
        <v>0</v>
      </c>
      <c r="R45" s="2">
        <v>0.94</v>
      </c>
      <c r="S45" s="2">
        <v>0.06</v>
      </c>
      <c r="T45" s="2">
        <v>0</v>
      </c>
      <c r="U45" s="2">
        <v>0</v>
      </c>
      <c r="V45" s="2">
        <v>0.62972201084551371</v>
      </c>
      <c r="W45" s="2">
        <v>5.6656079969995825E-2</v>
      </c>
      <c r="X45" s="2">
        <v>0.25344156807808543</v>
      </c>
      <c r="Y45" s="2">
        <v>6.0180341106405126E-2</v>
      </c>
      <c r="Z45" s="2">
        <v>0.58700507614213204</v>
      </c>
      <c r="AA45" s="2">
        <v>0.41299492385786796</v>
      </c>
      <c r="AB45" s="2">
        <v>0</v>
      </c>
      <c r="AC45" s="2">
        <v>0</v>
      </c>
    </row>
    <row r="46" spans="1:29">
      <c r="A46" s="205">
        <v>1965</v>
      </c>
      <c r="B46" s="2">
        <v>0</v>
      </c>
      <c r="C46" s="2">
        <v>1</v>
      </c>
      <c r="D46" s="2">
        <v>0</v>
      </c>
      <c r="E46" s="2">
        <v>0</v>
      </c>
      <c r="F46" s="2">
        <v>0.26506024096385539</v>
      </c>
      <c r="G46" s="2">
        <v>0.53815261044176699</v>
      </c>
      <c r="H46" s="2">
        <v>0.18072289156626506</v>
      </c>
      <c r="I46" s="2">
        <v>1.6064257028112448E-2</v>
      </c>
      <c r="J46" s="2">
        <v>0.15</v>
      </c>
      <c r="K46" s="2">
        <v>0.83799999999999997</v>
      </c>
      <c r="L46" s="2">
        <v>1.2E-2</v>
      </c>
      <c r="M46" s="2">
        <v>0</v>
      </c>
      <c r="N46" s="2">
        <v>0.57241379310344853</v>
      </c>
      <c r="O46" s="2">
        <v>0.42758620689655147</v>
      </c>
      <c r="P46" s="2">
        <v>0</v>
      </c>
      <c r="Q46" s="2">
        <v>0</v>
      </c>
      <c r="R46" s="2">
        <v>0.90461904761904743</v>
      </c>
      <c r="S46" s="2">
        <v>5.9999999999999984E-2</v>
      </c>
      <c r="T46" s="2">
        <v>2.9999999999999992E-2</v>
      </c>
      <c r="U46" s="2">
        <v>5.3809523809523804E-3</v>
      </c>
      <c r="V46" s="2">
        <v>0.63866314721806916</v>
      </c>
      <c r="W46" s="2">
        <v>5.6655794020702539E-2</v>
      </c>
      <c r="X46" s="2">
        <v>0.24432815797942634</v>
      </c>
      <c r="Y46" s="2">
        <v>6.0352900781801923E-2</v>
      </c>
      <c r="Z46" s="2">
        <v>0.58700507614213204</v>
      </c>
      <c r="AA46" s="2">
        <v>0.40299492385786795</v>
      </c>
      <c r="AB46" s="2">
        <v>0.01</v>
      </c>
      <c r="AC46" s="2">
        <v>0</v>
      </c>
    </row>
    <row r="47" spans="1:29">
      <c r="A47" s="205">
        <v>1966</v>
      </c>
      <c r="B47" s="2">
        <v>0</v>
      </c>
      <c r="C47" s="2">
        <v>1</v>
      </c>
      <c r="D47" s="2">
        <v>0</v>
      </c>
      <c r="E47" s="2">
        <v>0</v>
      </c>
      <c r="F47" s="2">
        <v>0.24309392265193372</v>
      </c>
      <c r="G47" s="2">
        <v>0.49355432780847142</v>
      </c>
      <c r="H47" s="2">
        <v>0.24861878453038677</v>
      </c>
      <c r="I47" s="2">
        <v>1.4732965009208104E-2</v>
      </c>
      <c r="J47" s="2">
        <v>0.15</v>
      </c>
      <c r="K47" s="2">
        <v>0.83199999999999996</v>
      </c>
      <c r="L47" s="2">
        <v>1.8000000000000002E-2</v>
      </c>
      <c r="M47" s="2">
        <v>0</v>
      </c>
      <c r="N47" s="2">
        <v>0.58448275862068988</v>
      </c>
      <c r="O47" s="2">
        <v>0.41551724137931012</v>
      </c>
      <c r="P47" s="2">
        <v>0</v>
      </c>
      <c r="Q47" s="2">
        <v>0</v>
      </c>
      <c r="R47" s="2">
        <v>0.89923809523809528</v>
      </c>
      <c r="S47" s="2">
        <v>0.06</v>
      </c>
      <c r="T47" s="2">
        <v>0.03</v>
      </c>
      <c r="U47" s="2">
        <v>1.0761904761904762E-2</v>
      </c>
      <c r="V47" s="2">
        <v>0.64760419333733765</v>
      </c>
      <c r="W47" s="2">
        <v>5.6655508074295681E-2</v>
      </c>
      <c r="X47" s="2">
        <v>0.23521483987301334</v>
      </c>
      <c r="Y47" s="2">
        <v>6.0525458715353253E-2</v>
      </c>
      <c r="Z47" s="2">
        <v>0.58700507614213204</v>
      </c>
      <c r="AA47" s="2">
        <v>0.40299492385786795</v>
      </c>
      <c r="AB47" s="2">
        <v>0.01</v>
      </c>
      <c r="AC47" s="2">
        <v>0</v>
      </c>
    </row>
    <row r="48" spans="1:29">
      <c r="A48" s="205">
        <v>1967</v>
      </c>
      <c r="B48" s="2">
        <v>0</v>
      </c>
      <c r="C48" s="2">
        <v>1</v>
      </c>
      <c r="D48" s="2">
        <v>0</v>
      </c>
      <c r="E48" s="2">
        <v>0</v>
      </c>
      <c r="F48" s="2">
        <v>0.22448979591836737</v>
      </c>
      <c r="G48" s="2">
        <v>0.45578231292517002</v>
      </c>
      <c r="H48" s="2">
        <v>0.30612244897959184</v>
      </c>
      <c r="I48" s="2">
        <v>1.360544217687075E-2</v>
      </c>
      <c r="J48" s="2">
        <v>0.15</v>
      </c>
      <c r="K48" s="2">
        <v>0.82599999999999996</v>
      </c>
      <c r="L48" s="2">
        <v>2.4E-2</v>
      </c>
      <c r="M48" s="2">
        <v>0</v>
      </c>
      <c r="N48" s="2">
        <v>0.59655172413793123</v>
      </c>
      <c r="O48" s="2">
        <v>0.40344827586206877</v>
      </c>
      <c r="P48" s="2">
        <v>0</v>
      </c>
      <c r="Q48" s="2">
        <v>0</v>
      </c>
      <c r="R48" s="2">
        <v>0.89385714285714268</v>
      </c>
      <c r="S48" s="2">
        <v>5.9999999999999984E-2</v>
      </c>
      <c r="T48" s="2">
        <v>2.9999999999999992E-2</v>
      </c>
      <c r="U48" s="2">
        <v>1.6142857142857139E-2</v>
      </c>
      <c r="V48" s="2">
        <v>0.65654514920468576</v>
      </c>
      <c r="W48" s="2">
        <v>5.6655222130775194E-2</v>
      </c>
      <c r="X48" s="2">
        <v>0.22610161375745352</v>
      </c>
      <c r="Y48" s="2">
        <v>6.0698014907085478E-2</v>
      </c>
      <c r="Z48" s="2">
        <v>0.58700507614213204</v>
      </c>
      <c r="AA48" s="2">
        <v>0.40299492385786795</v>
      </c>
      <c r="AB48" s="2">
        <v>0.01</v>
      </c>
      <c r="AC48" s="2">
        <v>0</v>
      </c>
    </row>
    <row r="49" spans="1:29">
      <c r="A49" s="205">
        <v>1968</v>
      </c>
      <c r="B49" s="2">
        <v>0</v>
      </c>
      <c r="C49" s="2">
        <v>1</v>
      </c>
      <c r="D49" s="2">
        <v>0</v>
      </c>
      <c r="E49" s="2">
        <v>0</v>
      </c>
      <c r="F49" s="2">
        <v>0.20853080568720381</v>
      </c>
      <c r="G49" s="2">
        <v>0.42338072669826221</v>
      </c>
      <c r="H49" s="2">
        <v>0.35545023696682465</v>
      </c>
      <c r="I49" s="2">
        <v>1.2638230647709321E-2</v>
      </c>
      <c r="J49" s="2">
        <v>0.15</v>
      </c>
      <c r="K49" s="2">
        <v>0.82</v>
      </c>
      <c r="L49" s="2">
        <v>0.03</v>
      </c>
      <c r="M49" s="2">
        <v>0</v>
      </c>
      <c r="N49" s="2">
        <v>0.60862068965517258</v>
      </c>
      <c r="O49" s="2">
        <v>0.39137931034482742</v>
      </c>
      <c r="P49" s="2">
        <v>0</v>
      </c>
      <c r="Q49" s="2">
        <v>0</v>
      </c>
      <c r="R49" s="2">
        <v>0.88847619047619042</v>
      </c>
      <c r="S49" s="2">
        <v>0.06</v>
      </c>
      <c r="T49" s="2">
        <v>0.03</v>
      </c>
      <c r="U49" s="2">
        <v>2.1523809523809525E-2</v>
      </c>
      <c r="V49" s="2">
        <v>0.66548601482147984</v>
      </c>
      <c r="W49" s="2">
        <v>5.6654936190141038E-2</v>
      </c>
      <c r="X49" s="2">
        <v>0.21698847963135406</v>
      </c>
      <c r="Y49" s="2">
        <v>6.0870569357024985E-2</v>
      </c>
      <c r="Z49" s="2">
        <v>0.58700507614213204</v>
      </c>
      <c r="AA49" s="2">
        <v>0.40299492385786795</v>
      </c>
      <c r="AB49" s="2">
        <v>0.01</v>
      </c>
      <c r="AC49" s="2">
        <v>0</v>
      </c>
    </row>
    <row r="50" spans="1:29">
      <c r="A50" s="205">
        <v>1969</v>
      </c>
      <c r="B50" s="2">
        <v>0</v>
      </c>
      <c r="C50" s="2">
        <v>1</v>
      </c>
      <c r="D50" s="2">
        <v>0</v>
      </c>
      <c r="E50" s="2">
        <v>0</v>
      </c>
      <c r="F50" s="2">
        <v>0.19469026548672566</v>
      </c>
      <c r="G50" s="2">
        <v>0.39528023598820056</v>
      </c>
      <c r="H50" s="2">
        <v>0.39823008849557523</v>
      </c>
      <c r="I50" s="2">
        <v>1.1799410029498525E-2</v>
      </c>
      <c r="J50" s="2">
        <v>0.15</v>
      </c>
      <c r="K50" s="2">
        <v>0.82</v>
      </c>
      <c r="L50" s="2">
        <v>0.03</v>
      </c>
      <c r="M50" s="2">
        <v>0</v>
      </c>
      <c r="N50" s="2">
        <v>0.62068965517241392</v>
      </c>
      <c r="O50" s="2">
        <v>0.37931034482758608</v>
      </c>
      <c r="P50" s="2">
        <v>0</v>
      </c>
      <c r="Q50" s="2">
        <v>0</v>
      </c>
      <c r="R50" s="2">
        <v>0.88309523809523793</v>
      </c>
      <c r="S50" s="2">
        <v>5.9999999999999984E-2</v>
      </c>
      <c r="T50" s="2">
        <v>2.9999999999999992E-2</v>
      </c>
      <c r="U50" s="2">
        <v>2.69047619047619E-2</v>
      </c>
      <c r="V50" s="2">
        <v>0.67442679018908647</v>
      </c>
      <c r="W50" s="2">
        <v>5.665465025239317E-2</v>
      </c>
      <c r="X50" s="2">
        <v>0.2078754374933221</v>
      </c>
      <c r="Y50" s="2">
        <v>6.1043122065198137E-2</v>
      </c>
      <c r="Z50" s="2">
        <v>0.58700507614213204</v>
      </c>
      <c r="AA50" s="2">
        <v>0.40299492385786795</v>
      </c>
      <c r="AB50" s="2">
        <v>0.01</v>
      </c>
      <c r="AC50" s="2">
        <v>0</v>
      </c>
    </row>
    <row r="51" spans="1:29">
      <c r="A51" s="205">
        <v>1970</v>
      </c>
      <c r="B51" s="2">
        <v>0</v>
      </c>
      <c r="C51" s="2">
        <v>1</v>
      </c>
      <c r="D51" s="2">
        <v>0</v>
      </c>
      <c r="E51" s="2">
        <v>0</v>
      </c>
      <c r="F51" s="2">
        <v>0.18257261410788381</v>
      </c>
      <c r="G51" s="2">
        <v>0.37067773167358226</v>
      </c>
      <c r="H51" s="2">
        <v>0.43568464730290457</v>
      </c>
      <c r="I51" s="2">
        <v>1.1065006915629321E-2</v>
      </c>
      <c r="J51" s="2">
        <v>0.15</v>
      </c>
      <c r="K51" s="2">
        <v>0.82</v>
      </c>
      <c r="L51" s="2">
        <v>0.03</v>
      </c>
      <c r="M51" s="2">
        <v>0</v>
      </c>
      <c r="N51" s="2">
        <v>0.63275862068965527</v>
      </c>
      <c r="O51" s="2">
        <v>0.36724137931034473</v>
      </c>
      <c r="P51" s="2">
        <v>0</v>
      </c>
      <c r="Q51" s="2">
        <v>0</v>
      </c>
      <c r="R51" s="2">
        <v>0.86771428571428566</v>
      </c>
      <c r="S51" s="2">
        <v>0.05</v>
      </c>
      <c r="T51" s="2">
        <v>0.05</v>
      </c>
      <c r="U51" s="2">
        <v>3.2285714285714286E-2</v>
      </c>
      <c r="V51" s="2">
        <v>0.68867924528301883</v>
      </c>
      <c r="W51" s="2">
        <v>5.6603773584905655E-2</v>
      </c>
      <c r="X51" s="2">
        <v>0.19339622641509432</v>
      </c>
      <c r="Y51" s="2">
        <v>6.1320754716981132E-2</v>
      </c>
      <c r="Z51" s="2">
        <v>0.58700507614213204</v>
      </c>
      <c r="AA51" s="2">
        <v>0.40299492385786795</v>
      </c>
      <c r="AB51" s="2">
        <v>0.01</v>
      </c>
      <c r="AC51" s="2">
        <v>0</v>
      </c>
    </row>
    <row r="52" spans="1:29">
      <c r="A52" s="205">
        <v>1971</v>
      </c>
      <c r="B52" s="2">
        <v>0</v>
      </c>
      <c r="C52" s="2">
        <v>1</v>
      </c>
      <c r="D52" s="2">
        <v>0</v>
      </c>
      <c r="E52" s="2">
        <v>0</v>
      </c>
      <c r="F52" s="2">
        <v>0.20886075949367089</v>
      </c>
      <c r="G52" s="2">
        <v>0.20886075949367089</v>
      </c>
      <c r="H52" s="2">
        <v>0.569620253164557</v>
      </c>
      <c r="I52" s="2">
        <v>1.2658227848101266E-2</v>
      </c>
      <c r="J52" s="2">
        <v>0.15</v>
      </c>
      <c r="K52" s="2">
        <v>0.82</v>
      </c>
      <c r="L52" s="2">
        <v>0.03</v>
      </c>
      <c r="M52" s="2">
        <v>0</v>
      </c>
      <c r="N52" s="2">
        <v>0.64482758620689662</v>
      </c>
      <c r="O52" s="2">
        <v>0.35517241379310338</v>
      </c>
      <c r="P52" s="2">
        <v>0</v>
      </c>
      <c r="Q52" s="2">
        <v>0</v>
      </c>
      <c r="R52" s="2">
        <v>0.86233333333333317</v>
      </c>
      <c r="S52" s="2">
        <v>4.9999999999999989E-2</v>
      </c>
      <c r="T52" s="2">
        <v>4.9999999999999989E-2</v>
      </c>
      <c r="U52" s="2">
        <v>3.7666666666666661E-2</v>
      </c>
      <c r="V52" s="2">
        <v>0.70075901328273238</v>
      </c>
      <c r="W52" s="2">
        <v>5.1233396584440226E-2</v>
      </c>
      <c r="X52" s="2">
        <v>0.18358633776091079</v>
      </c>
      <c r="Y52" s="2">
        <v>6.442125237191651E-2</v>
      </c>
      <c r="Z52" s="2">
        <v>0.58700507614213204</v>
      </c>
      <c r="AA52" s="2">
        <v>0.40299492385786795</v>
      </c>
      <c r="AB52" s="2">
        <v>0.01</v>
      </c>
      <c r="AC52" s="2">
        <v>0</v>
      </c>
    </row>
    <row r="53" spans="1:29">
      <c r="A53" s="205">
        <v>1972</v>
      </c>
      <c r="B53" s="2">
        <v>0</v>
      </c>
      <c r="C53" s="2">
        <v>1</v>
      </c>
      <c r="D53" s="2">
        <v>0</v>
      </c>
      <c r="E53" s="2">
        <v>0</v>
      </c>
      <c r="F53" s="2">
        <v>0.20370370370370369</v>
      </c>
      <c r="G53" s="2">
        <v>0.20370370370370369</v>
      </c>
      <c r="H53" s="2">
        <v>0.58024691358024683</v>
      </c>
      <c r="I53" s="2">
        <v>1.2345679012345678E-2</v>
      </c>
      <c r="J53" s="2">
        <v>0.15</v>
      </c>
      <c r="K53" s="2">
        <v>0.82</v>
      </c>
      <c r="L53" s="2">
        <v>0.03</v>
      </c>
      <c r="M53" s="2">
        <v>0</v>
      </c>
      <c r="N53" s="2">
        <v>0.65689655172413797</v>
      </c>
      <c r="O53" s="2">
        <v>0.34310344827586203</v>
      </c>
      <c r="P53" s="2">
        <v>0</v>
      </c>
      <c r="Q53" s="2">
        <v>0</v>
      </c>
      <c r="R53" s="2">
        <v>0.83800690250215704</v>
      </c>
      <c r="S53" s="2">
        <v>5.66220880069025E-2</v>
      </c>
      <c r="T53" s="2">
        <v>5.66220880069025E-2</v>
      </c>
      <c r="U53" s="2">
        <v>4.8748921484037963E-2</v>
      </c>
      <c r="V53" s="2">
        <v>0.71297709923664121</v>
      </c>
      <c r="W53" s="2">
        <v>4.5801526717557259E-2</v>
      </c>
      <c r="X53" s="2">
        <v>0.17366412213740459</v>
      </c>
      <c r="Y53" s="2">
        <v>6.7557251908396954E-2</v>
      </c>
      <c r="Z53" s="2">
        <v>0.58700507614213204</v>
      </c>
      <c r="AA53" s="2">
        <v>0.40299492385786795</v>
      </c>
      <c r="AB53" s="2">
        <v>0.01</v>
      </c>
      <c r="AC53" s="2">
        <v>0</v>
      </c>
    </row>
    <row r="54" spans="1:29">
      <c r="A54" s="205">
        <v>1973</v>
      </c>
      <c r="B54" s="2">
        <v>0</v>
      </c>
      <c r="C54" s="2">
        <v>1</v>
      </c>
      <c r="D54" s="2">
        <v>0</v>
      </c>
      <c r="E54" s="2">
        <v>0</v>
      </c>
      <c r="F54" s="2">
        <v>0.20481927710843373</v>
      </c>
      <c r="G54" s="2">
        <v>0.20481927710843373</v>
      </c>
      <c r="H54" s="2">
        <v>0.57831325301204817</v>
      </c>
      <c r="I54" s="2">
        <v>1.2048192771084336E-2</v>
      </c>
      <c r="J54" s="2">
        <v>0.15</v>
      </c>
      <c r="K54" s="2">
        <v>0.82</v>
      </c>
      <c r="L54" s="2">
        <v>0.03</v>
      </c>
      <c r="M54" s="2">
        <v>0</v>
      </c>
      <c r="N54" s="2">
        <v>0.66896551724137931</v>
      </c>
      <c r="O54" s="2">
        <v>0.33103448275862069</v>
      </c>
      <c r="P54" s="2">
        <v>0</v>
      </c>
      <c r="Q54" s="2">
        <v>0</v>
      </c>
      <c r="R54" s="2">
        <v>0.83109146306289294</v>
      </c>
      <c r="S54" s="2">
        <v>5.6898929670825271E-2</v>
      </c>
      <c r="T54" s="2">
        <v>5.6898929670825271E-2</v>
      </c>
      <c r="U54" s="2">
        <v>5.511067759545648E-2</v>
      </c>
      <c r="V54" s="2">
        <v>0.72533589251439534</v>
      </c>
      <c r="W54" s="2">
        <v>4.0307101727447225E-2</v>
      </c>
      <c r="X54" s="2">
        <v>0.16362763915547024</v>
      </c>
      <c r="Y54" s="2">
        <v>7.0729366602687152E-2</v>
      </c>
      <c r="Z54" s="2">
        <v>0.58700507614213204</v>
      </c>
      <c r="AA54" s="2">
        <v>0.40299492385786795</v>
      </c>
      <c r="AB54" s="2">
        <v>0.01</v>
      </c>
      <c r="AC54" s="2">
        <v>0</v>
      </c>
    </row>
    <row r="55" spans="1:29">
      <c r="A55" s="205">
        <v>1974</v>
      </c>
      <c r="B55" s="2">
        <v>0</v>
      </c>
      <c r="C55" s="2">
        <v>1</v>
      </c>
      <c r="D55" s="2">
        <v>0</v>
      </c>
      <c r="E55" s="2">
        <v>0</v>
      </c>
      <c r="F55" s="2">
        <v>0.17441860465116277</v>
      </c>
      <c r="G55" s="2">
        <v>0.17441860465116277</v>
      </c>
      <c r="H55" s="2">
        <v>0.63953488372093026</v>
      </c>
      <c r="I55" s="2">
        <v>1.1627906976744184E-2</v>
      </c>
      <c r="J55" s="2">
        <v>0.15</v>
      </c>
      <c r="K55" s="2">
        <v>0.82</v>
      </c>
      <c r="L55" s="2">
        <v>0.03</v>
      </c>
      <c r="M55" s="2">
        <v>0</v>
      </c>
      <c r="N55" s="2">
        <v>0.68103448275862066</v>
      </c>
      <c r="O55" s="2">
        <v>0.31836551724137935</v>
      </c>
      <c r="P55" s="2">
        <v>5.9999999999999995E-4</v>
      </c>
      <c r="Q55" s="2">
        <v>0</v>
      </c>
      <c r="R55" s="2">
        <v>0.82410806822773008</v>
      </c>
      <c r="S55" s="2">
        <v>5.7178491752595421E-2</v>
      </c>
      <c r="T55" s="2">
        <v>5.7178491752595421E-2</v>
      </c>
      <c r="U55" s="2">
        <v>6.1534948267078879E-2</v>
      </c>
      <c r="V55" s="2">
        <v>0.73783783783783785</v>
      </c>
      <c r="W55" s="2">
        <v>3.474903474903477E-2</v>
      </c>
      <c r="X55" s="2">
        <v>0.15347490347490347</v>
      </c>
      <c r="Y55" s="2">
        <v>7.3938223938223968E-2</v>
      </c>
      <c r="Z55" s="2">
        <v>0.58700507614213204</v>
      </c>
      <c r="AA55" s="2">
        <v>0.40299492385786795</v>
      </c>
      <c r="AB55" s="2">
        <v>0.01</v>
      </c>
      <c r="AC55" s="2">
        <v>0</v>
      </c>
    </row>
    <row r="56" spans="1:29">
      <c r="A56" s="205">
        <v>1975</v>
      </c>
      <c r="B56" s="2">
        <v>0</v>
      </c>
      <c r="C56" s="2">
        <v>1</v>
      </c>
      <c r="D56" s="2">
        <v>0</v>
      </c>
      <c r="E56" s="2">
        <v>0</v>
      </c>
      <c r="F56" s="2">
        <v>0.1609392898052692</v>
      </c>
      <c r="G56" s="2">
        <v>0.1609392898052692</v>
      </c>
      <c r="H56" s="2">
        <v>0.66208476517754866</v>
      </c>
      <c r="I56" s="2">
        <v>1.6036655211912946E-2</v>
      </c>
      <c r="J56" s="2">
        <v>0.15</v>
      </c>
      <c r="K56" s="2">
        <v>0.82</v>
      </c>
      <c r="L56" s="2">
        <v>0.03</v>
      </c>
      <c r="M56" s="2">
        <v>0</v>
      </c>
      <c r="N56" s="2">
        <v>0.69310344827586201</v>
      </c>
      <c r="O56" s="2">
        <v>0.306296551724138</v>
      </c>
      <c r="P56" s="2">
        <v>5.9999999999999995E-4</v>
      </c>
      <c r="Q56" s="2">
        <v>0</v>
      </c>
      <c r="R56" s="2">
        <v>0.79869817236791474</v>
      </c>
      <c r="S56" s="2">
        <v>5.6169789799013964E-2</v>
      </c>
      <c r="T56" s="2">
        <v>7.8637705718619555E-2</v>
      </c>
      <c r="U56" s="2">
        <v>6.6494332114451771E-2</v>
      </c>
      <c r="V56" s="2">
        <v>0.75048543689320391</v>
      </c>
      <c r="W56" s="2">
        <v>2.9126213592233028E-2</v>
      </c>
      <c r="X56" s="2">
        <v>0.14320388349514562</v>
      </c>
      <c r="Y56" s="2">
        <v>7.7184466019417503E-2</v>
      </c>
      <c r="Z56" s="2">
        <v>0.58700507614213204</v>
      </c>
      <c r="AA56" s="2">
        <v>0.40299492385786795</v>
      </c>
      <c r="AB56" s="2">
        <v>0.01</v>
      </c>
      <c r="AC56" s="2">
        <v>0</v>
      </c>
    </row>
    <row r="57" spans="1:29">
      <c r="A57" s="205">
        <v>1976</v>
      </c>
      <c r="B57" s="2">
        <v>0</v>
      </c>
      <c r="C57" s="2">
        <v>1</v>
      </c>
      <c r="D57" s="2">
        <v>0</v>
      </c>
      <c r="E57" s="2">
        <v>0</v>
      </c>
      <c r="F57" s="2">
        <v>0.15180586907449212</v>
      </c>
      <c r="G57" s="2">
        <v>0.15180586907449212</v>
      </c>
      <c r="H57" s="2">
        <v>0.68397291196388255</v>
      </c>
      <c r="I57" s="2">
        <v>1.2415349887133182E-2</v>
      </c>
      <c r="J57" s="2">
        <v>0.15</v>
      </c>
      <c r="K57" s="2">
        <v>0.82</v>
      </c>
      <c r="L57" s="2">
        <v>0.03</v>
      </c>
      <c r="M57" s="2">
        <v>0</v>
      </c>
      <c r="N57" s="2">
        <v>0.70517241379310336</v>
      </c>
      <c r="O57" s="2">
        <v>0.29422758620689665</v>
      </c>
      <c r="P57" s="2">
        <v>5.9999999999999995E-4</v>
      </c>
      <c r="Q57" s="2">
        <v>0</v>
      </c>
      <c r="R57" s="2">
        <v>0.79164759249240491</v>
      </c>
      <c r="S57" s="2">
        <v>5.644221565608222E-2</v>
      </c>
      <c r="T57" s="2">
        <v>7.9019101918515106E-2</v>
      </c>
      <c r="U57" s="2">
        <v>7.2891089932997602E-2</v>
      </c>
      <c r="V57" s="2">
        <v>0.76328124999999991</v>
      </c>
      <c r="W57" s="2">
        <v>2.3437500000000017E-2</v>
      </c>
      <c r="X57" s="2">
        <v>0.13281249999999997</v>
      </c>
      <c r="Y57" s="2">
        <v>8.0468750000000033E-2</v>
      </c>
      <c r="Z57" s="2">
        <v>0.58700507614213204</v>
      </c>
      <c r="AA57" s="2">
        <v>0.40299492385786795</v>
      </c>
      <c r="AB57" s="2">
        <v>0.01</v>
      </c>
      <c r="AC57" s="2">
        <v>0</v>
      </c>
    </row>
    <row r="58" spans="1:29">
      <c r="A58" s="205">
        <v>1977</v>
      </c>
      <c r="B58" s="2">
        <v>0</v>
      </c>
      <c r="C58" s="2">
        <v>1</v>
      </c>
      <c r="D58" s="2">
        <v>0</v>
      </c>
      <c r="E58" s="2">
        <v>0</v>
      </c>
      <c r="F58" s="2">
        <v>0.14450549450549452</v>
      </c>
      <c r="G58" s="2">
        <v>0.14450549450549452</v>
      </c>
      <c r="H58" s="2">
        <v>0.69560439560439558</v>
      </c>
      <c r="I58" s="2">
        <v>1.5384615384615384E-2</v>
      </c>
      <c r="J58" s="2">
        <v>0.15</v>
      </c>
      <c r="K58" s="2">
        <v>0.82</v>
      </c>
      <c r="L58" s="2">
        <v>0.03</v>
      </c>
      <c r="M58" s="2">
        <v>0</v>
      </c>
      <c r="N58" s="2">
        <v>0.71724137931034471</v>
      </c>
      <c r="O58" s="2">
        <v>0.2821586206896553</v>
      </c>
      <c r="P58" s="2">
        <v>5.9999999999999995E-4</v>
      </c>
      <c r="Q58" s="2">
        <v>0</v>
      </c>
      <c r="R58" s="2">
        <v>0.78452828807856434</v>
      </c>
      <c r="S58" s="2">
        <v>5.6717296945978289E-2</v>
      </c>
      <c r="T58" s="2">
        <v>7.9404215724369606E-2</v>
      </c>
      <c r="U58" s="2">
        <v>7.9350199251087716E-2</v>
      </c>
      <c r="V58" s="2">
        <v>0.77622789783889967</v>
      </c>
      <c r="W58" s="2">
        <v>1.7681728880157187E-2</v>
      </c>
      <c r="X58" s="2">
        <v>0.12229862475442041</v>
      </c>
      <c r="Y58" s="2">
        <v>8.379174852652263E-2</v>
      </c>
      <c r="Z58" s="2">
        <v>0.58700507614213204</v>
      </c>
      <c r="AA58" s="2">
        <v>0.40299492385786795</v>
      </c>
      <c r="AB58" s="2">
        <v>0.01</v>
      </c>
      <c r="AC58" s="2">
        <v>0</v>
      </c>
    </row>
    <row r="59" spans="1:29">
      <c r="A59" s="205">
        <v>1978</v>
      </c>
      <c r="B59" s="2">
        <v>0</v>
      </c>
      <c r="C59" s="2">
        <v>1</v>
      </c>
      <c r="D59" s="2">
        <v>0</v>
      </c>
      <c r="E59" s="2">
        <v>0</v>
      </c>
      <c r="F59" s="2">
        <v>0.14184782608695651</v>
      </c>
      <c r="G59" s="2">
        <v>0.14184782608695651</v>
      </c>
      <c r="H59" s="2">
        <v>0.69782608695652171</v>
      </c>
      <c r="I59" s="2">
        <v>1.8478260869565218E-2</v>
      </c>
      <c r="J59" s="2">
        <v>0.15</v>
      </c>
      <c r="K59" s="2">
        <v>0.82</v>
      </c>
      <c r="L59" s="2">
        <v>0.03</v>
      </c>
      <c r="M59" s="2">
        <v>0</v>
      </c>
      <c r="N59" s="2">
        <v>0.72931034482758605</v>
      </c>
      <c r="O59" s="2">
        <v>0.27008965517241396</v>
      </c>
      <c r="P59" s="2">
        <v>5.9999999999999995E-4</v>
      </c>
      <c r="Q59" s="2">
        <v>0</v>
      </c>
      <c r="R59" s="2">
        <v>0.78146143437077131</v>
      </c>
      <c r="S59" s="2">
        <v>5.0744248985115023E-2</v>
      </c>
      <c r="T59" s="2">
        <v>9.1339648173207028E-2</v>
      </c>
      <c r="U59" s="2">
        <v>7.6454668470906609E-2</v>
      </c>
      <c r="V59" s="2">
        <v>0.7893280632411066</v>
      </c>
      <c r="W59" s="2">
        <v>1.1857707509881436E-2</v>
      </c>
      <c r="X59" s="2">
        <v>0.11166007905138338</v>
      </c>
      <c r="Y59" s="2">
        <v>8.7154150197628497E-2</v>
      </c>
      <c r="Z59" s="2">
        <v>0.58700507614213204</v>
      </c>
      <c r="AA59" s="2">
        <v>0.40299492385786795</v>
      </c>
      <c r="AB59" s="2">
        <v>0.01</v>
      </c>
      <c r="AC59" s="2">
        <v>0</v>
      </c>
    </row>
    <row r="60" spans="1:29">
      <c r="A60" s="205">
        <v>1979</v>
      </c>
      <c r="B60" s="2">
        <v>0</v>
      </c>
      <c r="C60" s="2">
        <v>1</v>
      </c>
      <c r="D60" s="2">
        <v>0</v>
      </c>
      <c r="E60" s="2">
        <v>0</v>
      </c>
      <c r="F60" s="2">
        <v>0.13538295577130527</v>
      </c>
      <c r="G60" s="2">
        <v>0.13538295577130527</v>
      </c>
      <c r="H60" s="2">
        <v>0.70334412081984898</v>
      </c>
      <c r="I60" s="2">
        <v>2.5889967637540451E-2</v>
      </c>
      <c r="J60" s="2">
        <v>0.15</v>
      </c>
      <c r="K60" s="2">
        <v>0.82</v>
      </c>
      <c r="L60" s="2">
        <v>0.03</v>
      </c>
      <c r="M60" s="2">
        <v>0</v>
      </c>
      <c r="N60" s="2">
        <v>0.7413793103448274</v>
      </c>
      <c r="O60" s="2">
        <v>0.25802068965517261</v>
      </c>
      <c r="P60" s="2">
        <v>5.9999999999999995E-4</v>
      </c>
      <c r="Q60" s="2">
        <v>0</v>
      </c>
      <c r="R60" s="2">
        <v>0.77721701514059116</v>
      </c>
      <c r="S60" s="2">
        <v>5.0468637346791634E-2</v>
      </c>
      <c r="T60" s="2">
        <v>9.0843547224224941E-2</v>
      </c>
      <c r="U60" s="2">
        <v>8.1470800288392195E-2</v>
      </c>
      <c r="V60" s="2">
        <v>0.8025844930417495</v>
      </c>
      <c r="W60" s="2">
        <v>5.9642147117296351E-3</v>
      </c>
      <c r="X60" s="2">
        <v>0.10089463220675944</v>
      </c>
      <c r="Y60" s="2">
        <v>9.0556660039761497E-2</v>
      </c>
      <c r="Z60" s="2">
        <v>0.58700507614213204</v>
      </c>
      <c r="AA60" s="2">
        <v>0.40299492385786795</v>
      </c>
      <c r="AB60" s="2">
        <v>0.01</v>
      </c>
      <c r="AC60" s="2">
        <v>0</v>
      </c>
    </row>
    <row r="61" spans="1:29">
      <c r="A61" s="205">
        <v>1980</v>
      </c>
      <c r="B61" s="2">
        <v>0</v>
      </c>
      <c r="C61" s="2">
        <v>1</v>
      </c>
      <c r="D61" s="2">
        <v>0</v>
      </c>
      <c r="E61" s="2">
        <v>0</v>
      </c>
      <c r="F61" s="2">
        <v>0.18686868686868688</v>
      </c>
      <c r="G61" s="2">
        <v>0.18686868686868688</v>
      </c>
      <c r="H61" s="2">
        <v>0.60606060606060608</v>
      </c>
      <c r="I61" s="2">
        <v>2.0202020202020204E-2</v>
      </c>
      <c r="J61" s="2">
        <v>0.15</v>
      </c>
      <c r="K61" s="2">
        <v>0.82</v>
      </c>
      <c r="L61" s="2">
        <v>0.03</v>
      </c>
      <c r="M61" s="2">
        <v>0</v>
      </c>
      <c r="N61" s="2">
        <v>0.75344827586206875</v>
      </c>
      <c r="O61" s="2">
        <v>0.24042672413793126</v>
      </c>
      <c r="P61" s="2">
        <v>6.1250000000000002E-3</v>
      </c>
      <c r="Q61" s="2">
        <v>0</v>
      </c>
      <c r="R61" s="2">
        <v>0.76102275015099652</v>
      </c>
      <c r="S61" s="2">
        <v>4.2279041675055369E-2</v>
      </c>
      <c r="T61" s="2">
        <v>0.10569760418763842</v>
      </c>
      <c r="U61" s="2">
        <v>9.1000603986309617E-2</v>
      </c>
      <c r="V61" s="2">
        <v>0.81600000000000006</v>
      </c>
      <c r="W61" s="2">
        <v>0</v>
      </c>
      <c r="X61" s="2">
        <v>9.0000000000000011E-2</v>
      </c>
      <c r="Y61" s="2">
        <v>9.4000000000000014E-2</v>
      </c>
      <c r="Z61" s="2">
        <v>0.58700507614213204</v>
      </c>
      <c r="AA61" s="2">
        <v>0.39299492385786805</v>
      </c>
      <c r="AB61" s="2">
        <v>0.02</v>
      </c>
      <c r="AC61" s="2">
        <v>0</v>
      </c>
    </row>
    <row r="62" spans="1:29">
      <c r="A62" s="205">
        <v>1981</v>
      </c>
      <c r="B62" s="2">
        <v>0</v>
      </c>
      <c r="C62" s="2">
        <v>1</v>
      </c>
      <c r="D62" s="2">
        <v>0</v>
      </c>
      <c r="E62" s="2">
        <v>0</v>
      </c>
      <c r="F62" s="2">
        <v>0.16161616161616163</v>
      </c>
      <c r="G62" s="2">
        <v>0.16161616161616163</v>
      </c>
      <c r="H62" s="2">
        <v>0.65656565656565657</v>
      </c>
      <c r="I62" s="2">
        <v>2.0202020202020204E-2</v>
      </c>
      <c r="J62" s="2">
        <v>0.15</v>
      </c>
      <c r="K62" s="2">
        <v>0.82</v>
      </c>
      <c r="L62" s="2">
        <v>0.03</v>
      </c>
      <c r="M62" s="2">
        <v>0</v>
      </c>
      <c r="N62" s="2">
        <v>0.7655172413793101</v>
      </c>
      <c r="O62" s="2">
        <v>0.22835775862068991</v>
      </c>
      <c r="P62" s="2">
        <v>6.1250000000000002E-3</v>
      </c>
      <c r="Q62" s="2">
        <v>0</v>
      </c>
      <c r="R62" s="2">
        <v>0.75413484396338071</v>
      </c>
      <c r="S62" s="2">
        <v>4.2486470082443988E-2</v>
      </c>
      <c r="T62" s="2">
        <v>0.10621617520610997</v>
      </c>
      <c r="U62" s="2">
        <v>9.7162510748065312E-2</v>
      </c>
      <c r="V62" s="2">
        <v>0.80214335170861539</v>
      </c>
      <c r="W62" s="2">
        <v>1.0008026846021402E-3</v>
      </c>
      <c r="X62" s="2">
        <v>9.727802094332802E-2</v>
      </c>
      <c r="Y62" s="2">
        <v>9.9577824663454564E-2</v>
      </c>
      <c r="Z62" s="2">
        <v>0.58700507614213204</v>
      </c>
      <c r="AA62" s="2">
        <v>0.39299492385786805</v>
      </c>
      <c r="AB62" s="2">
        <v>0.02</v>
      </c>
      <c r="AC62" s="2">
        <v>0</v>
      </c>
    </row>
    <row r="63" spans="1:29">
      <c r="A63" s="205">
        <v>1982</v>
      </c>
      <c r="B63" s="2">
        <v>0</v>
      </c>
      <c r="C63" s="2">
        <v>1</v>
      </c>
      <c r="D63" s="2">
        <v>0</v>
      </c>
      <c r="E63" s="2">
        <v>0</v>
      </c>
      <c r="F63" s="2">
        <v>0.16161616161616163</v>
      </c>
      <c r="G63" s="2">
        <v>0.16161616161616163</v>
      </c>
      <c r="H63" s="2">
        <v>0.65656565656565657</v>
      </c>
      <c r="I63" s="2">
        <v>2.0202020202020204E-2</v>
      </c>
      <c r="J63" s="2">
        <v>0.15</v>
      </c>
      <c r="K63" s="2">
        <v>0.82</v>
      </c>
      <c r="L63" s="2">
        <v>0.03</v>
      </c>
      <c r="M63" s="2">
        <v>0</v>
      </c>
      <c r="N63" s="2">
        <v>0.77758620689655145</v>
      </c>
      <c r="O63" s="2">
        <v>0.21628879310344856</v>
      </c>
      <c r="P63" s="2">
        <v>6.1250000000000002E-3</v>
      </c>
      <c r="Q63" s="2">
        <v>0</v>
      </c>
      <c r="R63" s="2">
        <v>0.74445129469790383</v>
      </c>
      <c r="S63" s="2">
        <v>4.3156596794081382E-2</v>
      </c>
      <c r="T63" s="2">
        <v>0.10789149198520347</v>
      </c>
      <c r="U63" s="2">
        <v>0.10450061652281131</v>
      </c>
      <c r="V63" s="2">
        <v>0.78905476301552613</v>
      </c>
      <c r="W63" s="2">
        <v>1.0026108805788133E-3</v>
      </c>
      <c r="X63" s="2">
        <v>0.10467257593242811</v>
      </c>
      <c r="Y63" s="2">
        <v>0.1052700501714669</v>
      </c>
      <c r="Z63" s="2">
        <v>0.58700507614213204</v>
      </c>
      <c r="AA63" s="2">
        <v>0.39299492385786805</v>
      </c>
      <c r="AB63" s="2">
        <v>0.02</v>
      </c>
      <c r="AC63" s="2">
        <v>0</v>
      </c>
    </row>
    <row r="64" spans="1:29">
      <c r="A64" s="205">
        <v>1983</v>
      </c>
      <c r="B64" s="2">
        <v>0</v>
      </c>
      <c r="C64" s="2">
        <v>1</v>
      </c>
      <c r="D64" s="2">
        <v>0</v>
      </c>
      <c r="E64" s="2">
        <v>0</v>
      </c>
      <c r="F64" s="2">
        <v>0.16191536051868347</v>
      </c>
      <c r="G64" s="2">
        <v>0.16191536051868347</v>
      </c>
      <c r="H64" s="2">
        <v>0.65417758053262465</v>
      </c>
      <c r="I64" s="2">
        <v>2.1991698430008217E-2</v>
      </c>
      <c r="J64" s="2">
        <v>0.15</v>
      </c>
      <c r="K64" s="2">
        <v>0.82</v>
      </c>
      <c r="L64" s="2">
        <v>0.03</v>
      </c>
      <c r="M64" s="2">
        <v>0</v>
      </c>
      <c r="N64" s="2">
        <v>0.78965517241379279</v>
      </c>
      <c r="O64" s="2">
        <v>0.20421982758620721</v>
      </c>
      <c r="P64" s="2">
        <v>6.1250000000000002E-3</v>
      </c>
      <c r="Q64" s="2">
        <v>0</v>
      </c>
      <c r="R64" s="2">
        <v>0.73510957339294003</v>
      </c>
      <c r="S64" s="2">
        <v>4.28615164812736E-2</v>
      </c>
      <c r="T64" s="2">
        <v>0.11247691502424541</v>
      </c>
      <c r="U64" s="2">
        <v>0.10955199510154093</v>
      </c>
      <c r="V64" s="2">
        <v>0.77591879321336255</v>
      </c>
      <c r="W64" s="2">
        <v>1.00442562228267E-3</v>
      </c>
      <c r="X64" s="2">
        <v>0.11209389944674596</v>
      </c>
      <c r="Y64" s="2">
        <v>0.11098288171760878</v>
      </c>
      <c r="Z64" s="2">
        <v>0.58520812182741122</v>
      </c>
      <c r="AA64" s="2">
        <v>0.39179187817258887</v>
      </c>
      <c r="AB64" s="2">
        <v>2.3E-2</v>
      </c>
      <c r="AC64" s="2">
        <v>0</v>
      </c>
    </row>
    <row r="65" spans="1:29">
      <c r="A65" s="205">
        <v>1984</v>
      </c>
      <c r="B65" s="2">
        <v>0</v>
      </c>
      <c r="C65" s="2">
        <v>1</v>
      </c>
      <c r="D65" s="2">
        <v>0</v>
      </c>
      <c r="E65" s="2">
        <v>0</v>
      </c>
      <c r="F65" s="2">
        <v>0.16220781505208057</v>
      </c>
      <c r="G65" s="2">
        <v>0.16220781505208057</v>
      </c>
      <c r="H65" s="2">
        <v>0.65184333513242332</v>
      </c>
      <c r="I65" s="2">
        <v>2.3741034763415578E-2</v>
      </c>
      <c r="J65" s="2">
        <v>0.15</v>
      </c>
      <c r="K65" s="2">
        <v>0.82</v>
      </c>
      <c r="L65" s="2">
        <v>0.03</v>
      </c>
      <c r="M65" s="2">
        <v>0</v>
      </c>
      <c r="N65" s="2">
        <v>0.80172413793103414</v>
      </c>
      <c r="O65" s="2">
        <v>0.19215086206896587</v>
      </c>
      <c r="P65" s="2">
        <v>6.1250000000000002E-3</v>
      </c>
      <c r="Q65" s="2">
        <v>0</v>
      </c>
      <c r="R65" s="2">
        <v>0.72589473133537785</v>
      </c>
      <c r="S65" s="2">
        <v>4.2570443948915473E-2</v>
      </c>
      <c r="T65" s="2">
        <v>0.11700005885314832</v>
      </c>
      <c r="U65" s="2">
        <v>0.11453476586255823</v>
      </c>
      <c r="V65" s="2">
        <v>0.7627351845539041</v>
      </c>
      <c r="W65" s="2">
        <v>1.006246945321773E-3</v>
      </c>
      <c r="X65" s="2">
        <v>0.11954213710422663</v>
      </c>
      <c r="Y65" s="2">
        <v>0.11671643139654751</v>
      </c>
      <c r="Z65" s="2">
        <v>0.5834111675126904</v>
      </c>
      <c r="AA65" s="2">
        <v>0.39058883248730969</v>
      </c>
      <c r="AB65" s="2">
        <v>2.5999999999999999E-2</v>
      </c>
      <c r="AC65" s="2">
        <v>0</v>
      </c>
    </row>
    <row r="66" spans="1:29">
      <c r="A66" s="205">
        <v>1985</v>
      </c>
      <c r="B66" s="2">
        <v>0</v>
      </c>
      <c r="C66" s="2">
        <v>1</v>
      </c>
      <c r="D66" s="2">
        <v>0</v>
      </c>
      <c r="E66" s="2">
        <v>0</v>
      </c>
      <c r="F66" s="2">
        <v>0.16249375071632702</v>
      </c>
      <c r="G66" s="2">
        <v>0.16249375071632702</v>
      </c>
      <c r="H66" s="2">
        <v>0.64956112052193982</v>
      </c>
      <c r="I66" s="2">
        <v>2.5451378045406047E-2</v>
      </c>
      <c r="J66" s="2">
        <v>0.15</v>
      </c>
      <c r="K66" s="2">
        <v>0.82</v>
      </c>
      <c r="L66" s="2">
        <v>0.03</v>
      </c>
      <c r="M66" s="2">
        <v>0</v>
      </c>
      <c r="N66" s="2">
        <v>0.81379310344827549</v>
      </c>
      <c r="O66" s="2">
        <v>0.18008189655172452</v>
      </c>
      <c r="P66" s="2">
        <v>6.1250000000000002E-3</v>
      </c>
      <c r="Q66" s="2">
        <v>0</v>
      </c>
      <c r="R66" s="2">
        <v>0.586046511627907</v>
      </c>
      <c r="S66" s="2">
        <v>3.4625322997416025E-2</v>
      </c>
      <c r="T66" s="2">
        <v>0.26253229974160208</v>
      </c>
      <c r="U66" s="2">
        <v>0.11679586563307495</v>
      </c>
      <c r="V66" s="2">
        <v>0.74950367741603674</v>
      </c>
      <c r="W66" s="2">
        <v>1.0080748855629275E-3</v>
      </c>
      <c r="X66" s="2">
        <v>0.12701743558092884</v>
      </c>
      <c r="Y66" s="2">
        <v>0.12247081211747153</v>
      </c>
      <c r="Z66" s="2">
        <v>0.58161421319796958</v>
      </c>
      <c r="AA66" s="2">
        <v>0.38938578680203051</v>
      </c>
      <c r="AB66" s="2">
        <v>2.8999999999999998E-2</v>
      </c>
      <c r="AC66" s="2">
        <v>0</v>
      </c>
    </row>
    <row r="67" spans="1:29">
      <c r="A67" s="205">
        <v>1986</v>
      </c>
      <c r="B67" s="2">
        <v>0</v>
      </c>
      <c r="C67" s="2">
        <v>0.99955551906571771</v>
      </c>
      <c r="D67" s="2">
        <v>4.4448093428224703E-4</v>
      </c>
      <c r="E67" s="2">
        <v>0</v>
      </c>
      <c r="F67" s="2">
        <v>0.16277338306932487</v>
      </c>
      <c r="G67" s="2">
        <v>0.16277338306932487</v>
      </c>
      <c r="H67" s="2">
        <v>0.64732921621137685</v>
      </c>
      <c r="I67" s="2">
        <v>2.7124017649973596E-2</v>
      </c>
      <c r="J67" s="2">
        <v>0.15</v>
      </c>
      <c r="K67" s="2">
        <v>0.82</v>
      </c>
      <c r="L67" s="2">
        <v>0.03</v>
      </c>
      <c r="M67" s="2">
        <v>0</v>
      </c>
      <c r="N67" s="2">
        <v>0.82586206896551684</v>
      </c>
      <c r="O67" s="2">
        <v>0.16801293103448317</v>
      </c>
      <c r="P67" s="2">
        <v>6.1250000000000002E-3</v>
      </c>
      <c r="Q67" s="2">
        <v>0</v>
      </c>
      <c r="R67" s="2">
        <v>0.586046511627907</v>
      </c>
      <c r="S67" s="2">
        <v>3.4625322997416025E-2</v>
      </c>
      <c r="T67" s="2">
        <v>0.26253229974160208</v>
      </c>
      <c r="U67" s="2">
        <v>0.11679586563307495</v>
      </c>
      <c r="V67" s="2">
        <v>0.73622401028871054</v>
      </c>
      <c r="W67" s="2">
        <v>1.0099094791340335E-3</v>
      </c>
      <c r="X67" s="2">
        <v>0.13451994262065325</v>
      </c>
      <c r="Y67" s="2">
        <v>0.12824613761150219</v>
      </c>
      <c r="Z67" s="2">
        <v>0.57981725888324875</v>
      </c>
      <c r="AA67" s="2">
        <v>0.38818274111675133</v>
      </c>
      <c r="AB67" s="2">
        <v>3.2000000000000001E-2</v>
      </c>
      <c r="AC67" s="2">
        <v>0</v>
      </c>
    </row>
    <row r="68" spans="1:29">
      <c r="A68" s="205">
        <v>1987</v>
      </c>
      <c r="B68" s="2">
        <v>0</v>
      </c>
      <c r="C68" s="2">
        <v>0.99595360160393143</v>
      </c>
      <c r="D68" s="2">
        <v>2.9968573130519762E-3</v>
      </c>
      <c r="E68" s="2">
        <v>1.04954108301665E-3</v>
      </c>
      <c r="F68" s="2">
        <v>0.17072261458484353</v>
      </c>
      <c r="G68" s="2">
        <v>0.12364600376944265</v>
      </c>
      <c r="H68" s="2">
        <v>0.67551726280471391</v>
      </c>
      <c r="I68" s="2">
        <v>3.0114118840999939E-2</v>
      </c>
      <c r="J68" s="2">
        <v>0.15</v>
      </c>
      <c r="K68" s="2">
        <v>0.82</v>
      </c>
      <c r="L68" s="2">
        <v>0.03</v>
      </c>
      <c r="M68" s="2">
        <v>0</v>
      </c>
      <c r="N68" s="2">
        <v>0.83793103448275819</v>
      </c>
      <c r="O68" s="2">
        <v>0.15594396551724182</v>
      </c>
      <c r="P68" s="2">
        <v>6.1250000000000002E-3</v>
      </c>
      <c r="Q68" s="2">
        <v>0</v>
      </c>
      <c r="R68" s="2">
        <v>0.586046511627907</v>
      </c>
      <c r="S68" s="2">
        <v>3.4625322997416025E-2</v>
      </c>
      <c r="T68" s="2">
        <v>0.26253229974160208</v>
      </c>
      <c r="U68" s="2">
        <v>0.11679586563307495</v>
      </c>
      <c r="V68" s="2">
        <v>0.72289591975371104</v>
      </c>
      <c r="W68" s="2">
        <v>1.0117507624264671E-3</v>
      </c>
      <c r="X68" s="2">
        <v>0.14204980704467601</v>
      </c>
      <c r="Y68" s="2">
        <v>0.13404252243918646</v>
      </c>
      <c r="Z68" s="2">
        <v>0.57802030456852793</v>
      </c>
      <c r="AA68" s="2">
        <v>0.38697969543147215</v>
      </c>
      <c r="AB68" s="2">
        <v>3.5000000000000003E-2</v>
      </c>
      <c r="AC68" s="2">
        <v>0</v>
      </c>
    </row>
    <row r="69" spans="1:29">
      <c r="A69" s="205">
        <v>1988</v>
      </c>
      <c r="B69" s="2">
        <v>0</v>
      </c>
      <c r="C69" s="2">
        <v>0.99235923693588524</v>
      </c>
      <c r="D69" s="2">
        <v>5.543881661259977E-3</v>
      </c>
      <c r="E69" s="2">
        <v>2.09688140285479E-3</v>
      </c>
      <c r="F69" s="2">
        <v>0.16193287032515905</v>
      </c>
      <c r="G69" s="2">
        <v>0.12360263678661783</v>
      </c>
      <c r="H69" s="2">
        <v>0.68425083268982845</v>
      </c>
      <c r="I69" s="2">
        <v>3.0213660198394561E-2</v>
      </c>
      <c r="J69" s="2">
        <v>0.15</v>
      </c>
      <c r="K69" s="2">
        <v>0.82</v>
      </c>
      <c r="L69" s="2">
        <v>0.03</v>
      </c>
      <c r="M69" s="2">
        <v>0</v>
      </c>
      <c r="N69" s="2">
        <v>0.85</v>
      </c>
      <c r="O69" s="2">
        <v>0.14387500000000003</v>
      </c>
      <c r="P69" s="2">
        <v>6.1250000000000002E-3</v>
      </c>
      <c r="Q69" s="2">
        <v>0</v>
      </c>
      <c r="R69" s="2">
        <v>0.586046511627907</v>
      </c>
      <c r="S69" s="2">
        <v>3.4625322997416025E-2</v>
      </c>
      <c r="T69" s="2">
        <v>0.26253229974160208</v>
      </c>
      <c r="U69" s="2">
        <v>0.11679586563307495</v>
      </c>
      <c r="V69" s="2">
        <v>0.70951914046824138</v>
      </c>
      <c r="W69" s="2">
        <v>1.0135987720974872E-3</v>
      </c>
      <c r="X69" s="2">
        <v>0.14960717876158916</v>
      </c>
      <c r="Y69" s="2">
        <v>0.13986008199807198</v>
      </c>
      <c r="Z69" s="2">
        <v>0.57622335025380711</v>
      </c>
      <c r="AA69" s="2">
        <v>0.38577664974619297</v>
      </c>
      <c r="AB69" s="2">
        <v>3.8000000000000006E-2</v>
      </c>
      <c r="AC69" s="2">
        <v>0</v>
      </c>
    </row>
    <row r="70" spans="1:29">
      <c r="A70" s="205">
        <v>1989</v>
      </c>
      <c r="B70" s="2">
        <v>0</v>
      </c>
      <c r="C70" s="2">
        <v>0.98877240133049082</v>
      </c>
      <c r="D70" s="2">
        <v>8.0855707951354595E-3</v>
      </c>
      <c r="E70" s="2">
        <v>3.1420278743736724E-3</v>
      </c>
      <c r="F70" s="2">
        <v>0.15314312606547462</v>
      </c>
      <c r="G70" s="2">
        <v>0.12355926980379295</v>
      </c>
      <c r="H70" s="2">
        <v>0.6929844025749432</v>
      </c>
      <c r="I70" s="2">
        <v>3.0313201555789197E-2</v>
      </c>
      <c r="J70" s="2">
        <v>0.15</v>
      </c>
      <c r="K70" s="2">
        <v>0.82</v>
      </c>
      <c r="L70" s="2">
        <v>0.03</v>
      </c>
      <c r="M70" s="2">
        <v>0</v>
      </c>
      <c r="N70" s="2">
        <v>0.85</v>
      </c>
      <c r="O70" s="2">
        <v>0.14387500000000003</v>
      </c>
      <c r="P70" s="2">
        <v>6.1250000000000002E-3</v>
      </c>
      <c r="Q70" s="2">
        <v>0</v>
      </c>
      <c r="R70" s="2">
        <v>0.586046511627907</v>
      </c>
      <c r="S70" s="2">
        <v>3.4625322997416025E-2</v>
      </c>
      <c r="T70" s="2">
        <v>0.26253229974160208</v>
      </c>
      <c r="U70" s="2">
        <v>0.11679586563307495</v>
      </c>
      <c r="V70" s="2">
        <v>0.69609340514731344</v>
      </c>
      <c r="W70" s="2">
        <v>1.0154535450726668E-3</v>
      </c>
      <c r="X70" s="2">
        <v>0.15719220877724888</v>
      </c>
      <c r="Y70" s="2">
        <v>0.14569893253036506</v>
      </c>
      <c r="Z70" s="2">
        <v>0.57442639593908629</v>
      </c>
      <c r="AA70" s="2">
        <v>0.38457360406091368</v>
      </c>
      <c r="AB70" s="2">
        <v>4.0999999999999995E-2</v>
      </c>
      <c r="AC70" s="2">
        <v>0</v>
      </c>
    </row>
    <row r="71" spans="1:29">
      <c r="A71" s="205">
        <v>1990</v>
      </c>
      <c r="B71" s="2">
        <v>0</v>
      </c>
      <c r="C71" s="2">
        <v>0.98519307115597399</v>
      </c>
      <c r="D71" s="2">
        <v>1.0621941460531924E-2</v>
      </c>
      <c r="E71" s="2">
        <v>4.1849873834939495E-3</v>
      </c>
      <c r="F71" s="2">
        <v>0.14435338180579016</v>
      </c>
      <c r="G71" s="2">
        <v>0.12351590282096817</v>
      </c>
      <c r="H71" s="2">
        <v>0.70171797246005785</v>
      </c>
      <c r="I71" s="2">
        <v>3.0412742913183827E-2</v>
      </c>
      <c r="J71" s="2">
        <v>0.15</v>
      </c>
      <c r="K71" s="2">
        <v>0.81499999999999995</v>
      </c>
      <c r="L71" s="2">
        <v>0.03</v>
      </c>
      <c r="M71" s="2">
        <v>5.0000000000000001E-3</v>
      </c>
      <c r="N71" s="2">
        <v>0.84652021045807047</v>
      </c>
      <c r="O71" s="2">
        <v>0.14350547340597963</v>
      </c>
      <c r="P71" s="2">
        <v>9.9743161359499288E-3</v>
      </c>
      <c r="Q71" s="2">
        <v>0</v>
      </c>
      <c r="R71" s="2">
        <v>0.586046511627907</v>
      </c>
      <c r="S71" s="2">
        <v>3.4625322997416025E-2</v>
      </c>
      <c r="T71" s="2">
        <v>0.26253229974160208</v>
      </c>
      <c r="U71" s="2">
        <v>0.11679586563307495</v>
      </c>
      <c r="V71" s="2">
        <v>0.6846938775510204</v>
      </c>
      <c r="W71" s="2">
        <v>1.020408163265306E-3</v>
      </c>
      <c r="X71" s="2">
        <v>0.16530612244897958</v>
      </c>
      <c r="Y71" s="2">
        <v>0.14897959183673468</v>
      </c>
      <c r="Z71" s="2">
        <v>0.57317519787558724</v>
      </c>
      <c r="AA71" s="2">
        <v>0.38413398711794444</v>
      </c>
      <c r="AB71" s="2">
        <v>3.7715195541844958E-2</v>
      </c>
      <c r="AC71" s="2">
        <v>4.9756194646233447E-3</v>
      </c>
    </row>
    <row r="72" spans="1:29">
      <c r="A72" s="205">
        <v>1991</v>
      </c>
      <c r="B72" s="2">
        <v>8.0397653528246474E-2</v>
      </c>
      <c r="C72" s="2">
        <v>0.90122356935110981</v>
      </c>
      <c r="D72" s="2">
        <v>1.315301033329494E-2</v>
      </c>
      <c r="E72" s="2">
        <v>5.2257667873489046E-3</v>
      </c>
      <c r="F72" s="2">
        <v>0.1355636375461057</v>
      </c>
      <c r="G72" s="2">
        <v>0.12347253583814338</v>
      </c>
      <c r="H72" s="2">
        <v>0.71045154234517249</v>
      </c>
      <c r="I72" s="2">
        <v>3.0512284270578456E-2</v>
      </c>
      <c r="J72" s="2">
        <v>0.15</v>
      </c>
      <c r="K72" s="2">
        <v>0.81499999999999995</v>
      </c>
      <c r="L72" s="2">
        <v>0.03</v>
      </c>
      <c r="M72" s="2">
        <v>5.0000000000000001E-3</v>
      </c>
      <c r="N72" s="2">
        <v>0.84632094080047926</v>
      </c>
      <c r="O72" s="2">
        <v>0.14369179296397094</v>
      </c>
      <c r="P72" s="2">
        <v>9.9872662355496734E-3</v>
      </c>
      <c r="Q72" s="2">
        <v>0</v>
      </c>
      <c r="R72" s="2">
        <v>0.60160958838613054</v>
      </c>
      <c r="S72" s="2">
        <v>3.3084757531935044E-2</v>
      </c>
      <c r="T72" s="2">
        <v>0.2396140283255779</v>
      </c>
      <c r="U72" s="2">
        <v>0.12569162575635648</v>
      </c>
      <c r="V72" s="2">
        <v>0.65676229508196715</v>
      </c>
      <c r="W72" s="2">
        <v>1.0245901639344261E-3</v>
      </c>
      <c r="X72" s="2">
        <v>0.17315573770491802</v>
      </c>
      <c r="Y72" s="2">
        <v>0.16905737704918031</v>
      </c>
      <c r="Z72" s="2">
        <v>0.57478216237188395</v>
      </c>
      <c r="AA72" s="2">
        <v>0.38560796501665101</v>
      </c>
      <c r="AB72" s="2">
        <v>3.4633757961783439E-2</v>
      </c>
      <c r="AC72" s="2">
        <v>4.9761146496815284E-3</v>
      </c>
    </row>
    <row r="73" spans="1:29">
      <c r="A73" s="205">
        <v>1992</v>
      </c>
      <c r="B73" s="2">
        <v>0.16062742676211078</v>
      </c>
      <c r="C73" s="2">
        <v>0.81742940630382699</v>
      </c>
      <c r="D73" s="2">
        <v>1.5678794019627584E-2</v>
      </c>
      <c r="E73" s="2">
        <v>6.2643729144347213E-3</v>
      </c>
      <c r="F73" s="2">
        <v>0.12677389328642127</v>
      </c>
      <c r="G73" s="2">
        <v>0.12342916885531849</v>
      </c>
      <c r="H73" s="2">
        <v>0.71918511223028725</v>
      </c>
      <c r="I73" s="2">
        <v>3.0611825627973089E-2</v>
      </c>
      <c r="J73" s="2">
        <v>0.15</v>
      </c>
      <c r="K73" s="2">
        <v>0.81499999999999995</v>
      </c>
      <c r="L73" s="2">
        <v>0.03</v>
      </c>
      <c r="M73" s="2">
        <v>5.0000000000000001E-3</v>
      </c>
      <c r="N73" s="2">
        <v>0.84612115302882573</v>
      </c>
      <c r="O73" s="2">
        <v>0.14387859696492414</v>
      </c>
      <c r="P73" s="2">
        <v>1.0000250006250155E-2</v>
      </c>
      <c r="Q73" s="2">
        <v>0</v>
      </c>
      <c r="R73" s="2">
        <v>0.61719715700525779</v>
      </c>
      <c r="S73" s="2">
        <v>3.1541767654129957E-2</v>
      </c>
      <c r="T73" s="2">
        <v>0.21665969006207902</v>
      </c>
      <c r="U73" s="2">
        <v>0.13460138527853305</v>
      </c>
      <c r="V73" s="2">
        <v>0.65396498455200824</v>
      </c>
      <c r="W73" s="2">
        <v>1.0298661174047373E-3</v>
      </c>
      <c r="X73" s="2">
        <v>0.1658084449021627</v>
      </c>
      <c r="Y73" s="2">
        <v>0.17919670442842428</v>
      </c>
      <c r="Z73" s="2">
        <v>0.57638944675759973</v>
      </c>
      <c r="AA73" s="2">
        <v>0.38708223633187983</v>
      </c>
      <c r="AB73" s="2">
        <v>3.1551706977207133E-2</v>
      </c>
      <c r="AC73" s="2">
        <v>4.9766099333134273E-3</v>
      </c>
    </row>
    <row r="74" spans="1:29">
      <c r="A74" s="205">
        <v>1993</v>
      </c>
      <c r="B74" s="2">
        <v>0.24068984498554835</v>
      </c>
      <c r="C74" s="2">
        <v>0.73381003339323825</v>
      </c>
      <c r="D74" s="2">
        <v>1.8199309056453648E-2</v>
      </c>
      <c r="E74" s="2">
        <v>7.3008125647598338E-3</v>
      </c>
      <c r="F74" s="2">
        <v>0.1179841490267368</v>
      </c>
      <c r="G74" s="2">
        <v>0.12338580187249369</v>
      </c>
      <c r="H74" s="2">
        <v>0.72791868211540189</v>
      </c>
      <c r="I74" s="2">
        <v>3.0711366985367718E-2</v>
      </c>
      <c r="J74" s="2">
        <v>0.15</v>
      </c>
      <c r="K74" s="2">
        <v>0.81499999999999995</v>
      </c>
      <c r="L74" s="2">
        <v>0.03</v>
      </c>
      <c r="M74" s="2">
        <v>5.0000000000000001E-3</v>
      </c>
      <c r="N74" s="2">
        <v>0.8459208451197836</v>
      </c>
      <c r="O74" s="2">
        <v>0.14406588730067341</v>
      </c>
      <c r="P74" s="2">
        <v>1.0013267579542892E-2</v>
      </c>
      <c r="Q74" s="2">
        <v>0</v>
      </c>
      <c r="R74" s="2">
        <v>0.63280927534566223</v>
      </c>
      <c r="S74" s="2">
        <v>2.9996347636489808E-2</v>
      </c>
      <c r="T74" s="2">
        <v>0.19366919974560542</v>
      </c>
      <c r="U74" s="2">
        <v>0.14352517727224254</v>
      </c>
      <c r="V74" s="2">
        <v>0.64742268041237117</v>
      </c>
      <c r="W74" s="2">
        <v>1.0309278350515464E-3</v>
      </c>
      <c r="X74" s="2">
        <v>0.16391752577319588</v>
      </c>
      <c r="Y74" s="2">
        <v>0.18762886597938144</v>
      </c>
      <c r="Z74" s="2">
        <v>0.57799705112826172</v>
      </c>
      <c r="AA74" s="2">
        <v>0.38855680115125252</v>
      </c>
      <c r="AB74" s="2">
        <v>2.8469042404937299E-2</v>
      </c>
      <c r="AC74" s="2">
        <v>4.977105315548477E-3</v>
      </c>
    </row>
    <row r="75" spans="1:29">
      <c r="A75" s="205">
        <v>1994</v>
      </c>
      <c r="B75" s="2">
        <v>0.32058543129336936</v>
      </c>
      <c r="C75" s="2">
        <v>0.65036490428485882</v>
      </c>
      <c r="D75" s="2">
        <v>2.0714571911778515E-2</v>
      </c>
      <c r="E75" s="2">
        <v>8.3350925099933259E-3</v>
      </c>
      <c r="F75" s="2">
        <v>0.10919440476705233</v>
      </c>
      <c r="G75" s="2">
        <v>0.12334243488966889</v>
      </c>
      <c r="H75" s="2">
        <v>0.73665225200051643</v>
      </c>
      <c r="I75" s="2">
        <v>3.0810908342762344E-2</v>
      </c>
      <c r="J75" s="2">
        <v>0.15</v>
      </c>
      <c r="K75" s="2">
        <v>0.81499999999999995</v>
      </c>
      <c r="L75" s="2">
        <v>0.03</v>
      </c>
      <c r="M75" s="2">
        <v>5.0000000000000001E-3</v>
      </c>
      <c r="N75" s="2">
        <v>0.84572001503947869</v>
      </c>
      <c r="O75" s="2">
        <v>0.14425366587291641</v>
      </c>
      <c r="P75" s="2">
        <v>1.0026319087604962E-2</v>
      </c>
      <c r="Q75" s="2">
        <v>0</v>
      </c>
      <c r="R75" s="2">
        <v>0.64844600145011544</v>
      </c>
      <c r="S75" s="2">
        <v>2.8448491733448239E-2</v>
      </c>
      <c r="T75" s="2">
        <v>0.17064247190205575</v>
      </c>
      <c r="U75" s="2">
        <v>0.1524630349143806</v>
      </c>
      <c r="V75" s="2">
        <v>0.63108808290155438</v>
      </c>
      <c r="W75" s="2">
        <v>1.0362694300518134E-3</v>
      </c>
      <c r="X75" s="2">
        <v>0.16062176165803108</v>
      </c>
      <c r="Y75" s="2">
        <v>0.20725388601036268</v>
      </c>
      <c r="Z75" s="2">
        <v>0.57960497557943569</v>
      </c>
      <c r="AA75" s="2">
        <v>0.39003165956242597</v>
      </c>
      <c r="AB75" s="2">
        <v>2.5385764061722261E-2</v>
      </c>
      <c r="AC75" s="2">
        <v>4.9776007964161279E-3</v>
      </c>
    </row>
    <row r="76" spans="1:29">
      <c r="A76" s="205">
        <v>1995</v>
      </c>
      <c r="B76" s="2">
        <v>0.40410000000000001</v>
      </c>
      <c r="C76" s="2">
        <v>0.56299999999999994</v>
      </c>
      <c r="D76" s="2">
        <v>2.3444206008583695E-2</v>
      </c>
      <c r="E76" s="2">
        <v>9.4557939914163835E-3</v>
      </c>
      <c r="F76" s="2">
        <v>0.10040466050736788</v>
      </c>
      <c r="G76" s="2">
        <v>0.12329906790684411</v>
      </c>
      <c r="H76" s="2">
        <v>0.74538582188563107</v>
      </c>
      <c r="I76" s="2">
        <v>3.0910449700156974E-2</v>
      </c>
      <c r="J76" s="2">
        <v>0.15</v>
      </c>
      <c r="K76" s="2">
        <v>0.81499999999999995</v>
      </c>
      <c r="L76" s="2">
        <v>0.03</v>
      </c>
      <c r="M76" s="2">
        <v>5.0000000000000001E-3</v>
      </c>
      <c r="N76" s="2">
        <v>0.84551866074341786</v>
      </c>
      <c r="O76" s="2">
        <v>0.14444193459327861</v>
      </c>
      <c r="P76" s="2">
        <v>1.0039404663303464E-2</v>
      </c>
      <c r="Q76" s="2">
        <v>0</v>
      </c>
      <c r="R76" s="2">
        <v>0.6641073935445071</v>
      </c>
      <c r="S76" s="2">
        <v>2.6898194181312375E-2</v>
      </c>
      <c r="T76" s="2">
        <v>0.14757942078766825</v>
      </c>
      <c r="U76" s="2">
        <v>0.16141499148651214</v>
      </c>
      <c r="V76" s="2">
        <v>0.59581151832460733</v>
      </c>
      <c r="W76" s="2">
        <v>1.0471204188481676E-3</v>
      </c>
      <c r="X76" s="2">
        <v>0.16858638743455498</v>
      </c>
      <c r="Y76" s="2">
        <v>0.23455497382198953</v>
      </c>
      <c r="Z76" s="2">
        <v>0.58121322020672495</v>
      </c>
      <c r="AA76" s="2">
        <v>0.39150681165309198</v>
      </c>
      <c r="AB76" s="2">
        <v>2.2301871764237372E-2</v>
      </c>
      <c r="AC76" s="2">
        <v>4.97809637594584E-3</v>
      </c>
    </row>
    <row r="77" spans="1:29">
      <c r="A77" s="205">
        <v>1996</v>
      </c>
      <c r="B77" s="2">
        <v>0.40746947085450819</v>
      </c>
      <c r="C77" s="2">
        <v>0.55938041850368514</v>
      </c>
      <c r="D77" s="2">
        <v>2.3626290899317351E-2</v>
      </c>
      <c r="E77" s="2">
        <v>9.523819742489335E-3</v>
      </c>
      <c r="F77" s="2">
        <v>9.161491624768342E-2</v>
      </c>
      <c r="G77" s="2">
        <v>0.12325570092401932</v>
      </c>
      <c r="H77" s="2">
        <v>0.75411939177074572</v>
      </c>
      <c r="I77" s="2">
        <v>3.1009991057551603E-2</v>
      </c>
      <c r="J77" s="2">
        <v>0.15</v>
      </c>
      <c r="K77" s="2">
        <v>0.81499999999999995</v>
      </c>
      <c r="L77" s="2">
        <v>0.03</v>
      </c>
      <c r="M77" s="2">
        <v>5.0000000000000001E-3</v>
      </c>
      <c r="N77" s="2">
        <v>0.84531678017642187</v>
      </c>
      <c r="O77" s="2">
        <v>0.14463069538337817</v>
      </c>
      <c r="P77" s="2">
        <v>1.0052524440200043E-2</v>
      </c>
      <c r="Q77" s="2">
        <v>0</v>
      </c>
      <c r="R77" s="2">
        <v>0.63544152744630078</v>
      </c>
      <c r="S77" s="2">
        <v>3.3412887828162284E-2</v>
      </c>
      <c r="T77" s="2">
        <v>0.14319809069212411</v>
      </c>
      <c r="U77" s="2">
        <v>0.1879474940334129</v>
      </c>
      <c r="V77" s="2">
        <v>0.58562367864693443</v>
      </c>
      <c r="W77" s="2">
        <v>1.0570824524312897E-3</v>
      </c>
      <c r="X77" s="2">
        <v>0.1818181818181818</v>
      </c>
      <c r="Y77" s="2">
        <v>0.23150105708245242</v>
      </c>
      <c r="Z77" s="2">
        <v>0.5828217851057711</v>
      </c>
      <c r="AA77" s="2">
        <v>0.39298225751097698</v>
      </c>
      <c r="AB77" s="2">
        <v>1.921736532908495E-2</v>
      </c>
      <c r="AC77" s="2">
        <v>4.9785920541670827E-3</v>
      </c>
    </row>
    <row r="78" spans="1:29">
      <c r="A78" s="205">
        <v>1997</v>
      </c>
      <c r="B78" s="2">
        <v>0.41083894170901636</v>
      </c>
      <c r="C78" s="2">
        <v>0.55576083700737033</v>
      </c>
      <c r="D78" s="2">
        <v>2.3808375790051007E-2</v>
      </c>
      <c r="E78" s="2">
        <v>9.5918454935622864E-3</v>
      </c>
      <c r="F78" s="2">
        <v>8.2825171987998977E-2</v>
      </c>
      <c r="G78" s="2">
        <v>0.12321233394119442</v>
      </c>
      <c r="H78" s="2">
        <v>0.76285296165586047</v>
      </c>
      <c r="I78" s="2">
        <v>3.1109532414946236E-2</v>
      </c>
      <c r="J78" s="2">
        <v>0.15</v>
      </c>
      <c r="K78" s="2">
        <v>0.81499999999999995</v>
      </c>
      <c r="L78" s="2">
        <v>0.03</v>
      </c>
      <c r="M78" s="2">
        <v>5.0000000000000001E-3</v>
      </c>
      <c r="N78" s="2">
        <v>0.8451143712725534</v>
      </c>
      <c r="O78" s="2">
        <v>0.14481995017489116</v>
      </c>
      <c r="P78" s="2">
        <v>1.0065678552555421E-2</v>
      </c>
      <c r="Q78" s="2">
        <v>0</v>
      </c>
      <c r="R78" s="2">
        <v>0.62436013249021372</v>
      </c>
      <c r="S78" s="2">
        <v>3.0713640469738023E-2</v>
      </c>
      <c r="T78" s="2">
        <v>0.15281541704305932</v>
      </c>
      <c r="U78" s="2">
        <v>0.19211080999698885</v>
      </c>
      <c r="V78" s="2">
        <v>0.58306878306878307</v>
      </c>
      <c r="W78" s="2">
        <v>1.0582010582010581E-3</v>
      </c>
      <c r="X78" s="2">
        <v>0.17883597883597885</v>
      </c>
      <c r="Y78" s="2">
        <v>0.23703703703703702</v>
      </c>
      <c r="Z78" s="2">
        <v>0.58443067037225371</v>
      </c>
      <c r="AA78" s="2">
        <v>0.39445799722384262</v>
      </c>
      <c r="AB78" s="2">
        <v>1.6132244572794281E-2</v>
      </c>
      <c r="AC78" s="2">
        <v>4.979087831109342E-3</v>
      </c>
    </row>
    <row r="79" spans="1:29">
      <c r="A79" s="205">
        <v>1998</v>
      </c>
      <c r="B79" s="2">
        <v>0.41420841256352459</v>
      </c>
      <c r="C79" s="2">
        <v>0.55214125551105564</v>
      </c>
      <c r="D79" s="2">
        <v>2.3990460680784666E-2</v>
      </c>
      <c r="E79" s="2">
        <v>9.6598712446352396E-3</v>
      </c>
      <c r="F79" s="2">
        <v>7.4742379289300442E-2</v>
      </c>
      <c r="G79" s="2">
        <v>0.11479625828969785</v>
      </c>
      <c r="H79" s="2">
        <v>0.77895427857298138</v>
      </c>
      <c r="I79" s="2">
        <v>3.150708384802036E-2</v>
      </c>
      <c r="J79" s="2">
        <v>0.19027322404371586</v>
      </c>
      <c r="K79" s="2">
        <v>0.75472677595628412</v>
      </c>
      <c r="L79" s="2">
        <v>0.05</v>
      </c>
      <c r="M79" s="2">
        <v>5.0000000000000001E-3</v>
      </c>
      <c r="N79" s="2">
        <v>0.84491143195504825</v>
      </c>
      <c r="O79" s="2">
        <v>0.14500970090961776</v>
      </c>
      <c r="P79" s="2">
        <v>1.0078867135333985E-2</v>
      </c>
      <c r="Q79" s="2">
        <v>0</v>
      </c>
      <c r="R79" s="2">
        <v>0.61082024432809767</v>
      </c>
      <c r="S79" s="2">
        <v>3.1413612565445025E-2</v>
      </c>
      <c r="T79" s="2">
        <v>0.15270506108202442</v>
      </c>
      <c r="U79" s="2">
        <v>0.20506108202443282</v>
      </c>
      <c r="V79" s="2">
        <v>0.60805084745762705</v>
      </c>
      <c r="W79" s="2">
        <v>1.0593220338983051E-3</v>
      </c>
      <c r="X79" s="2">
        <v>0.15677966101694915</v>
      </c>
      <c r="Y79" s="2">
        <v>0.23411016949152544</v>
      </c>
      <c r="Z79" s="2">
        <v>0.58603987610189079</v>
      </c>
      <c r="AA79" s="2">
        <v>0.39593403087948548</v>
      </c>
      <c r="AB79" s="2">
        <v>1.3046509311821547E-2</v>
      </c>
      <c r="AC79" s="2">
        <v>4.9795837068021126E-3</v>
      </c>
    </row>
    <row r="80" spans="1:29">
      <c r="A80" s="205">
        <v>1999</v>
      </c>
      <c r="B80" s="2">
        <v>0.41757788341803276</v>
      </c>
      <c r="C80" s="2">
        <v>0.54852167401474083</v>
      </c>
      <c r="D80" s="2">
        <v>2.4172545571518322E-2</v>
      </c>
      <c r="E80" s="2">
        <v>9.727896995708191E-3</v>
      </c>
      <c r="F80" s="2">
        <v>6.7258407034778006E-2</v>
      </c>
      <c r="G80" s="2">
        <v>0.11588636119417921</v>
      </c>
      <c r="H80" s="2">
        <v>0.78105820562975514</v>
      </c>
      <c r="I80" s="2">
        <v>3.5797026141287644E-2</v>
      </c>
      <c r="J80" s="2">
        <v>0.23054644808743172</v>
      </c>
      <c r="K80" s="2">
        <v>0.6944535519125683</v>
      </c>
      <c r="L80" s="2">
        <v>7.0000000000000007E-2</v>
      </c>
      <c r="M80" s="2">
        <v>5.0000000000000001E-3</v>
      </c>
      <c r="N80" s="2">
        <v>0.84470796013624327</v>
      </c>
      <c r="O80" s="2">
        <v>0.14519994953954843</v>
      </c>
      <c r="P80" s="2">
        <v>1.0092090324208403E-2</v>
      </c>
      <c r="Q80" s="2">
        <v>0</v>
      </c>
      <c r="R80" s="2">
        <v>0.59311768754301453</v>
      </c>
      <c r="S80" s="2">
        <v>3.1383344803854109E-2</v>
      </c>
      <c r="T80" s="2">
        <v>0.1536132140399174</v>
      </c>
      <c r="U80" s="2">
        <v>0.22188575361321403</v>
      </c>
      <c r="V80" s="2">
        <v>0.59526372443487618</v>
      </c>
      <c r="W80" s="2">
        <v>1.076426264800861E-3</v>
      </c>
      <c r="X80" s="2">
        <v>0.15608180839612484</v>
      </c>
      <c r="Y80" s="2">
        <v>0.24757804090419805</v>
      </c>
      <c r="Z80" s="2">
        <v>0.59</v>
      </c>
      <c r="AA80" s="2">
        <v>0.39900000000000002</v>
      </c>
      <c r="AB80" s="2">
        <v>0.01</v>
      </c>
      <c r="AC80" s="2">
        <v>1E-3</v>
      </c>
    </row>
    <row r="81" spans="1:29">
      <c r="A81" s="205">
        <v>2000</v>
      </c>
      <c r="B81" s="2">
        <v>0.42094735427254093</v>
      </c>
      <c r="C81" s="2">
        <v>0.54490209251842603</v>
      </c>
      <c r="D81" s="2">
        <v>2.4354630462251978E-2</v>
      </c>
      <c r="E81" s="2">
        <v>9.7959227467811424E-3</v>
      </c>
      <c r="F81" s="2">
        <v>5.9199643420119845E-2</v>
      </c>
      <c r="G81" s="2">
        <v>0.12437429967944977</v>
      </c>
      <c r="H81" s="2">
        <v>0.77373403238429661</v>
      </c>
      <c r="I81" s="2">
        <v>4.2692024516133784E-2</v>
      </c>
      <c r="J81" s="2">
        <v>0.27081967213114755</v>
      </c>
      <c r="K81" s="2">
        <v>0.63418032786885248</v>
      </c>
      <c r="L81" s="2">
        <v>0.09</v>
      </c>
      <c r="M81" s="2">
        <v>5.0000000000000001E-3</v>
      </c>
      <c r="N81" s="2">
        <v>0.84470796013624327</v>
      </c>
      <c r="O81" s="2">
        <v>0.14519994953954843</v>
      </c>
      <c r="P81" s="2">
        <v>1.0092090324208403E-2</v>
      </c>
      <c r="Q81" s="2">
        <v>0</v>
      </c>
      <c r="R81" s="2">
        <v>0.58763135644401499</v>
      </c>
      <c r="S81" s="2">
        <v>3.1887909167773891E-2</v>
      </c>
      <c r="T81" s="2">
        <v>0.16487498490155816</v>
      </c>
      <c r="U81" s="2">
        <v>0.21560574948665298</v>
      </c>
      <c r="V81" s="2">
        <v>0.59956942949407965</v>
      </c>
      <c r="W81" s="2">
        <v>1.076426264800861E-3</v>
      </c>
      <c r="X81" s="2">
        <v>0.15823466092572658</v>
      </c>
      <c r="Y81" s="2">
        <v>0.2411194833153929</v>
      </c>
      <c r="Z81" s="2">
        <v>0.58360272763451781</v>
      </c>
      <c r="AA81" s="2">
        <v>0.39464083236548231</v>
      </c>
      <c r="AB81" s="2">
        <v>1.9778581818181821E-2</v>
      </c>
      <c r="AC81" s="2">
        <v>1.9778581818181823E-3</v>
      </c>
    </row>
    <row r="82" spans="1:29">
      <c r="A82" s="205">
        <v>2001</v>
      </c>
      <c r="B82" s="2">
        <v>0.4243168251270491</v>
      </c>
      <c r="C82" s="2">
        <v>0.54128251102211122</v>
      </c>
      <c r="D82" s="2">
        <v>2.4536715352985634E-2</v>
      </c>
      <c r="E82" s="2">
        <v>9.8639484978540939E-3</v>
      </c>
      <c r="F82" s="2">
        <v>5.273812355411809E-2</v>
      </c>
      <c r="G82" s="2">
        <v>0.12270915131664513</v>
      </c>
      <c r="H82" s="2">
        <v>0.78048935043184453</v>
      </c>
      <c r="I82" s="2">
        <v>4.4063374697392313E-2</v>
      </c>
      <c r="J82" s="2">
        <v>0.26639891115309811</v>
      </c>
      <c r="K82" s="2">
        <v>0.62366870196165602</v>
      </c>
      <c r="L82" s="2">
        <v>0.10414647178602243</v>
      </c>
      <c r="M82" s="2">
        <v>5.7859150992234688E-3</v>
      </c>
      <c r="N82" s="2">
        <v>0.84470796013624327</v>
      </c>
      <c r="O82" s="2">
        <v>0.14519994953954843</v>
      </c>
      <c r="P82" s="2">
        <v>1.0092090324208403E-2</v>
      </c>
      <c r="Q82" s="2">
        <v>0</v>
      </c>
      <c r="R82" s="2">
        <v>0.569620253164557</v>
      </c>
      <c r="S82" s="2">
        <v>3.375527426160338E-2</v>
      </c>
      <c r="T82" s="2">
        <v>0.16877637130801687</v>
      </c>
      <c r="U82" s="2">
        <v>0.22784810126582281</v>
      </c>
      <c r="V82" s="2">
        <v>0.59741657696447792</v>
      </c>
      <c r="W82" s="2">
        <v>1.076426264800861E-3</v>
      </c>
      <c r="X82" s="2">
        <v>0.15608180839612484</v>
      </c>
      <c r="Y82" s="2">
        <v>0.24542518837459634</v>
      </c>
      <c r="Z82" s="2">
        <v>0.57720545526903555</v>
      </c>
      <c r="AA82" s="2">
        <v>0.39028166473096454</v>
      </c>
      <c r="AB82" s="2">
        <v>2.9557163636363636E-2</v>
      </c>
      <c r="AC82" s="2">
        <v>2.9557163636363642E-3</v>
      </c>
    </row>
    <row r="83" spans="1:29">
      <c r="A83" s="205">
        <v>2002</v>
      </c>
      <c r="B83" s="2">
        <v>0.42768629598155733</v>
      </c>
      <c r="C83" s="2">
        <v>0.53766292952579642</v>
      </c>
      <c r="D83" s="2">
        <v>2.4718800243719294E-2</v>
      </c>
      <c r="E83" s="2">
        <v>9.9319742489270453E-3</v>
      </c>
      <c r="F83" s="2">
        <v>4.3283202987072472E-2</v>
      </c>
      <c r="G83" s="2">
        <v>0.12785670984397696</v>
      </c>
      <c r="H83" s="2">
        <v>0.78360338436548149</v>
      </c>
      <c r="I83" s="2">
        <v>4.5256702803469162E-2</v>
      </c>
      <c r="J83" s="2">
        <v>0.26197815017504866</v>
      </c>
      <c r="K83" s="2">
        <v>0.61315707605445957</v>
      </c>
      <c r="L83" s="2">
        <v>0.11829294357204487</v>
      </c>
      <c r="M83" s="2">
        <v>6.5718301984469376E-3</v>
      </c>
      <c r="N83" s="2">
        <v>0.84470796013624327</v>
      </c>
      <c r="O83" s="2">
        <v>0.14519994953954843</v>
      </c>
      <c r="P83" s="2">
        <v>1.0092090324208403E-2</v>
      </c>
      <c r="Q83" s="2">
        <v>0</v>
      </c>
      <c r="R83" s="2">
        <v>0.5499337163057888</v>
      </c>
      <c r="S83" s="2">
        <v>3.4467520989836492E-2</v>
      </c>
      <c r="T83" s="2">
        <v>0.17211665930181175</v>
      </c>
      <c r="U83" s="2">
        <v>0.24348210340256296</v>
      </c>
      <c r="V83" s="2">
        <v>0.6010752688172043</v>
      </c>
      <c r="W83" s="2">
        <v>1.0752688172043011E-3</v>
      </c>
      <c r="X83" s="2">
        <v>0.15268817204301074</v>
      </c>
      <c r="Y83" s="2">
        <v>0.24516129032258063</v>
      </c>
      <c r="Z83" s="2">
        <v>0.57080818290355329</v>
      </c>
      <c r="AA83" s="2">
        <v>0.38592249709644677</v>
      </c>
      <c r="AB83" s="2">
        <v>3.9335745454545455E-2</v>
      </c>
      <c r="AC83" s="2">
        <v>3.9335745454545466E-3</v>
      </c>
    </row>
    <row r="84" spans="1:29">
      <c r="A84" s="205">
        <v>2003</v>
      </c>
      <c r="B84" s="2">
        <v>0.43105576683606556</v>
      </c>
      <c r="C84" s="2">
        <v>0.5340433480294815</v>
      </c>
      <c r="D84" s="2">
        <v>2.4900885134452933E-2</v>
      </c>
      <c r="E84" s="2">
        <v>0.01</v>
      </c>
      <c r="F84" s="2">
        <v>3.6078901082195643E-2</v>
      </c>
      <c r="G84" s="2">
        <v>0.14071364976328027</v>
      </c>
      <c r="H84" s="2">
        <v>0.77921140553748358</v>
      </c>
      <c r="I84" s="2">
        <v>4.3996043617040327E-2</v>
      </c>
      <c r="J84" s="2">
        <v>0.25755738919699922</v>
      </c>
      <c r="K84" s="2">
        <v>0.60264545014726312</v>
      </c>
      <c r="L84" s="2">
        <v>0.1324394153580673</v>
      </c>
      <c r="M84" s="2">
        <v>7.3577452976704063E-3</v>
      </c>
      <c r="N84" s="2">
        <v>0.84671896401444391</v>
      </c>
      <c r="O84" s="2">
        <v>0.14331963640891549</v>
      </c>
      <c r="P84" s="2">
        <v>9.9613995766405176E-3</v>
      </c>
      <c r="Q84" s="2">
        <v>0</v>
      </c>
      <c r="R84" s="2">
        <v>0.53399818676337263</v>
      </c>
      <c r="S84" s="2">
        <v>3.5358114233907521E-2</v>
      </c>
      <c r="T84" s="2">
        <v>0.17656391659111514</v>
      </c>
      <c r="U84" s="2">
        <v>0.25407978241160467</v>
      </c>
      <c r="V84" s="2">
        <v>0.5956989247311828</v>
      </c>
      <c r="W84" s="2">
        <v>1.0752688172043011E-3</v>
      </c>
      <c r="X84" s="2">
        <v>0.15053763440860216</v>
      </c>
      <c r="Y84" s="2">
        <v>0.25268817204301075</v>
      </c>
      <c r="Z84" s="2">
        <v>0.56441091053807102</v>
      </c>
      <c r="AA84" s="2">
        <v>0.38156332946192906</v>
      </c>
      <c r="AB84" s="2">
        <v>4.9114327272727278E-2</v>
      </c>
      <c r="AC84" s="2">
        <v>4.9114327272727284E-3</v>
      </c>
    </row>
    <row r="85" spans="1:29">
      <c r="A85" s="205">
        <v>2004</v>
      </c>
      <c r="B85" s="2">
        <v>0.44417865409786383</v>
      </c>
      <c r="C85" s="2">
        <v>0.51687097418967975</v>
      </c>
      <c r="D85" s="2">
        <v>2.8950371712456398E-2</v>
      </c>
      <c r="E85" s="2">
        <v>0.01</v>
      </c>
      <c r="F85" s="2">
        <v>3.5119797238465693E-2</v>
      </c>
      <c r="G85" s="2">
        <v>0.14392531623682758</v>
      </c>
      <c r="H85" s="2">
        <v>0.77488452759445736</v>
      </c>
      <c r="I85" s="2">
        <v>4.6070358930249432E-2</v>
      </c>
      <c r="J85" s="2">
        <v>0.25313662821894978</v>
      </c>
      <c r="K85" s="2">
        <v>0.59213382424006666</v>
      </c>
      <c r="L85" s="2">
        <v>0.14658588714408974</v>
      </c>
      <c r="M85" s="2">
        <v>8.1436603968938742E-3</v>
      </c>
      <c r="N85" s="2">
        <v>0.84671896401444391</v>
      </c>
      <c r="O85" s="2">
        <v>0.14331963640891549</v>
      </c>
      <c r="P85" s="2">
        <v>9.9613995766405176E-3</v>
      </c>
      <c r="Q85" s="2">
        <v>0</v>
      </c>
      <c r="R85" s="2">
        <v>0.50457557589144841</v>
      </c>
      <c r="S85" s="2">
        <v>3.8287577574418932E-2</v>
      </c>
      <c r="T85" s="2">
        <v>0.18975491742926265</v>
      </c>
      <c r="U85" s="2">
        <v>0.26738192910487008</v>
      </c>
      <c r="V85" s="2">
        <v>0.59738846572361259</v>
      </c>
      <c r="W85" s="2">
        <v>1.088139281828074E-3</v>
      </c>
      <c r="X85" s="2">
        <v>0.15016322089227421</v>
      </c>
      <c r="Y85" s="2">
        <v>0.25136017410228512</v>
      </c>
      <c r="Z85" s="2">
        <v>0.55801363817258876</v>
      </c>
      <c r="AA85" s="2">
        <v>0.37720416182741129</v>
      </c>
      <c r="AB85" s="2">
        <v>5.8892909090909093E-2</v>
      </c>
      <c r="AC85" s="2">
        <v>5.8892909090909112E-3</v>
      </c>
    </row>
    <row r="86" spans="1:29">
      <c r="A86" s="205">
        <v>2005</v>
      </c>
      <c r="B86" s="2">
        <v>0.44021236711006118</v>
      </c>
      <c r="C86" s="2">
        <v>0.49900698474654615</v>
      </c>
      <c r="D86" s="2">
        <v>5.078064814339274E-2</v>
      </c>
      <c r="E86" s="2">
        <v>0.01</v>
      </c>
      <c r="F86" s="2">
        <v>2.9022406983667481E-2</v>
      </c>
      <c r="G86" s="2">
        <v>0.14638158873225668</v>
      </c>
      <c r="H86" s="2">
        <v>0.77352260161937547</v>
      </c>
      <c r="I86" s="2">
        <v>5.1073402664700319E-2</v>
      </c>
      <c r="J86" s="2">
        <v>0.24871586724090031</v>
      </c>
      <c r="K86" s="2">
        <v>0.58162219833287021</v>
      </c>
      <c r="L86" s="2">
        <v>0.16073235893011217</v>
      </c>
      <c r="M86" s="2">
        <v>8.929575496117342E-3</v>
      </c>
      <c r="N86" s="2">
        <v>0.84671896401444391</v>
      </c>
      <c r="O86" s="2">
        <v>0.14331963640891549</v>
      </c>
      <c r="P86" s="2">
        <v>9.9613995766405176E-3</v>
      </c>
      <c r="Q86" s="2">
        <v>0</v>
      </c>
      <c r="R86" s="2">
        <v>0.46321654547171587</v>
      </c>
      <c r="S86" s="2">
        <v>4.3819057512513103E-2</v>
      </c>
      <c r="T86" s="2">
        <v>0.20398526773066386</v>
      </c>
      <c r="U86" s="2">
        <v>0.28897912928510711</v>
      </c>
      <c r="V86" s="2">
        <v>0.59456521739130441</v>
      </c>
      <c r="W86" s="2">
        <v>1.0869565217391304E-3</v>
      </c>
      <c r="X86" s="2">
        <v>0.14782608695652175</v>
      </c>
      <c r="Y86" s="2">
        <v>0.25652173913043474</v>
      </c>
      <c r="Z86" s="2">
        <v>0.55161636580710649</v>
      </c>
      <c r="AA86" s="2">
        <v>0.37284499419289346</v>
      </c>
      <c r="AB86" s="2">
        <v>6.8671490909090915E-2</v>
      </c>
      <c r="AC86" s="2">
        <v>6.8671490909090931E-3</v>
      </c>
    </row>
    <row r="87" spans="1:29">
      <c r="A87" s="205">
        <v>2006</v>
      </c>
      <c r="B87" s="2">
        <v>0.43178158247592868</v>
      </c>
      <c r="C87" s="2">
        <v>0.48156745029074266</v>
      </c>
      <c r="D87" s="2">
        <v>7.6650967233328621E-2</v>
      </c>
      <c r="E87" s="2">
        <v>0.01</v>
      </c>
      <c r="F87" s="2">
        <v>2.4511004897246308E-2</v>
      </c>
      <c r="G87" s="2">
        <v>0.14626250763351784</v>
      </c>
      <c r="H87" s="2">
        <v>0.77681001865265875</v>
      </c>
      <c r="I87" s="2">
        <v>5.2416468816577098E-2</v>
      </c>
      <c r="J87" s="2">
        <v>0.24429510626285084</v>
      </c>
      <c r="K87" s="2">
        <v>0.57111057242567376</v>
      </c>
      <c r="L87" s="2">
        <v>0.17487883071613461</v>
      </c>
      <c r="M87" s="2">
        <v>9.7154905953408099E-3</v>
      </c>
      <c r="N87" s="2">
        <v>0.84671896401444391</v>
      </c>
      <c r="O87" s="2">
        <v>0.14331963640891549</v>
      </c>
      <c r="P87" s="2">
        <v>9.9613995766405176E-3</v>
      </c>
      <c r="Q87" s="2">
        <v>0</v>
      </c>
      <c r="R87" s="2">
        <v>0.45926355465352275</v>
      </c>
      <c r="S87" s="2">
        <v>3.8948487484294893E-2</v>
      </c>
      <c r="T87" s="2">
        <v>0.2168744563641635</v>
      </c>
      <c r="U87" s="2">
        <v>0.28491350149801875</v>
      </c>
      <c r="V87" s="2">
        <v>0.59912854030501095</v>
      </c>
      <c r="W87" s="2">
        <v>1.0893246187363833E-3</v>
      </c>
      <c r="X87" s="2">
        <v>0.13616557734204793</v>
      </c>
      <c r="Y87" s="2">
        <v>0.26361655773420478</v>
      </c>
      <c r="Z87" s="2">
        <v>0.54521909344162423</v>
      </c>
      <c r="AA87" s="2">
        <v>0.3684858265583757</v>
      </c>
      <c r="AB87" s="2">
        <v>7.8450072727272738E-2</v>
      </c>
      <c r="AC87" s="2">
        <v>7.8450072727272741E-3</v>
      </c>
    </row>
    <row r="88" spans="1:29">
      <c r="A88" s="205">
        <v>2007</v>
      </c>
      <c r="B88" s="2">
        <v>0.50167274639324333</v>
      </c>
      <c r="C88" s="2">
        <v>0.39400276052449956</v>
      </c>
      <c r="D88" s="2">
        <v>9.4324493082257058E-2</v>
      </c>
      <c r="E88" s="2">
        <v>0.01</v>
      </c>
      <c r="F88" s="2">
        <v>2.4668238870066968E-2</v>
      </c>
      <c r="G88" s="2">
        <v>0.14460650567516734</v>
      </c>
      <c r="H88" s="2">
        <v>0.77550863558395777</v>
      </c>
      <c r="I88" s="2">
        <v>5.5216619870807934E-2</v>
      </c>
      <c r="J88" s="2">
        <v>0.23987434528480137</v>
      </c>
      <c r="K88" s="2">
        <v>0.5605989465184773</v>
      </c>
      <c r="L88" s="2">
        <v>0.18902530250215704</v>
      </c>
      <c r="M88" s="2">
        <v>1.0501405694564278E-2</v>
      </c>
      <c r="N88" s="2">
        <v>0.84671896401444391</v>
      </c>
      <c r="O88" s="2">
        <v>0.14331963640891549</v>
      </c>
      <c r="P88" s="2">
        <v>9.9613995766405176E-3</v>
      </c>
      <c r="Q88" s="2">
        <v>0</v>
      </c>
      <c r="R88" s="2">
        <v>0.44879873966128397</v>
      </c>
      <c r="S88" s="2">
        <v>3.4659314690823138E-2</v>
      </c>
      <c r="T88" s="2">
        <v>0.22016541945647897</v>
      </c>
      <c r="U88" s="2">
        <v>0.29637652619141397</v>
      </c>
      <c r="V88" s="2">
        <v>0.59279475982532748</v>
      </c>
      <c r="W88" s="2">
        <v>1.0917030567685589E-3</v>
      </c>
      <c r="X88" s="2">
        <v>0.13646288209606985</v>
      </c>
      <c r="Y88" s="2">
        <v>0.26965065502183405</v>
      </c>
      <c r="Z88" s="2">
        <v>0.53882182107614196</v>
      </c>
      <c r="AA88" s="2">
        <v>0.36412665892385793</v>
      </c>
      <c r="AB88" s="2">
        <v>8.822865454545456E-2</v>
      </c>
      <c r="AC88" s="2">
        <v>8.822865454545456E-3</v>
      </c>
    </row>
    <row r="89" spans="1:29">
      <c r="A89" s="205">
        <v>2008</v>
      </c>
      <c r="B89" s="2">
        <v>0.54567714102489362</v>
      </c>
      <c r="C89" s="2">
        <v>0.34264320462245024</v>
      </c>
      <c r="D89" s="2">
        <v>0.10167965435265616</v>
      </c>
      <c r="E89" s="2">
        <v>0.01</v>
      </c>
      <c r="F89" s="2">
        <v>1.8197212106468758E-2</v>
      </c>
      <c r="G89" s="2">
        <v>0.13806334075315266</v>
      </c>
      <c r="H89" s="2">
        <v>0.79188193337139612</v>
      </c>
      <c r="I89" s="2">
        <v>5.1857513768982413E-2</v>
      </c>
      <c r="J89" s="2">
        <v>0.23545358430675192</v>
      </c>
      <c r="K89" s="2">
        <v>0.55008732061128096</v>
      </c>
      <c r="L89" s="2">
        <v>0.20317177428817951</v>
      </c>
      <c r="M89" s="2">
        <v>1.1287320793787747E-2</v>
      </c>
      <c r="N89" s="2">
        <v>0.83459608139494834</v>
      </c>
      <c r="O89" s="2">
        <v>0.14025486705018089</v>
      </c>
      <c r="P89" s="2">
        <v>2.0009571910964891E-2</v>
      </c>
      <c r="Q89" s="2">
        <v>5.1394796439059144E-3</v>
      </c>
      <c r="R89" s="2">
        <v>0.42713326941514862</v>
      </c>
      <c r="S89" s="2">
        <v>3.3557046979865737E-2</v>
      </c>
      <c r="T89" s="2">
        <v>0.23729626078619365</v>
      </c>
      <c r="U89" s="2">
        <v>0.30201342281879195</v>
      </c>
      <c r="V89" s="2">
        <v>0.59255202628696602</v>
      </c>
      <c r="W89" s="2">
        <v>1.0952902519167579E-3</v>
      </c>
      <c r="X89" s="2">
        <v>0.13800657174151149</v>
      </c>
      <c r="Y89" s="2">
        <v>0.26834611171960571</v>
      </c>
      <c r="Z89" s="2">
        <v>0.53242454871065981</v>
      </c>
      <c r="AA89" s="2">
        <v>0.35976749128934021</v>
      </c>
      <c r="AB89" s="2">
        <v>9.8007236363636396E-2</v>
      </c>
      <c r="AC89" s="2">
        <v>9.8007236363636396E-3</v>
      </c>
    </row>
    <row r="90" spans="1:29">
      <c r="A90" s="205">
        <v>2009</v>
      </c>
      <c r="B90" s="2">
        <v>0.56557580225884563</v>
      </c>
      <c r="C90" s="2">
        <v>0.29591024361720386</v>
      </c>
      <c r="D90" s="2">
        <v>0.1285139541239505</v>
      </c>
      <c r="E90" s="2">
        <v>0.01</v>
      </c>
      <c r="F90" s="2">
        <v>1.644053525330752E-2</v>
      </c>
      <c r="G90" s="2">
        <v>0.14122347934817683</v>
      </c>
      <c r="H90" s="2">
        <v>0.79104820286602717</v>
      </c>
      <c r="I90" s="2">
        <v>5.1287782532488488E-2</v>
      </c>
      <c r="J90" s="2">
        <v>0.23103282332870242</v>
      </c>
      <c r="K90" s="2">
        <v>0.5395756947040844</v>
      </c>
      <c r="L90" s="2">
        <v>0.21731824607420192</v>
      </c>
      <c r="M90" s="2">
        <v>1.2073235893011213E-2</v>
      </c>
      <c r="N90" s="2">
        <v>0.82247102188042687</v>
      </c>
      <c r="O90" s="2">
        <v>0.13718954735359501</v>
      </c>
      <c r="P90" s="2">
        <v>3.0059548586472647E-2</v>
      </c>
      <c r="Q90" s="2">
        <v>1.0279882179505373E-2</v>
      </c>
      <c r="R90" s="2">
        <v>0.42509225092250924</v>
      </c>
      <c r="S90" s="2">
        <v>2.5830258302582967E-2</v>
      </c>
      <c r="T90" s="2">
        <v>0.24797047970479705</v>
      </c>
      <c r="U90" s="2">
        <v>0.30110701107011073</v>
      </c>
      <c r="V90" s="2">
        <v>0.59279475982532748</v>
      </c>
      <c r="W90" s="2">
        <v>1.0917030567685589E-3</v>
      </c>
      <c r="X90" s="2">
        <v>0.12991266375545851</v>
      </c>
      <c r="Y90" s="2">
        <v>0.27620087336244542</v>
      </c>
      <c r="Z90" s="2">
        <v>0.52602727634517754</v>
      </c>
      <c r="AA90" s="2">
        <v>0.35540832365482244</v>
      </c>
      <c r="AB90" s="2">
        <v>0.10778581818181823</v>
      </c>
      <c r="AC90" s="2">
        <v>1.0778581818181822E-2</v>
      </c>
    </row>
    <row r="91" spans="1:29">
      <c r="A91" s="205">
        <v>2010</v>
      </c>
      <c r="B91" s="2">
        <v>0.60730284470540596</v>
      </c>
      <c r="C91" s="2">
        <v>0.2361151042721199</v>
      </c>
      <c r="D91" s="2">
        <v>0.14658205102247418</v>
      </c>
      <c r="E91" s="2">
        <v>0.01</v>
      </c>
      <c r="F91" s="2">
        <v>1.5468499101966737E-2</v>
      </c>
      <c r="G91" s="2">
        <v>0.14396958558480408</v>
      </c>
      <c r="H91" s="2">
        <v>0.78984766712327048</v>
      </c>
      <c r="I91" s="2">
        <v>5.0714248189958663E-2</v>
      </c>
      <c r="J91" s="2">
        <v>0.22661206235065298</v>
      </c>
      <c r="K91" s="2">
        <v>0.52906406879688805</v>
      </c>
      <c r="L91" s="2">
        <v>0.23146471786022438</v>
      </c>
      <c r="M91" s="2">
        <v>1.2859150992234683E-2</v>
      </c>
      <c r="N91" s="2">
        <v>0.81034378488447278</v>
      </c>
      <c r="O91" s="2">
        <v>0.13412367717090909</v>
      </c>
      <c r="P91" s="2">
        <v>4.0111330089213297E-2</v>
      </c>
      <c r="Q91" s="2">
        <v>1.5421207855404934E-2</v>
      </c>
      <c r="R91" s="2">
        <v>0.41107236268526592</v>
      </c>
      <c r="S91" s="2">
        <v>2.5937227550130795E-2</v>
      </c>
      <c r="T91" s="2">
        <v>0.25468613775065391</v>
      </c>
      <c r="U91" s="2">
        <v>0.30830427201394944</v>
      </c>
      <c r="V91" s="2">
        <v>0.58913043478260874</v>
      </c>
      <c r="W91" s="2">
        <v>1.0869565217391304E-3</v>
      </c>
      <c r="X91" s="2">
        <v>0.12717391304347828</v>
      </c>
      <c r="Y91" s="2">
        <v>0.28260869565217389</v>
      </c>
      <c r="Z91" s="2">
        <v>0.51963000397969528</v>
      </c>
      <c r="AA91" s="2">
        <v>0.35104915602030468</v>
      </c>
      <c r="AB91" s="2">
        <v>0.11756440000000005</v>
      </c>
      <c r="AC91" s="2">
        <v>1.1756440000000003E-2</v>
      </c>
    </row>
    <row r="92" spans="1:29">
      <c r="A92" s="205">
        <v>2011</v>
      </c>
      <c r="B92" s="2">
        <v>0.61381615462968053</v>
      </c>
      <c r="C92" s="2">
        <v>0.21764450787725742</v>
      </c>
      <c r="D92" s="2">
        <v>0.15853933749306207</v>
      </c>
      <c r="E92" s="2">
        <v>0.01</v>
      </c>
      <c r="F92" s="2">
        <v>1.3834731769910433E-2</v>
      </c>
      <c r="G92" s="2">
        <v>0.14265681893390572</v>
      </c>
      <c r="H92" s="2">
        <v>0.79345845448946462</v>
      </c>
      <c r="I92" s="2">
        <v>5.0049994806719296E-2</v>
      </c>
      <c r="J92" s="2">
        <v>0.22219130137260351</v>
      </c>
      <c r="K92" s="2">
        <v>0.5185524428896916</v>
      </c>
      <c r="L92" s="2">
        <v>0.24561118964624681</v>
      </c>
      <c r="M92" s="2">
        <v>1.3645066091458151E-2</v>
      </c>
      <c r="N92" s="2">
        <v>0.79821436982046756</v>
      </c>
      <c r="O92" s="2">
        <v>0.13105725635382101</v>
      </c>
      <c r="P92" s="2">
        <v>5.016491690541091E-2</v>
      </c>
      <c r="Q92" s="2">
        <v>2.0563456920300451E-2</v>
      </c>
      <c r="R92" s="2">
        <v>0.3833865814696486</v>
      </c>
      <c r="S92" s="2">
        <v>2.3277042446371462E-2</v>
      </c>
      <c r="T92" s="2">
        <v>0.27384755819260614</v>
      </c>
      <c r="U92" s="2">
        <v>0.31948881789137384</v>
      </c>
      <c r="V92" s="2">
        <v>0.58324265505984763</v>
      </c>
      <c r="W92" s="2">
        <v>1.088139281828074E-3</v>
      </c>
      <c r="X92" s="2">
        <v>0.12731229597388466</v>
      </c>
      <c r="Y92" s="2">
        <v>0.28835690968443961</v>
      </c>
      <c r="Z92" s="2">
        <v>0.51323273161421301</v>
      </c>
      <c r="AA92" s="2">
        <v>0.34668998838578696</v>
      </c>
      <c r="AB92" s="2">
        <v>0.12734298181818188</v>
      </c>
      <c r="AC92" s="2">
        <v>1.2734298181818187E-2</v>
      </c>
    </row>
    <row r="93" spans="1:29">
      <c r="A93" s="205">
        <v>2012</v>
      </c>
      <c r="B93" s="2">
        <v>0.6154535182572346</v>
      </c>
      <c r="C93" s="2">
        <v>0.16371561802949508</v>
      </c>
      <c r="D93" s="2">
        <v>0.20983086371327037</v>
      </c>
      <c r="E93" s="2">
        <v>1.0999999999999999E-2</v>
      </c>
      <c r="F93" s="2">
        <v>1.3311837408775095E-2</v>
      </c>
      <c r="G93" s="2">
        <v>0.13936105433121918</v>
      </c>
      <c r="H93" s="2">
        <v>0.79761717652806485</v>
      </c>
      <c r="I93" s="2">
        <v>4.9709931731940923E-2</v>
      </c>
      <c r="J93" s="2">
        <v>0.21777054039455404</v>
      </c>
      <c r="K93" s="2">
        <v>0.50804081698249515</v>
      </c>
      <c r="L93" s="2">
        <v>0.25975766143226925</v>
      </c>
      <c r="M93" s="2">
        <v>1.4430981190681619E-2</v>
      </c>
      <c r="N93" s="2">
        <v>0.78608277610158317</v>
      </c>
      <c r="O93" s="2">
        <v>0.1279902847539755</v>
      </c>
      <c r="P93" s="2">
        <v>6.0220309521464274E-2</v>
      </c>
      <c r="Q93" s="2">
        <v>2.5706629622977126E-2</v>
      </c>
      <c r="R93" s="2">
        <v>0.36424282855236823</v>
      </c>
      <c r="S93" s="2">
        <v>2.4016010673782503E-2</v>
      </c>
      <c r="T93" s="2">
        <v>0.2755170113408939</v>
      </c>
      <c r="U93" s="2">
        <v>0.33622414943295531</v>
      </c>
      <c r="V93" s="2">
        <v>0.5873362445414847</v>
      </c>
      <c r="W93" s="2">
        <v>1.0917030567685589E-3</v>
      </c>
      <c r="X93" s="2">
        <v>0.12772925764192139</v>
      </c>
      <c r="Y93" s="2">
        <v>0.28384279475982532</v>
      </c>
      <c r="Z93" s="2">
        <v>0.50683545924873086</v>
      </c>
      <c r="AA93" s="2">
        <v>0.34233082075126919</v>
      </c>
      <c r="AB93" s="2">
        <v>0.13712156363636371</v>
      </c>
      <c r="AC93" s="2">
        <v>1.3712156363636371E-2</v>
      </c>
    </row>
    <row r="94" spans="1:29">
      <c r="A94" s="205">
        <v>2013</v>
      </c>
      <c r="B94" s="2">
        <v>0.60867471836460052</v>
      </c>
      <c r="C94" s="2">
        <v>0.11482735140904698</v>
      </c>
      <c r="D94" s="2">
        <v>0.26879793022635251</v>
      </c>
      <c r="E94" s="2">
        <v>7.7000000000000002E-3</v>
      </c>
      <c r="F94" s="2">
        <v>1.3556119407888338E-2</v>
      </c>
      <c r="G94" s="2">
        <v>0.14038036620780397</v>
      </c>
      <c r="H94" s="2">
        <v>0.79603312639797474</v>
      </c>
      <c r="I94" s="2">
        <v>5.0030387986332858E-2</v>
      </c>
      <c r="J94" s="2">
        <v>0.2133497794165046</v>
      </c>
      <c r="K94" s="2">
        <v>0.49752919107529869</v>
      </c>
      <c r="L94" s="2">
        <v>0.27390413321829166</v>
      </c>
      <c r="M94" s="2">
        <v>1.5216896289905088E-2</v>
      </c>
      <c r="N94" s="2">
        <v>0.77394900314077975</v>
      </c>
      <c r="O94" s="2">
        <v>0.12492276222296383</v>
      </c>
      <c r="P94" s="2">
        <v>7.027750842394688E-2</v>
      </c>
      <c r="Q94" s="2">
        <v>3.0850726212309526E-2</v>
      </c>
      <c r="R94" s="2">
        <v>0.34697426385346625</v>
      </c>
      <c r="S94" s="2">
        <v>2.0867145838163636E-2</v>
      </c>
      <c r="T94" s="2">
        <v>0.29469047067006721</v>
      </c>
      <c r="U94" s="2">
        <v>0.33746811963830275</v>
      </c>
      <c r="V94" s="2">
        <v>0.52712647368421051</v>
      </c>
      <c r="W94" s="2">
        <v>1E-3</v>
      </c>
      <c r="X94" s="2">
        <v>0.14644350816696913</v>
      </c>
      <c r="Y94" s="2">
        <v>0.32543001814882039</v>
      </c>
      <c r="Z94" s="2">
        <v>0.50043818688324848</v>
      </c>
      <c r="AA94" s="2">
        <v>0.33797165311675142</v>
      </c>
      <c r="AB94" s="2">
        <v>0.14690014545454549</v>
      </c>
      <c r="AC94" s="2">
        <v>1.4690014545454553E-2</v>
      </c>
    </row>
    <row r="95" spans="1:29">
      <c r="A95" s="205">
        <v>2014</v>
      </c>
      <c r="B95" s="2">
        <v>0.58700000000000008</v>
      </c>
      <c r="C95" s="2">
        <v>0.106</v>
      </c>
      <c r="D95" s="2">
        <v>0.29600000000000004</v>
      </c>
      <c r="E95" s="2">
        <v>1.1000000000000001E-2</v>
      </c>
      <c r="F95" s="2">
        <v>1.3326172797069344E-2</v>
      </c>
      <c r="G95" s="2">
        <v>0.13797951578839343</v>
      </c>
      <c r="H95" s="2">
        <v>0.79851665639426561</v>
      </c>
      <c r="I95" s="2">
        <v>5.017765502027155E-2</v>
      </c>
      <c r="J95" s="2">
        <v>0.20892901843845513</v>
      </c>
      <c r="K95" s="2">
        <v>0.48701756516810224</v>
      </c>
      <c r="L95" s="2">
        <v>0.28805060500431406</v>
      </c>
      <c r="M95" s="2">
        <v>1.6002811389128558E-2</v>
      </c>
      <c r="N95" s="2">
        <v>0.76181305035080726</v>
      </c>
      <c r="O95" s="2">
        <v>0.12185468861232411</v>
      </c>
      <c r="P95" s="2">
        <v>8.033651409960707E-2</v>
      </c>
      <c r="Q95" s="2">
        <v>3.5995746937261659E-2</v>
      </c>
      <c r="R95" s="2">
        <v>0.33949657666215227</v>
      </c>
      <c r="S95" s="2">
        <v>2.0782754682360818E-2</v>
      </c>
      <c r="T95" s="2">
        <v>0.29821936629846979</v>
      </c>
      <c r="U95" s="2">
        <v>0.34150130235701698</v>
      </c>
      <c r="V95" s="2">
        <v>0.51625294736842098</v>
      </c>
      <c r="W95" s="2">
        <v>1E-3</v>
      </c>
      <c r="X95" s="2">
        <v>0.14981805081669691</v>
      </c>
      <c r="Y95" s="2">
        <v>0.33292900181488211</v>
      </c>
      <c r="Z95" s="2">
        <v>0.49404091451776627</v>
      </c>
      <c r="AA95" s="2">
        <v>0.33361248548223366</v>
      </c>
      <c r="AB95" s="2">
        <v>0.15667872727272733</v>
      </c>
      <c r="AC95" s="2">
        <v>1.5667872727272734E-2</v>
      </c>
    </row>
    <row r="96" spans="1:29">
      <c r="A96" s="205">
        <v>2015</v>
      </c>
      <c r="B96" s="2">
        <v>0.57614240755444179</v>
      </c>
      <c r="C96" s="2">
        <v>0.10457075052878063</v>
      </c>
      <c r="D96" s="2">
        <v>0.30784659676666504</v>
      </c>
      <c r="E96" s="2">
        <v>1.1440245150112551E-2</v>
      </c>
      <c r="F96" s="2">
        <v>1.3096957828494913E-2</v>
      </c>
      <c r="G96" s="2">
        <v>0.13558630437520028</v>
      </c>
      <c r="H96" s="2">
        <v>0.80099228431513803</v>
      </c>
      <c r="I96" s="2">
        <v>5.0324453481166799E-2</v>
      </c>
      <c r="J96" s="2">
        <v>0.20450825746040566</v>
      </c>
      <c r="K96" s="2">
        <v>0.47650593926090584</v>
      </c>
      <c r="L96" s="2">
        <v>0.30219707679033653</v>
      </c>
      <c r="M96" s="2">
        <v>1.6788726488352029E-2</v>
      </c>
      <c r="N96" s="2">
        <v>0.74967491714420398</v>
      </c>
      <c r="O96" s="2">
        <v>0.11878606377354099</v>
      </c>
      <c r="P96" s="2">
        <v>9.0397327035368069E-2</v>
      </c>
      <c r="Q96" s="2">
        <v>4.1141692046886981E-2</v>
      </c>
      <c r="R96" s="2">
        <v>0.33207912855162641</v>
      </c>
      <c r="S96" s="2">
        <v>2.069904336853616E-2</v>
      </c>
      <c r="T96" s="2">
        <v>0.30171983369453087</v>
      </c>
      <c r="U96" s="2">
        <v>0.34550199438530654</v>
      </c>
      <c r="V96" s="2">
        <v>0.50537942105263145</v>
      </c>
      <c r="W96" s="2">
        <v>1E-3</v>
      </c>
      <c r="X96" s="2">
        <v>0.15319259346642469</v>
      </c>
      <c r="Y96" s="2">
        <v>0.34042798548094383</v>
      </c>
      <c r="Z96" s="2">
        <v>0.48764364215228406</v>
      </c>
      <c r="AA96" s="2">
        <v>0.32925331784771589</v>
      </c>
      <c r="AB96" s="2">
        <v>0.16645730909090914</v>
      </c>
      <c r="AC96" s="2">
        <v>1.6645730909090915E-2</v>
      </c>
    </row>
    <row r="97" spans="1:29">
      <c r="A97" s="205">
        <v>2016</v>
      </c>
      <c r="B97" s="2">
        <v>0.56528481510888362</v>
      </c>
      <c r="C97" s="2">
        <v>0.10314150105756129</v>
      </c>
      <c r="D97" s="2">
        <v>0.31969319353333003</v>
      </c>
      <c r="E97" s="2">
        <v>1.18804903002251E-2</v>
      </c>
      <c r="F97" s="2">
        <v>1.2868471015811506E-2</v>
      </c>
      <c r="G97" s="2">
        <v>0.13320069556754302</v>
      </c>
      <c r="H97" s="2">
        <v>0.80346004781482616</v>
      </c>
      <c r="I97" s="2">
        <v>5.0470785601819258E-2</v>
      </c>
      <c r="J97" s="2">
        <v>0.20008749648235619</v>
      </c>
      <c r="K97" s="2">
        <v>0.46599431335370939</v>
      </c>
      <c r="L97" s="2">
        <v>0.31634354857635893</v>
      </c>
      <c r="M97" s="2">
        <v>1.7574641587575497E-2</v>
      </c>
      <c r="N97" s="2">
        <v>0.73753460293329753</v>
      </c>
      <c r="O97" s="2">
        <v>0.11571688755804581</v>
      </c>
      <c r="P97" s="2">
        <v>0.1004599477183281</v>
      </c>
      <c r="Q97" s="2">
        <v>4.628856179032844E-2</v>
      </c>
      <c r="R97" s="2">
        <v>0.32472119452716303</v>
      </c>
      <c r="S97" s="2">
        <v>2.0616003714595217E-2</v>
      </c>
      <c r="T97" s="2">
        <v>0.30519221500023258</v>
      </c>
      <c r="U97" s="2">
        <v>0.34947058675800924</v>
      </c>
      <c r="V97" s="2">
        <v>0.49450589473684203</v>
      </c>
      <c r="W97" s="2">
        <v>1.0000000000000002E-3</v>
      </c>
      <c r="X97" s="2">
        <v>0.15656713611615247</v>
      </c>
      <c r="Y97" s="2">
        <v>0.34792696914700555</v>
      </c>
      <c r="Z97" s="2">
        <v>0.48124636978680185</v>
      </c>
      <c r="AA97" s="2">
        <v>0.32489415021319812</v>
      </c>
      <c r="AB97" s="2">
        <v>0.17623589090909095</v>
      </c>
      <c r="AC97" s="2">
        <v>1.7623589090909095E-2</v>
      </c>
    </row>
    <row r="98" spans="1:29">
      <c r="A98" s="205">
        <v>2017</v>
      </c>
      <c r="B98" s="2">
        <v>0.55442722266332545</v>
      </c>
      <c r="C98" s="2">
        <v>0.10171225158634194</v>
      </c>
      <c r="D98" s="2">
        <v>0.33153979029999497</v>
      </c>
      <c r="E98" s="2">
        <v>1.232073545033765E-2</v>
      </c>
      <c r="F98" s="2">
        <v>1.2640708894780932E-2</v>
      </c>
      <c r="G98" s="2">
        <v>0.13082265319564423</v>
      </c>
      <c r="H98" s="2">
        <v>0.80591998430870881</v>
      </c>
      <c r="I98" s="2">
        <v>5.0616653600866049E-2</v>
      </c>
      <c r="J98" s="2">
        <v>0.19566673550430672</v>
      </c>
      <c r="K98" s="2">
        <v>0.45548268744651293</v>
      </c>
      <c r="L98" s="2">
        <v>0.33049002036238134</v>
      </c>
      <c r="M98" s="2">
        <v>1.8360556686798965E-2</v>
      </c>
      <c r="N98" s="2">
        <v>0.72539210713020463</v>
      </c>
      <c r="O98" s="2">
        <v>0.11264715981721653</v>
      </c>
      <c r="P98" s="2">
        <v>0.11052437663576051</v>
      </c>
      <c r="Q98" s="2">
        <v>5.1436356416818568E-2</v>
      </c>
      <c r="R98" s="2">
        <v>0.31742206118157767</v>
      </c>
      <c r="S98" s="2">
        <v>2.0533627669217389E-2</v>
      </c>
      <c r="T98" s="2">
        <v>0.30863684688912507</v>
      </c>
      <c r="U98" s="2">
        <v>0.35340746426007974</v>
      </c>
      <c r="V98" s="2">
        <v>0.48363236842105251</v>
      </c>
      <c r="W98" s="2">
        <v>1E-3</v>
      </c>
      <c r="X98" s="2">
        <v>0.15994167876588022</v>
      </c>
      <c r="Y98" s="2">
        <v>0.35542595281306727</v>
      </c>
      <c r="Z98" s="2">
        <v>0.47484909742131964</v>
      </c>
      <c r="AA98" s="2">
        <v>0.32053498257868035</v>
      </c>
      <c r="AB98" s="2">
        <v>0.18601447272727276</v>
      </c>
      <c r="AC98" s="2">
        <v>1.8601447272727275E-2</v>
      </c>
    </row>
    <row r="99" spans="1:29">
      <c r="A99" s="205">
        <v>2018</v>
      </c>
      <c r="B99" s="2">
        <v>0.54356963021776739</v>
      </c>
      <c r="C99" s="2">
        <v>0.1002830021151226</v>
      </c>
      <c r="D99" s="2">
        <v>0.34338638706665991</v>
      </c>
      <c r="E99" s="2">
        <v>1.2760980600450198E-2</v>
      </c>
      <c r="F99" s="2">
        <v>1.2413668023105244E-2</v>
      </c>
      <c r="G99" s="2">
        <v>0.12845214131880259</v>
      </c>
      <c r="H99" s="2">
        <v>0.80837213097519933</v>
      </c>
      <c r="I99" s="2">
        <v>5.0762059682892859E-2</v>
      </c>
      <c r="J99" s="2">
        <v>0.19124597452625727</v>
      </c>
      <c r="K99" s="2">
        <v>0.44497106153931654</v>
      </c>
      <c r="L99" s="2">
        <v>0.34463649214840381</v>
      </c>
      <c r="M99" s="2">
        <v>1.9146471786022433E-2</v>
      </c>
      <c r="N99" s="2">
        <v>0.71324742914682948</v>
      </c>
      <c r="O99" s="2">
        <v>0.10957688040237758</v>
      </c>
      <c r="P99" s="2">
        <v>0.1205906142751136</v>
      </c>
      <c r="Q99" s="2">
        <v>5.6585076175679407E-2</v>
      </c>
      <c r="R99" s="2">
        <v>0.31018102646464518</v>
      </c>
      <c r="S99" s="2">
        <v>2.0451907309253673E-2</v>
      </c>
      <c r="T99" s="2">
        <v>0.31205406067514391</v>
      </c>
      <c r="U99" s="2">
        <v>0.35731300555095713</v>
      </c>
      <c r="V99" s="2">
        <v>0.47275884210526303</v>
      </c>
      <c r="W99" s="2">
        <v>1E-3</v>
      </c>
      <c r="X99" s="2">
        <v>0.163316221415608</v>
      </c>
      <c r="Y99" s="2">
        <v>0.36292493647912899</v>
      </c>
      <c r="Z99" s="2">
        <v>0.46845182505583743</v>
      </c>
      <c r="AA99" s="2">
        <v>0.31617581494416258</v>
      </c>
      <c r="AB99" s="2">
        <v>0.19579305454545456</v>
      </c>
      <c r="AC99" s="2">
        <v>1.9579305454545459E-2</v>
      </c>
    </row>
    <row r="100" spans="1:29">
      <c r="A100" s="205">
        <v>2019</v>
      </c>
      <c r="B100" s="2">
        <v>0.5327120377722091</v>
      </c>
      <c r="C100" s="2">
        <v>9.8853752643903239E-2</v>
      </c>
      <c r="D100" s="2">
        <v>0.35523298383332486</v>
      </c>
      <c r="E100" s="2">
        <v>1.3201225750562746E-2</v>
      </c>
      <c r="F100" s="2">
        <v>1.2187344980253336E-2</v>
      </c>
      <c r="G100" s="2">
        <v>0.12608912422358221</v>
      </c>
      <c r="H100" s="2">
        <v>0.81081652475761945</v>
      </c>
      <c r="I100" s="2">
        <v>5.0907006038545026E-2</v>
      </c>
      <c r="J100" s="2">
        <v>0.1868252135482078</v>
      </c>
      <c r="K100" s="2">
        <v>0.43445943563212003</v>
      </c>
      <c r="L100" s="2">
        <v>0.35878296393442621</v>
      </c>
      <c r="M100" s="2">
        <v>1.9932386885245904E-2</v>
      </c>
      <c r="N100" s="2">
        <v>0.70110056839486623</v>
      </c>
      <c r="O100" s="2">
        <v>0.10650604916480004</v>
      </c>
      <c r="P100" s="2">
        <v>0.13065866112401109</v>
      </c>
      <c r="Q100" s="2">
        <v>6.1734721316322676E-2</v>
      </c>
      <c r="R100" s="2">
        <v>0.30299739945800119</v>
      </c>
      <c r="S100" s="2">
        <v>2.037083483718621E-2</v>
      </c>
      <c r="T100" s="2">
        <v>0.31544418241883859</v>
      </c>
      <c r="U100" s="2">
        <v>0.36118758328597395</v>
      </c>
      <c r="V100" s="2">
        <v>0.46188531578947356</v>
      </c>
      <c r="W100" s="2">
        <v>1E-3</v>
      </c>
      <c r="X100" s="2">
        <v>0.16669076406533576</v>
      </c>
      <c r="Y100" s="2">
        <v>0.37042392014519065</v>
      </c>
      <c r="Z100" s="2">
        <v>0.46205455269035522</v>
      </c>
      <c r="AA100" s="2">
        <v>0.31181664730964476</v>
      </c>
      <c r="AB100" s="2">
        <v>0.20557163636363637</v>
      </c>
      <c r="AC100" s="2">
        <v>2.0557163636363639E-2</v>
      </c>
    </row>
    <row r="101" spans="1:29">
      <c r="A101" s="205">
        <v>2020</v>
      </c>
      <c r="B101" s="2">
        <v>0.52185444532665104</v>
      </c>
      <c r="C101" s="2">
        <v>9.7424503172683904E-2</v>
      </c>
      <c r="D101" s="2">
        <v>0.36707958059998991</v>
      </c>
      <c r="E101" s="2">
        <v>1.3641470900675299E-2</v>
      </c>
      <c r="F101" s="2">
        <v>1.1961736367289158E-2</v>
      </c>
      <c r="G101" s="2">
        <v>0.1237335664220191</v>
      </c>
      <c r="H101" s="2">
        <v>0.81325320236605414</v>
      </c>
      <c r="I101" s="2">
        <v>5.1051494844637529E-2</v>
      </c>
      <c r="J101" s="2">
        <v>0.18240445257015836</v>
      </c>
      <c r="K101" s="2">
        <v>0.42394780972492363</v>
      </c>
      <c r="L101" s="2">
        <v>0.37292943572044868</v>
      </c>
      <c r="M101" s="2">
        <v>2.0718301984469372E-2</v>
      </c>
      <c r="N101" s="2">
        <v>0.68895152428579687</v>
      </c>
      <c r="O101" s="2">
        <v>0.10343466595570157</v>
      </c>
      <c r="P101" s="2">
        <v>0.14072851767025188</v>
      </c>
      <c r="Q101" s="2">
        <v>6.6885292088249754E-2</v>
      </c>
      <c r="R101" s="2">
        <v>0.29587050015537691</v>
      </c>
      <c r="S101" s="2">
        <v>2.0290402578648118E-2</v>
      </c>
      <c r="T101" s="2">
        <v>0.3188075330310855</v>
      </c>
      <c r="U101" s="2">
        <v>0.36503156423488953</v>
      </c>
      <c r="V101" s="2">
        <v>0.45101178947368409</v>
      </c>
      <c r="W101" s="2">
        <v>1E-3</v>
      </c>
      <c r="X101" s="2">
        <v>0.17006530671506351</v>
      </c>
      <c r="Y101" s="2">
        <v>0.37792290381125232</v>
      </c>
      <c r="Z101" s="2">
        <v>0.45565728032487302</v>
      </c>
      <c r="AA101" s="2">
        <v>0.30745747967512699</v>
      </c>
      <c r="AB101" s="2">
        <v>0.21535021818181818</v>
      </c>
      <c r="AC101" s="2">
        <v>2.1535021818181819E-2</v>
      </c>
    </row>
    <row r="102" spans="1:29">
      <c r="A102" s="205">
        <v>2021</v>
      </c>
      <c r="B102" s="2">
        <v>0.51099685288109276</v>
      </c>
      <c r="C102" s="2">
        <v>9.5995253701464542E-2</v>
      </c>
      <c r="D102" s="2">
        <v>0.37892617736665485</v>
      </c>
      <c r="E102" s="2">
        <v>1.4081716050787847E-2</v>
      </c>
      <c r="F102" s="2">
        <v>1.1736838806701571E-2</v>
      </c>
      <c r="G102" s="2">
        <v>0.12138543264984475</v>
      </c>
      <c r="H102" s="2">
        <v>0.8156822002791897</v>
      </c>
      <c r="I102" s="2">
        <v>5.1195528264264024E-2</v>
      </c>
      <c r="J102" s="2">
        <v>0.17798369159210889</v>
      </c>
      <c r="K102" s="2">
        <v>0.41343618381772718</v>
      </c>
      <c r="L102" s="2">
        <v>0.38707590750647108</v>
      </c>
      <c r="M102" s="2">
        <v>2.150421708369284E-2</v>
      </c>
      <c r="N102" s="2">
        <v>0.67680029623089177</v>
      </c>
      <c r="O102" s="2">
        <v>0.10036273062624619</v>
      </c>
      <c r="P102" s="2">
        <v>0.15080018440181031</v>
      </c>
      <c r="Q102" s="2">
        <v>7.2036788741051683E-2</v>
      </c>
      <c r="R102" s="2">
        <v>0.28879965924801981</v>
      </c>
      <c r="S102" s="2">
        <v>2.0210602980001775E-2</v>
      </c>
      <c r="T102" s="2">
        <v>0.32214442837435237</v>
      </c>
      <c r="U102" s="2">
        <v>0.36884530939762589</v>
      </c>
      <c r="V102" s="2">
        <v>0.44013826315789462</v>
      </c>
      <c r="W102" s="2">
        <v>1E-3</v>
      </c>
      <c r="X102" s="2">
        <v>0.17343984936479129</v>
      </c>
      <c r="Y102" s="2">
        <v>0.3854218874773141</v>
      </c>
      <c r="Z102" s="2">
        <v>0.44926000795939081</v>
      </c>
      <c r="AA102" s="2">
        <v>0.30309831204060922</v>
      </c>
      <c r="AB102" s="2">
        <v>0.22512880000000002</v>
      </c>
      <c r="AC102" s="2">
        <v>2.2512879999999999E-2</v>
      </c>
    </row>
    <row r="103" spans="1:29">
      <c r="A103" s="205">
        <v>2022</v>
      </c>
      <c r="B103" s="2">
        <v>0.50013926043553458</v>
      </c>
      <c r="C103" s="2">
        <v>9.4566004230245193E-2</v>
      </c>
      <c r="D103" s="2">
        <v>0.39077277413331984</v>
      </c>
      <c r="E103" s="2">
        <v>1.4521961200900397E-2</v>
      </c>
      <c r="F103" s="2">
        <v>1.1512648942235785E-2</v>
      </c>
      <c r="G103" s="2">
        <v>0.11904468786472605</v>
      </c>
      <c r="H103" s="2">
        <v>0.81810355474613339</v>
      </c>
      <c r="I103" s="2">
        <v>5.1339108446904681E-2</v>
      </c>
      <c r="J103" s="2">
        <v>0.17356293061405939</v>
      </c>
      <c r="K103" s="2">
        <v>0.40292455791053072</v>
      </c>
      <c r="L103" s="2">
        <v>0.40122237929249349</v>
      </c>
      <c r="M103" s="2">
        <v>2.2290132182916311E-2</v>
      </c>
      <c r="N103" s="2">
        <v>0.66464688364120994</v>
      </c>
      <c r="O103" s="2">
        <v>9.7290243027544535E-2</v>
      </c>
      <c r="P103" s="2">
        <v>0.16087366180683613</v>
      </c>
      <c r="Q103" s="2">
        <v>7.7189211524409287E-2</v>
      </c>
      <c r="R103" s="2">
        <v>0.28178421791515773</v>
      </c>
      <c r="S103" s="2">
        <v>2.0131428605974094E-2</v>
      </c>
      <c r="T103" s="2">
        <v>0.32545517936158397</v>
      </c>
      <c r="U103" s="2">
        <v>0.37262917411728408</v>
      </c>
      <c r="V103" s="2">
        <v>0.42926473684210514</v>
      </c>
      <c r="W103" s="2">
        <v>1E-3</v>
      </c>
      <c r="X103" s="2">
        <v>0.1768143920145191</v>
      </c>
      <c r="Y103" s="2">
        <v>0.39292087114337582</v>
      </c>
      <c r="Z103" s="2">
        <v>0.4428627355939086</v>
      </c>
      <c r="AA103" s="2">
        <v>0.29873914440609145</v>
      </c>
      <c r="AB103" s="2">
        <v>0.23490738181818183</v>
      </c>
      <c r="AC103" s="2">
        <v>2.3490738181818179E-2</v>
      </c>
    </row>
    <row r="104" spans="1:29">
      <c r="A104" s="205">
        <v>2023</v>
      </c>
      <c r="B104" s="2">
        <v>0.48928166798997647</v>
      </c>
      <c r="C104" s="2">
        <v>9.3136754759025844E-2</v>
      </c>
      <c r="D104" s="2">
        <v>0.40261937089998467</v>
      </c>
      <c r="E104" s="2">
        <v>1.4962206351012943E-2</v>
      </c>
      <c r="F104" s="2">
        <v>1.1289163438726414E-2</v>
      </c>
      <c r="G104" s="2">
        <v>0.11671129724452249</v>
      </c>
      <c r="H104" s="2">
        <v>0.8205173017882178</v>
      </c>
      <c r="I104" s="2">
        <v>5.1482237528533231E-2</v>
      </c>
      <c r="J104" s="2">
        <v>0.16914216963600998</v>
      </c>
      <c r="K104" s="2">
        <v>0.39241293200333432</v>
      </c>
      <c r="L104" s="2">
        <v>0.41536885107851601</v>
      </c>
      <c r="M104" s="2">
        <v>2.3076047282139783E-2</v>
      </c>
      <c r="N104" s="2">
        <v>0.65249128592759842</v>
      </c>
      <c r="O104" s="2">
        <v>9.4217203010653686E-2</v>
      </c>
      <c r="P104" s="2">
        <v>0.17094895037365468</v>
      </c>
      <c r="Q104" s="2">
        <v>8.2342560688093175E-2</v>
      </c>
      <c r="R104" s="2">
        <v>0.27482352761936873</v>
      </c>
      <c r="S104" s="2">
        <v>2.0052872137347081E-2</v>
      </c>
      <c r="T104" s="2">
        <v>0.32874009205277105</v>
      </c>
      <c r="U104" s="2">
        <v>0.37638350819051314</v>
      </c>
      <c r="V104" s="2">
        <v>0.41839121052631567</v>
      </c>
      <c r="W104" s="2">
        <v>1E-3</v>
      </c>
      <c r="X104" s="2">
        <v>0.18018893466424685</v>
      </c>
      <c r="Y104" s="2">
        <v>0.40041985480943748</v>
      </c>
      <c r="Z104" s="2">
        <v>0.43646546322842633</v>
      </c>
      <c r="AA104" s="2">
        <v>0.29437997677157368</v>
      </c>
      <c r="AB104" s="2">
        <v>0.24468596363636363</v>
      </c>
      <c r="AC104" s="2">
        <v>2.4468596363636359E-2</v>
      </c>
    </row>
    <row r="105" spans="1:29">
      <c r="A105" s="205">
        <v>2024</v>
      </c>
      <c r="B105" s="2">
        <v>0.47842407554441835</v>
      </c>
      <c r="C105" s="2">
        <v>9.1707505287806496E-2</v>
      </c>
      <c r="D105" s="2">
        <v>0.41446596766664967</v>
      </c>
      <c r="E105" s="2">
        <v>1.5402451501125493E-2</v>
      </c>
      <c r="F105" s="2">
        <v>1.1066378981932088E-2</v>
      </c>
      <c r="G105" s="2">
        <v>0.11438522618555898</v>
      </c>
      <c r="H105" s="2">
        <v>0.82292347720078607</v>
      </c>
      <c r="I105" s="2">
        <v>5.1624917631722785E-2</v>
      </c>
      <c r="J105" s="2">
        <v>0.16472140865796048</v>
      </c>
      <c r="K105" s="2">
        <v>0.38190130609613787</v>
      </c>
      <c r="L105" s="2">
        <v>0.42951532286453836</v>
      </c>
      <c r="M105" s="2">
        <v>2.386196238136325E-2</v>
      </c>
      <c r="N105" s="2">
        <v>0.64033350250069243</v>
      </c>
      <c r="O105" s="2">
        <v>9.1143610426577079E-2</v>
      </c>
      <c r="P105" s="2">
        <v>0.18102605059076685</v>
      </c>
      <c r="Q105" s="2">
        <v>8.7496836481963741E-2</v>
      </c>
      <c r="R105" s="2">
        <v>0.26791694990672366</v>
      </c>
      <c r="S105" s="2">
        <v>1.9974926368702312E-2</v>
      </c>
      <c r="T105" s="2">
        <v>0.33199946774926814</v>
      </c>
      <c r="U105" s="2">
        <v>0.38010865597530596</v>
      </c>
      <c r="V105" s="2">
        <v>0.40751768421052625</v>
      </c>
      <c r="W105" s="2">
        <v>1.0000000000000002E-3</v>
      </c>
      <c r="X105" s="2">
        <v>0.1835634773139746</v>
      </c>
      <c r="Y105" s="2">
        <v>0.4079188384754992</v>
      </c>
      <c r="Z105" s="2">
        <v>0.43006819086294412</v>
      </c>
      <c r="AA105" s="2">
        <v>0.29002080913705591</v>
      </c>
      <c r="AB105" s="2">
        <v>0.25446454545454544</v>
      </c>
      <c r="AC105" s="2">
        <v>2.5446454545454536E-2</v>
      </c>
    </row>
    <row r="106" spans="1:29">
      <c r="A106" s="205">
        <v>2025</v>
      </c>
      <c r="B106" s="2">
        <v>0.46756648309886023</v>
      </c>
      <c r="C106" s="2">
        <v>9.0278255816587147E-2</v>
      </c>
      <c r="D106" s="2">
        <v>0.42631256443331456</v>
      </c>
      <c r="E106" s="2">
        <v>1.5842696651238039E-2</v>
      </c>
      <c r="F106" s="2">
        <v>1.0844292278371612E-2</v>
      </c>
      <c r="G106" s="2">
        <v>0.11206644030091559</v>
      </c>
      <c r="H106" s="2">
        <v>0.82532211655496202</v>
      </c>
      <c r="I106" s="2">
        <v>5.176715086575083E-2</v>
      </c>
      <c r="J106" s="2">
        <v>0.16030064767991101</v>
      </c>
      <c r="K106" s="2">
        <v>0.37138968018894136</v>
      </c>
      <c r="L106" s="2">
        <v>0.44366179465056077</v>
      </c>
      <c r="M106" s="2">
        <v>2.4647877480586718E-2</v>
      </c>
      <c r="N106" s="2">
        <v>0.62817353277091492</v>
      </c>
      <c r="O106" s="2">
        <v>8.8069465126264609E-2</v>
      </c>
      <c r="P106" s="2">
        <v>0.19110496294684923</v>
      </c>
      <c r="Q106" s="2">
        <v>9.2652039155971241E-2</v>
      </c>
      <c r="R106" s="2">
        <v>0.26106385621157163</v>
      </c>
      <c r="S106" s="2">
        <v>1.9897584206217806E-2</v>
      </c>
      <c r="T106" s="2">
        <v>0.33523360308591965</v>
      </c>
      <c r="U106" s="2">
        <v>0.38380495649629087</v>
      </c>
      <c r="V106" s="2">
        <v>0.39664415789473673</v>
      </c>
      <c r="W106" s="2">
        <v>1E-3</v>
      </c>
      <c r="X106" s="2">
        <v>0.18693801996370238</v>
      </c>
      <c r="Y106" s="2">
        <v>0.41541782214156092</v>
      </c>
      <c r="Z106" s="2">
        <v>0.42367091849746191</v>
      </c>
      <c r="AA106" s="2">
        <v>0.28566164150253814</v>
      </c>
      <c r="AB106" s="2">
        <v>0.26424312727272725</v>
      </c>
      <c r="AC106" s="2">
        <v>2.642431272727272E-2</v>
      </c>
    </row>
    <row r="107" spans="1:29">
      <c r="A107" s="205">
        <v>2026</v>
      </c>
      <c r="B107" s="2">
        <v>0.45670889065330211</v>
      </c>
      <c r="C107" s="2">
        <v>8.8849006345367798E-2</v>
      </c>
      <c r="D107" s="2">
        <v>0.43815916119997955</v>
      </c>
      <c r="E107" s="2">
        <v>1.6282941801350589E-2</v>
      </c>
      <c r="F107" s="2">
        <v>1.0622900055161675E-2</v>
      </c>
      <c r="G107" s="2">
        <v>0.10975490541873281</v>
      </c>
      <c r="H107" s="2">
        <v>0.82771325519940242</v>
      </c>
      <c r="I107" s="2">
        <v>5.190893932670311E-2</v>
      </c>
      <c r="J107" s="2">
        <v>0.15587988670186156</v>
      </c>
      <c r="K107" s="2">
        <v>0.36087805428174502</v>
      </c>
      <c r="L107" s="2">
        <v>0.45780826643658329</v>
      </c>
      <c r="M107" s="2">
        <v>2.5433792579810193E-2</v>
      </c>
      <c r="N107" s="2">
        <v>0.61601137614847734</v>
      </c>
      <c r="O107" s="2">
        <v>8.4994766960612603E-2</v>
      </c>
      <c r="P107" s="2">
        <v>0.20118568793075425</v>
      </c>
      <c r="Q107" s="2">
        <v>9.7808168960155914E-2</v>
      </c>
      <c r="R107" s="2">
        <v>0.25426362766584326</v>
      </c>
      <c r="S107" s="2">
        <v>1.9820838665515868E-2</v>
      </c>
      <c r="T107" s="2">
        <v>0.3384427901210546</v>
      </c>
      <c r="U107" s="2">
        <v>0.38747274354758632</v>
      </c>
      <c r="V107" s="2">
        <v>0.38577063157894725</v>
      </c>
      <c r="W107" s="2">
        <v>1E-3</v>
      </c>
      <c r="X107" s="2">
        <v>0.19031256261343016</v>
      </c>
      <c r="Y107" s="2">
        <v>0.42291680580762264</v>
      </c>
      <c r="Z107" s="2">
        <v>0.4172736461319797</v>
      </c>
      <c r="AA107" s="2">
        <v>0.28130247386802038</v>
      </c>
      <c r="AB107" s="2">
        <v>0.27402170909090906</v>
      </c>
      <c r="AC107" s="2">
        <v>2.74021709090909E-2</v>
      </c>
    </row>
    <row r="108" spans="1:29">
      <c r="A108" s="205">
        <v>2027</v>
      </c>
      <c r="B108" s="2">
        <v>0.445851298207744</v>
      </c>
      <c r="C108" s="2">
        <v>8.7419756874148449E-2</v>
      </c>
      <c r="D108" s="2">
        <v>0.45000575796664444</v>
      </c>
      <c r="E108" s="2">
        <v>1.6723186951463135E-2</v>
      </c>
      <c r="F108" s="2">
        <v>1.0402199059856072E-2</v>
      </c>
      <c r="G108" s="2">
        <v>0.10745058758053309</v>
      </c>
      <c r="H108" s="2">
        <v>0.83009692826203418</v>
      </c>
      <c r="I108" s="2">
        <v>5.2050285097576678E-2</v>
      </c>
      <c r="J108" s="2">
        <v>0.15145912572381209</v>
      </c>
      <c r="K108" s="2">
        <v>0.35036642837454857</v>
      </c>
      <c r="L108" s="2">
        <v>0.47195473822260575</v>
      </c>
      <c r="M108" s="2">
        <v>2.6219707679033661E-2</v>
      </c>
      <c r="N108" s="2">
        <v>0.60384703204337842</v>
      </c>
      <c r="O108" s="2">
        <v>8.1919515780463692E-2</v>
      </c>
      <c r="P108" s="2">
        <v>0.21126822603151005</v>
      </c>
      <c r="Q108" s="2">
        <v>0.10296522614464781</v>
      </c>
      <c r="R108" s="2">
        <v>0.24751565491274979</v>
      </c>
      <c r="S108" s="2">
        <v>1.9744682869560538E-2</v>
      </c>
      <c r="T108" s="2">
        <v>0.34162731642440569</v>
      </c>
      <c r="U108" s="2">
        <v>0.39111234579328386</v>
      </c>
      <c r="V108" s="2">
        <v>0.37489710526315778</v>
      </c>
      <c r="W108" s="2">
        <v>1E-3</v>
      </c>
      <c r="X108" s="2">
        <v>0.19368710526315791</v>
      </c>
      <c r="Y108" s="2">
        <v>0.43041578947368431</v>
      </c>
      <c r="Z108" s="2">
        <v>0.41087637376649744</v>
      </c>
      <c r="AA108" s="2">
        <v>0.27694330623350261</v>
      </c>
      <c r="AB108" s="2">
        <v>0.28380029090909087</v>
      </c>
      <c r="AC108" s="2">
        <v>2.838002909090908E-2</v>
      </c>
    </row>
    <row r="109" spans="1:29">
      <c r="A109" s="205">
        <v>2028</v>
      </c>
      <c r="B109" s="2">
        <v>0.43499370576218588</v>
      </c>
      <c r="C109" s="2">
        <v>8.5990507402929101E-2</v>
      </c>
      <c r="D109" s="2">
        <v>0.46185235473330932</v>
      </c>
      <c r="E109" s="2">
        <v>1.7163432101575681E-2</v>
      </c>
      <c r="F109" s="2">
        <v>1.0182186060286433E-2</v>
      </c>
      <c r="G109" s="2">
        <v>0.1051534530395577</v>
      </c>
      <c r="H109" s="2">
        <v>0.83247317065177406</v>
      </c>
      <c r="I109" s="2">
        <v>5.2191190248381786E-2</v>
      </c>
      <c r="J109" s="2">
        <v>0.14703836474576262</v>
      </c>
      <c r="K109" s="2">
        <v>0.33985480246735206</v>
      </c>
      <c r="L109" s="2">
        <v>0.48610121000862816</v>
      </c>
      <c r="M109" s="2">
        <v>2.7005622778257129E-2</v>
      </c>
      <c r="N109" s="2">
        <v>0.59168049986540516</v>
      </c>
      <c r="O109" s="2">
        <v>7.8843711436606873E-2</v>
      </c>
      <c r="P109" s="2">
        <v>0.2213525777383209</v>
      </c>
      <c r="Q109" s="2">
        <v>0.10812321095966713</v>
      </c>
      <c r="R109" s="2">
        <v>0.24081933792476121</v>
      </c>
      <c r="S109" s="2">
        <v>1.966911004660335E-2</v>
      </c>
      <c r="T109" s="2">
        <v>0.34478746516301034</v>
      </c>
      <c r="U109" s="2">
        <v>0.39472408686562505</v>
      </c>
      <c r="V109" s="2">
        <v>0.36402357894736831</v>
      </c>
      <c r="W109" s="2">
        <v>1E-3</v>
      </c>
      <c r="X109" s="2">
        <v>0.19706164791288566</v>
      </c>
      <c r="Y109" s="2">
        <v>0.43791477313974597</v>
      </c>
      <c r="Z109" s="2">
        <v>0.40447910140101523</v>
      </c>
      <c r="AA109" s="2">
        <v>0.27258413859898484</v>
      </c>
      <c r="AB109" s="2">
        <v>0.29357887272727268</v>
      </c>
      <c r="AC109" s="2">
        <v>2.935788727272726E-2</v>
      </c>
    </row>
    <row r="110" spans="1:29">
      <c r="A110" s="205">
        <v>2029</v>
      </c>
      <c r="B110" s="2">
        <v>0.42413611331662782</v>
      </c>
      <c r="C110" s="2">
        <v>8.4561257931709766E-2</v>
      </c>
      <c r="D110" s="2">
        <v>0.47369895149997432</v>
      </c>
      <c r="E110" s="2">
        <v>1.7603677251688234E-2</v>
      </c>
      <c r="F110" s="2">
        <v>9.9628578444044408E-3</v>
      </c>
      <c r="G110" s="2">
        <v>0.10286346825911948</v>
      </c>
      <c r="H110" s="2">
        <v>0.83484201706023298</v>
      </c>
      <c r="I110" s="2">
        <v>5.2331656836243044E-2</v>
      </c>
      <c r="J110" s="2">
        <v>0.14261760376771315</v>
      </c>
      <c r="K110" s="2">
        <v>0.3293431765601556</v>
      </c>
      <c r="L110" s="2">
        <v>0.50024768179465062</v>
      </c>
      <c r="M110" s="2">
        <v>2.7791537877480597E-2</v>
      </c>
      <c r="N110" s="2">
        <v>0.57951177902413176</v>
      </c>
      <c r="O110" s="2">
        <v>7.5767353779777447E-2</v>
      </c>
      <c r="P110" s="2">
        <v>0.23143874354056687</v>
      </c>
      <c r="Q110" s="2">
        <v>0.11328212365552394</v>
      </c>
      <c r="R110" s="2">
        <v>0.23417408582574772</v>
      </c>
      <c r="S110" s="2">
        <v>1.9594113528176065E-2</v>
      </c>
      <c r="T110" s="2">
        <v>0.3479235151851458</v>
      </c>
      <c r="U110" s="2">
        <v>0.3983082854609305</v>
      </c>
      <c r="V110" s="2">
        <v>0.35315005263157884</v>
      </c>
      <c r="W110" s="2">
        <v>1E-3</v>
      </c>
      <c r="X110" s="2">
        <v>0.20043619056261344</v>
      </c>
      <c r="Y110" s="2">
        <v>0.44541375680580775</v>
      </c>
      <c r="Z110" s="2">
        <v>0.39808182903553302</v>
      </c>
      <c r="AA110" s="2">
        <v>0.26822497096446707</v>
      </c>
      <c r="AB110" s="2">
        <v>0.30335745454545449</v>
      </c>
      <c r="AC110" s="2">
        <v>3.033574545454544E-2</v>
      </c>
    </row>
    <row r="111" spans="1:29">
      <c r="A111" s="205">
        <v>2030</v>
      </c>
      <c r="B111" s="2">
        <v>0.41327852087106964</v>
      </c>
      <c r="C111" s="2">
        <v>8.3132008460490403E-2</v>
      </c>
      <c r="D111" s="2">
        <v>0.48554554826663915</v>
      </c>
      <c r="E111" s="2">
        <v>1.8043922401800777E-2</v>
      </c>
      <c r="F111" s="2">
        <v>9.7442112201255055E-3</v>
      </c>
      <c r="G111" s="2">
        <v>0.10058059991097065</v>
      </c>
      <c r="H111" s="2">
        <v>0.83720350196340432</v>
      </c>
      <c r="I111" s="2">
        <v>5.2471686905499471E-2</v>
      </c>
      <c r="J111" s="2">
        <v>0.13819684278966365</v>
      </c>
      <c r="K111" s="2">
        <v>0.31883155065295915</v>
      </c>
      <c r="L111" s="2">
        <v>0.51439415358067309</v>
      </c>
      <c r="M111" s="2">
        <v>2.8577452976704065E-2</v>
      </c>
      <c r="N111" s="2">
        <v>0.56734086892892022</v>
      </c>
      <c r="O111" s="2">
        <v>7.2690442660657023E-2</v>
      </c>
      <c r="P111" s="2">
        <v>0.24152672392780422</v>
      </c>
      <c r="Q111" s="2">
        <v>0.11844196448261847</v>
      </c>
      <c r="R111" s="2">
        <v>0.22757931671717554</v>
      </c>
      <c r="S111" s="2">
        <v>1.9519686747129162E-2</v>
      </c>
      <c r="T111" s="2">
        <v>0.35103574110235147</v>
      </c>
      <c r="U111" s="2">
        <v>0.40186525543334373</v>
      </c>
      <c r="V111" s="2">
        <v>0.34227652631578936</v>
      </c>
      <c r="W111" s="2">
        <v>1E-3</v>
      </c>
      <c r="X111" s="2">
        <v>0.20381073321234122</v>
      </c>
      <c r="Y111" s="2">
        <v>0.45291274047186947</v>
      </c>
      <c r="Z111" s="2">
        <v>0.39168455667005081</v>
      </c>
      <c r="AA111" s="2">
        <v>0.2638658033299493</v>
      </c>
      <c r="AB111" s="2">
        <v>0.31313603636363629</v>
      </c>
      <c r="AC111" s="2">
        <v>3.1313603636363624E-2</v>
      </c>
    </row>
    <row r="112" spans="1:29">
      <c r="A112" s="205">
        <v>2031</v>
      </c>
      <c r="B112" s="2">
        <v>0.40242092842551153</v>
      </c>
      <c r="C112" s="2">
        <v>8.1702758989271054E-2</v>
      </c>
      <c r="D112" s="2">
        <v>0.49739214503330414</v>
      </c>
      <c r="E112" s="2">
        <v>1.8484167551913327E-2</v>
      </c>
      <c r="F112" s="2">
        <v>9.5262430151739214E-3</v>
      </c>
      <c r="G112" s="2">
        <v>9.8304814873686058E-2</v>
      </c>
      <c r="H112" s="2">
        <v>0.83955765962333628</v>
      </c>
      <c r="I112" s="2">
        <v>5.2611282487803702E-2</v>
      </c>
      <c r="J112" s="2">
        <v>0.13377608181161418</v>
      </c>
      <c r="K112" s="2">
        <v>0.3083199247457627</v>
      </c>
      <c r="L112" s="2">
        <v>0.52854062536669555</v>
      </c>
      <c r="M112" s="2">
        <v>2.9363368075927536E-2</v>
      </c>
      <c r="N112" s="2">
        <v>0.55516776898891984</v>
      </c>
      <c r="O112" s="2">
        <v>6.9612977929873476E-2</v>
      </c>
      <c r="P112" s="2">
        <v>0.25161651938976543</v>
      </c>
      <c r="Q112" s="2">
        <v>0.12360273369144102</v>
      </c>
      <c r="R112" s="2">
        <v>0.22103445750824841</v>
      </c>
      <c r="S112" s="2">
        <v>1.9445823235714876E-2</v>
      </c>
      <c r="T112" s="2">
        <v>0.35412441336958966</v>
      </c>
      <c r="U112" s="2">
        <v>0.40539530588644707</v>
      </c>
      <c r="V112" s="2">
        <v>0.33140299999999989</v>
      </c>
      <c r="W112" s="2">
        <v>1E-3</v>
      </c>
      <c r="X112" s="2">
        <v>0.20718527586206897</v>
      </c>
      <c r="Y112" s="2">
        <v>0.46041172413793113</v>
      </c>
      <c r="Z112" s="2">
        <v>0.3852872843045686</v>
      </c>
      <c r="AA112" s="2">
        <v>0.25950663569543153</v>
      </c>
      <c r="AB112" s="2">
        <v>0.3229146181818181</v>
      </c>
      <c r="AC112" s="2">
        <v>3.2291461818181807E-2</v>
      </c>
    </row>
    <row r="113" spans="1:29">
      <c r="A113" s="205">
        <v>2032</v>
      </c>
      <c r="B113" s="2">
        <v>0.39156333597995346</v>
      </c>
      <c r="C113" s="2">
        <v>8.0273509518051719E-2</v>
      </c>
      <c r="D113" s="2">
        <v>0.50923874179996909</v>
      </c>
      <c r="E113" s="2">
        <v>1.8924412702025876E-2</v>
      </c>
      <c r="F113" s="2">
        <v>9.3089500769294297E-3</v>
      </c>
      <c r="G113" s="2">
        <v>9.6036080231061166E-2</v>
      </c>
      <c r="H113" s="2">
        <v>0.84190452408978911</v>
      </c>
      <c r="I113" s="2">
        <v>5.2750445602220197E-2</v>
      </c>
      <c r="J113" s="2">
        <v>0.12935532083356471</v>
      </c>
      <c r="K113" s="2">
        <v>0.29780829883856624</v>
      </c>
      <c r="L113" s="2">
        <v>0.54268709715271801</v>
      </c>
      <c r="M113" s="2">
        <v>3.0149283175151004E-2</v>
      </c>
      <c r="N113" s="2">
        <v>0.54299247861306787</v>
      </c>
      <c r="O113" s="2">
        <v>6.6534959438000946E-2</v>
      </c>
      <c r="P113" s="2">
        <v>0.26170813041635926</v>
      </c>
      <c r="Q113" s="2">
        <v>0.12876443153257214</v>
      </c>
      <c r="R113" s="2">
        <v>0.21453894374989094</v>
      </c>
      <c r="S113" s="2">
        <v>1.9372516623713556E-2</v>
      </c>
      <c r="T113" s="2">
        <v>0.35718979836359194</v>
      </c>
      <c r="U113" s="2">
        <v>0.40889874126280368</v>
      </c>
      <c r="V113" s="2">
        <v>0.32052947368421042</v>
      </c>
      <c r="W113" s="2">
        <v>1E-3</v>
      </c>
      <c r="X113" s="2">
        <v>0.21055981851179673</v>
      </c>
      <c r="Y113" s="2">
        <v>0.4679107078039928</v>
      </c>
      <c r="Z113" s="2">
        <v>0.37889001193908639</v>
      </c>
      <c r="AA113" s="2">
        <v>0.25514746806091376</v>
      </c>
      <c r="AB113" s="2">
        <v>0.33269319999999991</v>
      </c>
      <c r="AC113" s="2">
        <v>3.3269319999999991E-2</v>
      </c>
    </row>
    <row r="114" spans="1:29">
      <c r="A114" s="205">
        <v>2033</v>
      </c>
      <c r="B114" s="2">
        <v>0.38070574353439535</v>
      </c>
      <c r="C114" s="2">
        <v>7.8844260046832371E-2</v>
      </c>
      <c r="D114" s="2">
        <v>0.52108533856663397</v>
      </c>
      <c r="E114" s="2">
        <v>1.9364657852138423E-2</v>
      </c>
      <c r="F114" s="2">
        <v>9.0923292722752385E-3</v>
      </c>
      <c r="G114" s="2">
        <v>9.3774363270525282E-2</v>
      </c>
      <c r="H114" s="2">
        <v>0.84424412920187686</v>
      </c>
      <c r="I114" s="2">
        <v>5.2889178255322647E-2</v>
      </c>
      <c r="J114" s="2">
        <v>0.12493455985551526</v>
      </c>
      <c r="K114" s="2">
        <v>0.28729667293136979</v>
      </c>
      <c r="L114" s="2">
        <v>0.55683356893874048</v>
      </c>
      <c r="M114" s="2">
        <v>3.0935198274374472E-2</v>
      </c>
      <c r="N114" s="2">
        <v>0.53081499721008762</v>
      </c>
      <c r="O114" s="2">
        <v>6.3456387035559697E-2</v>
      </c>
      <c r="P114" s="2">
        <v>0.27180155749767043</v>
      </c>
      <c r="Q114" s="2">
        <v>0.1339270582566823</v>
      </c>
      <c r="R114" s="2">
        <v>0.20809221947247319</v>
      </c>
      <c r="S114" s="2">
        <v>1.929976063660228E-2</v>
      </c>
      <c r="T114" s="2">
        <v>0.36023215845944107</v>
      </c>
      <c r="U114" s="2">
        <v>0.41237586143148341</v>
      </c>
      <c r="V114" s="2">
        <v>0.30965594736842095</v>
      </c>
      <c r="W114" s="2">
        <v>1E-3</v>
      </c>
      <c r="X114" s="2">
        <v>0.21393436116152451</v>
      </c>
      <c r="Y114" s="2">
        <v>0.47540969147005457</v>
      </c>
      <c r="Z114" s="2">
        <v>0.37249273957360413</v>
      </c>
      <c r="AA114" s="2">
        <v>0.25078830042639594</v>
      </c>
      <c r="AB114" s="2">
        <v>0.34247178181818166</v>
      </c>
      <c r="AC114" s="2">
        <v>3.4247178181818168E-2</v>
      </c>
    </row>
    <row r="115" spans="1:29">
      <c r="A115" s="205">
        <v>2034</v>
      </c>
      <c r="B115" s="2">
        <v>0.36984815108883723</v>
      </c>
      <c r="C115" s="2">
        <v>7.7415010575613022E-2</v>
      </c>
      <c r="D115" s="2">
        <v>0.53293193533329886</v>
      </c>
      <c r="E115" s="2">
        <v>1.9804903002250969E-2</v>
      </c>
      <c r="F115" s="2">
        <v>8.8763774874474205E-3</v>
      </c>
      <c r="G115" s="2">
        <v>9.1519631481569108E-2</v>
      </c>
      <c r="H115" s="2">
        <v>0.84657650858969302</v>
      </c>
      <c r="I115" s="2">
        <v>5.3027482441290373E-2</v>
      </c>
      <c r="J115" s="2">
        <v>0.12051379887746579</v>
      </c>
      <c r="K115" s="2">
        <v>0.27678504702417328</v>
      </c>
      <c r="L115" s="2">
        <v>0.57098004072476294</v>
      </c>
      <c r="M115" s="2">
        <v>3.1721113373597939E-2</v>
      </c>
      <c r="N115" s="2">
        <v>0.51863532418849079</v>
      </c>
      <c r="O115" s="2">
        <v>6.0377260573016289E-2</v>
      </c>
      <c r="P115" s="2">
        <v>0.28189680112396048</v>
      </c>
      <c r="Q115" s="2">
        <v>0.13909061411453247</v>
      </c>
      <c r="R115" s="2">
        <v>0.20169373702717841</v>
      </c>
      <c r="S115" s="2">
        <v>1.9227549093764583E-2</v>
      </c>
      <c r="T115" s="2">
        <v>0.36325175210543365</v>
      </c>
      <c r="U115" s="2">
        <v>0.41582696177362344</v>
      </c>
      <c r="V115" s="2">
        <v>0.29878242105263147</v>
      </c>
      <c r="W115" s="2">
        <v>1E-3</v>
      </c>
      <c r="X115" s="2">
        <v>0.21730890381125229</v>
      </c>
      <c r="Y115" s="2">
        <v>0.48290867513611629</v>
      </c>
      <c r="Z115" s="2">
        <v>0.36609546720812192</v>
      </c>
      <c r="AA115" s="2">
        <v>0.24642913279187817</v>
      </c>
      <c r="AB115" s="2">
        <v>0.35225036363636347</v>
      </c>
      <c r="AC115" s="2">
        <v>3.5225036363636351E-2</v>
      </c>
    </row>
    <row r="116" spans="1:29">
      <c r="A116" s="205">
        <v>2035</v>
      </c>
      <c r="B116" s="2">
        <v>0.35899055864327906</v>
      </c>
      <c r="C116" s="2">
        <v>7.5985761104393659E-2</v>
      </c>
      <c r="D116" s="2">
        <v>0.54477853209996374</v>
      </c>
      <c r="E116" s="2">
        <v>2.0245148152363515E-2</v>
      </c>
      <c r="F116" s="2">
        <v>8.6610916278857288E-3</v>
      </c>
      <c r="G116" s="2">
        <v>8.9271852554187112E-2</v>
      </c>
      <c r="H116" s="2">
        <v>0.84890169567592333</v>
      </c>
      <c r="I116" s="2">
        <v>5.3165360142003903E-2</v>
      </c>
      <c r="J116" s="2">
        <v>0.11609303789941633</v>
      </c>
      <c r="K116" s="2">
        <v>0.26627342111697683</v>
      </c>
      <c r="L116" s="2">
        <v>0.5851265125107854</v>
      </c>
      <c r="M116" s="2">
        <v>3.2507028472821407E-2</v>
      </c>
      <c r="N116" s="2">
        <v>0.50645345895657556</v>
      </c>
      <c r="O116" s="2">
        <v>5.7297579900783442E-2</v>
      </c>
      <c r="P116" s="2">
        <v>0.29199386178566733</v>
      </c>
      <c r="Q116" s="2">
        <v>0.14425509935697381</v>
      </c>
      <c r="R116" s="2">
        <v>0.19534295693091802</v>
      </c>
      <c r="S116" s="2">
        <v>1.9155875906740186E-2</v>
      </c>
      <c r="T116" s="2">
        <v>0.3662488338962675</v>
      </c>
      <c r="U116" s="2">
        <v>0.41925233326607414</v>
      </c>
      <c r="V116" s="2">
        <v>0.287908894736842</v>
      </c>
      <c r="W116" s="2">
        <v>1E-3</v>
      </c>
      <c r="X116" s="2">
        <v>0.22068344646098004</v>
      </c>
      <c r="Y116" s="2">
        <v>0.49040765880217796</v>
      </c>
      <c r="Z116" s="2">
        <v>0.35969819484263971</v>
      </c>
      <c r="AA116" s="2">
        <v>0.2420699651573604</v>
      </c>
      <c r="AB116" s="2">
        <v>0.36202894545454528</v>
      </c>
      <c r="AC116" s="2">
        <v>3.6202894545454535E-2</v>
      </c>
    </row>
    <row r="117" spans="1:29">
      <c r="A117" s="205">
        <v>2036</v>
      </c>
      <c r="B117" s="2">
        <v>0.34813296619772094</v>
      </c>
      <c r="C117" s="2">
        <v>7.4556511633174311E-2</v>
      </c>
      <c r="D117" s="2">
        <v>0.55662512886662863</v>
      </c>
      <c r="E117" s="2">
        <v>2.0685393302476061E-2</v>
      </c>
      <c r="F117" s="2">
        <v>8.4464686180857739E-3</v>
      </c>
      <c r="G117" s="2">
        <v>8.7030994377334123E-2</v>
      </c>
      <c r="H117" s="2">
        <v>0.85121972367744048</v>
      </c>
      <c r="I117" s="2">
        <v>5.3302813327139618E-2</v>
      </c>
      <c r="J117" s="2">
        <v>0.11167227692136687</v>
      </c>
      <c r="K117" s="2">
        <v>0.25576179520978037</v>
      </c>
      <c r="L117" s="2">
        <v>0.59927298429680798</v>
      </c>
      <c r="M117" s="2">
        <v>3.3292943572044875E-2</v>
      </c>
      <c r="N117" s="2">
        <v>0.49426940092242705</v>
      </c>
      <c r="O117" s="2">
        <v>5.4217344869219981E-2</v>
      </c>
      <c r="P117" s="2">
        <v>0.30209273997340536</v>
      </c>
      <c r="Q117" s="2">
        <v>0.14942051423494768</v>
      </c>
      <c r="R117" s="2">
        <v>0.18903934771470327</v>
      </c>
      <c r="S117" s="2">
        <v>1.9084735077513793E-2</v>
      </c>
      <c r="T117" s="2">
        <v>0.36922365464459972</v>
      </c>
      <c r="U117" s="2">
        <v>0.42265226256318317</v>
      </c>
      <c r="V117" s="2">
        <v>0.27703536842105253</v>
      </c>
      <c r="W117" s="2">
        <v>1E-3</v>
      </c>
      <c r="X117" s="2">
        <v>0.22405798911070779</v>
      </c>
      <c r="Y117" s="2">
        <v>0.49790664246823962</v>
      </c>
      <c r="Z117" s="2">
        <v>0.3533009224771575</v>
      </c>
      <c r="AA117" s="2">
        <v>0.23771079752284263</v>
      </c>
      <c r="AB117" s="2">
        <v>0.37180752727272709</v>
      </c>
      <c r="AC117" s="2">
        <v>3.7180752727272719E-2</v>
      </c>
    </row>
    <row r="118" spans="1:29">
      <c r="A118" s="205">
        <v>2037</v>
      </c>
      <c r="B118" s="2">
        <v>0.33727537375216282</v>
      </c>
      <c r="C118" s="2">
        <v>7.3127262161954962E-2</v>
      </c>
      <c r="D118" s="2">
        <v>0.56847172563329362</v>
      </c>
      <c r="E118" s="2">
        <v>2.1125638452588611E-2</v>
      </c>
      <c r="F118" s="2">
        <v>8.2325054014525736E-3</v>
      </c>
      <c r="G118" s="2">
        <v>8.4797025037396306E-2</v>
      </c>
      <c r="H118" s="2">
        <v>0.85353062560688764</v>
      </c>
      <c r="I118" s="2">
        <v>5.3439843954263565E-2</v>
      </c>
      <c r="J118" s="2">
        <v>0.10725151594331739</v>
      </c>
      <c r="K118" s="2">
        <v>0.24525016930258386</v>
      </c>
      <c r="L118" s="2">
        <v>0.61341945608283033</v>
      </c>
      <c r="M118" s="2">
        <v>3.4078858671268336E-2</v>
      </c>
      <c r="N118" s="2">
        <v>0.48208314949391751</v>
      </c>
      <c r="O118" s="2">
        <v>5.113655532863088E-2</v>
      </c>
      <c r="P118" s="2">
        <v>0.31219343617796558</v>
      </c>
      <c r="Q118" s="2">
        <v>0.15458685899948596</v>
      </c>
      <c r="R118" s="2">
        <v>0.18278238577538217</v>
      </c>
      <c r="S118" s="2">
        <v>1.9014120696841798E-2</v>
      </c>
      <c r="T118" s="2">
        <v>0.37217646145101441</v>
      </c>
      <c r="U118" s="2">
        <v>0.42602703207676168</v>
      </c>
      <c r="V118" s="2">
        <v>0.26616184210526306</v>
      </c>
      <c r="W118" s="2">
        <v>1E-3</v>
      </c>
      <c r="X118" s="2">
        <v>0.22743253176043557</v>
      </c>
      <c r="Y118" s="2">
        <v>0.5054056261343014</v>
      </c>
      <c r="Z118" s="2">
        <v>0.34690365011167529</v>
      </c>
      <c r="AA118" s="2">
        <v>0.23335162988832486</v>
      </c>
      <c r="AB118" s="2">
        <v>0.38158610909090895</v>
      </c>
      <c r="AC118" s="2">
        <v>3.8158610909090902E-2</v>
      </c>
    </row>
    <row r="119" spans="1:29">
      <c r="A119" s="205">
        <v>2038</v>
      </c>
      <c r="B119" s="2">
        <v>0.3264177813066047</v>
      </c>
      <c r="C119" s="2">
        <v>7.1698012690735613E-2</v>
      </c>
      <c r="D119" s="2">
        <v>0.58031832239995851</v>
      </c>
      <c r="E119" s="2">
        <v>2.1565883602701157E-2</v>
      </c>
      <c r="F119" s="2">
        <v>8.0191989401554413E-3</v>
      </c>
      <c r="G119" s="2">
        <v>8.2569912816676014E-2</v>
      </c>
      <c r="H119" s="2">
        <v>0.8558344342742441</v>
      </c>
      <c r="I119" s="2">
        <v>5.3576453968924367E-2</v>
      </c>
      <c r="J119" s="2">
        <v>0.10283075496526795</v>
      </c>
      <c r="K119" s="2">
        <v>0.23473854339538744</v>
      </c>
      <c r="L119" s="2">
        <v>0.62756592786885279</v>
      </c>
      <c r="M119" s="2">
        <v>3.4864773770491811E-2</v>
      </c>
      <c r="N119" s="2">
        <v>0.46989470407870593</v>
      </c>
      <c r="O119" s="2">
        <v>4.8055211129267209E-2</v>
      </c>
      <c r="P119" s="2">
        <v>0.32229595089031587</v>
      </c>
      <c r="Q119" s="2">
        <v>0.15975413390171081</v>
      </c>
      <c r="R119" s="2">
        <v>0.17657155523065632</v>
      </c>
      <c r="S119" s="2">
        <v>1.8944026942616064E-2</v>
      </c>
      <c r="T119" s="2">
        <v>0.37510749777244423</v>
      </c>
      <c r="U119" s="2">
        <v>0.4293769200542833</v>
      </c>
      <c r="V119" s="2">
        <v>0.25528831578947359</v>
      </c>
      <c r="W119" s="2">
        <v>1E-3</v>
      </c>
      <c r="X119" s="2">
        <v>0.23080707441016335</v>
      </c>
      <c r="Y119" s="2">
        <v>0.51290460980036312</v>
      </c>
      <c r="Z119" s="2">
        <v>0.34050637774619308</v>
      </c>
      <c r="AA119" s="2">
        <v>0.22899246225380709</v>
      </c>
      <c r="AB119" s="2">
        <v>0.39136469090909076</v>
      </c>
      <c r="AC119" s="2">
        <v>3.9136469090909086E-2</v>
      </c>
    </row>
    <row r="120" spans="1:29">
      <c r="A120" s="205">
        <v>2039</v>
      </c>
      <c r="B120" s="2">
        <v>0.31556018886104659</v>
      </c>
      <c r="C120" s="2">
        <v>7.0268763219516264E-2</v>
      </c>
      <c r="D120" s="2">
        <v>0.59216491916662339</v>
      </c>
      <c r="E120" s="2">
        <v>2.2006128752813704E-2</v>
      </c>
      <c r="F120" s="2">
        <v>7.8065462149842302E-3</v>
      </c>
      <c r="G120" s="2">
        <v>8.0349626191890816E-2</v>
      </c>
      <c r="H120" s="2">
        <v>0.85813118228837959</v>
      </c>
      <c r="I120" s="2">
        <v>5.3712645304745343E-2</v>
      </c>
      <c r="J120" s="2">
        <v>9.8409993987218489E-2</v>
      </c>
      <c r="K120" s="2">
        <v>0.22422691748819096</v>
      </c>
      <c r="L120" s="2">
        <v>0.64171239965487525</v>
      </c>
      <c r="M120" s="2">
        <v>3.5650688869715279E-2</v>
      </c>
      <c r="N120" s="2">
        <v>0.45770406408423803</v>
      </c>
      <c r="O120" s="2">
        <v>4.4973312121326117E-2</v>
      </c>
      <c r="P120" s="2">
        <v>0.33240028460160098</v>
      </c>
      <c r="Q120" s="2">
        <v>0.16492233919283489</v>
      </c>
      <c r="R120" s="2">
        <v>0.17040634777729288</v>
      </c>
      <c r="S120" s="2">
        <v>1.8874448078263748E-2</v>
      </c>
      <c r="T120" s="2">
        <v>0.37801700348908368</v>
      </c>
      <c r="U120" s="2">
        <v>0.43270220065535969</v>
      </c>
      <c r="V120" s="2">
        <v>0.24441478947368411</v>
      </c>
      <c r="W120" s="2">
        <v>1E-3</v>
      </c>
      <c r="X120" s="2">
        <v>0.2341816170598911</v>
      </c>
      <c r="Y120" s="2">
        <v>0.52040359346642473</v>
      </c>
      <c r="Z120" s="2">
        <v>0.33410910538071087</v>
      </c>
      <c r="AA120" s="2">
        <v>0.22463329461928933</v>
      </c>
      <c r="AB120" s="2">
        <v>0.40114327272727257</v>
      </c>
      <c r="AC120" s="2">
        <v>4.011432727272727E-2</v>
      </c>
    </row>
    <row r="121" spans="1:29">
      <c r="A121" s="205">
        <v>2040</v>
      </c>
      <c r="B121" s="2">
        <v>0.30470259641548847</v>
      </c>
      <c r="C121" s="2">
        <v>6.8839513748296915E-2</v>
      </c>
      <c r="D121" s="2">
        <v>0.60401151593328839</v>
      </c>
      <c r="E121" s="2">
        <v>2.2446373902926253E-2</v>
      </c>
      <c r="F121" s="2">
        <v>7.5945442252068618E-3</v>
      </c>
      <c r="G121" s="2">
        <v>7.8136133832686111E-2</v>
      </c>
      <c r="H121" s="2">
        <v>0.86042090205859134</v>
      </c>
      <c r="I121" s="2">
        <v>5.3848419883515672E-2</v>
      </c>
      <c r="J121" s="2">
        <v>9.3989233009169018E-2</v>
      </c>
      <c r="K121" s="2">
        <v>0.21371529158099448</v>
      </c>
      <c r="L121" s="2">
        <v>0.65585887144089772</v>
      </c>
      <c r="M121" s="2">
        <v>3.643660396893874E-2</v>
      </c>
      <c r="N121" s="2">
        <v>0.44551122891774575</v>
      </c>
      <c r="O121" s="2">
        <v>4.1890858154950777E-2</v>
      </c>
      <c r="P121" s="2">
        <v>0.34250643780314211</v>
      </c>
      <c r="Q121" s="2">
        <v>0.17009147512416123</v>
      </c>
      <c r="R121" s="2">
        <v>0.16428626255244896</v>
      </c>
      <c r="S121" s="2">
        <v>1.8805378451182225E-2</v>
      </c>
      <c r="T121" s="2">
        <v>0.38090521496983276</v>
      </c>
      <c r="U121" s="2">
        <v>0.43600314402653617</v>
      </c>
      <c r="V121" s="2">
        <v>0.23354126315789464</v>
      </c>
      <c r="W121" s="2">
        <v>1E-3</v>
      </c>
      <c r="X121" s="2">
        <v>0.23755615970961885</v>
      </c>
      <c r="Y121" s="2">
        <v>0.52790257713248645</v>
      </c>
      <c r="Z121" s="2">
        <v>0.32771183301522866</v>
      </c>
      <c r="AA121" s="2">
        <v>0.22027412698477156</v>
      </c>
      <c r="AB121" s="2">
        <v>0.41092185454545438</v>
      </c>
      <c r="AC121" s="2">
        <v>4.1092185454545453E-2</v>
      </c>
    </row>
    <row r="122" spans="1:29">
      <c r="A122" s="205">
        <v>2041</v>
      </c>
      <c r="B122" s="2">
        <v>0.29384500396993035</v>
      </c>
      <c r="C122" s="2">
        <v>6.7410264277077567E-2</v>
      </c>
      <c r="D122" s="2">
        <v>0.61585811269995328</v>
      </c>
      <c r="E122" s="2">
        <v>2.2886619053038799E-2</v>
      </c>
      <c r="F122" s="2">
        <v>7.3831899884281979E-3</v>
      </c>
      <c r="G122" s="2">
        <v>7.5929404600161426E-2</v>
      </c>
      <c r="H122" s="2">
        <v>0.86270362579612958</v>
      </c>
      <c r="I122" s="2">
        <v>5.3983779615280843E-2</v>
      </c>
      <c r="J122" s="2">
        <v>8.9568472031119548E-2</v>
      </c>
      <c r="K122" s="2">
        <v>0.20320366567379802</v>
      </c>
      <c r="L122" s="2">
        <v>0.67000534322692018</v>
      </c>
      <c r="M122" s="2">
        <v>3.7222519068162215E-2</v>
      </c>
      <c r="N122" s="2">
        <v>0.43331619798624815</v>
      </c>
      <c r="O122" s="2">
        <v>3.8807849080230425E-2</v>
      </c>
      <c r="P122" s="2">
        <v>0.35261441098643798</v>
      </c>
      <c r="Q122" s="2">
        <v>0.17526154194708349</v>
      </c>
      <c r="R122" s="2">
        <v>0.15821080599803067</v>
      </c>
      <c r="S122" s="2">
        <v>1.8736812491208298E-2</v>
      </c>
      <c r="T122" s="2">
        <v>0.38377236513630936</v>
      </c>
      <c r="U122" s="2">
        <v>0.43928001637445158</v>
      </c>
      <c r="V122" s="2">
        <v>0.22266773684210517</v>
      </c>
      <c r="W122" s="2">
        <v>1E-3</v>
      </c>
      <c r="X122" s="2">
        <v>0.24093070235934663</v>
      </c>
      <c r="Y122" s="2">
        <v>0.53540156079854817</v>
      </c>
      <c r="Z122" s="2">
        <v>0.32131456064974645</v>
      </c>
      <c r="AA122" s="2">
        <v>0.21591495935025379</v>
      </c>
      <c r="AB122" s="2">
        <v>0.42070043636363619</v>
      </c>
      <c r="AC122" s="2">
        <v>4.2070043636363637E-2</v>
      </c>
    </row>
    <row r="123" spans="1:29">
      <c r="A123" s="205">
        <v>2042</v>
      </c>
      <c r="B123" s="2">
        <v>0.28298741152437218</v>
      </c>
      <c r="C123" s="2">
        <v>6.5981014805858204E-2</v>
      </c>
      <c r="D123" s="2">
        <v>0.62770470946661816</v>
      </c>
      <c r="E123" s="2">
        <v>2.3326864203151346E-2</v>
      </c>
      <c r="F123" s="2">
        <v>7.1724805404501761E-3</v>
      </c>
      <c r="G123" s="2">
        <v>7.3729407545410269E-2</v>
      </c>
      <c r="H123" s="2">
        <v>0.8649793855157073</v>
      </c>
      <c r="I123" s="2">
        <v>5.411872639843221E-2</v>
      </c>
      <c r="J123" s="2">
        <v>8.5147711053070091E-2</v>
      </c>
      <c r="K123" s="2">
        <v>0.19269203976660157</v>
      </c>
      <c r="L123" s="2">
        <v>0.68415181501294264</v>
      </c>
      <c r="M123" s="2">
        <v>3.8008434167385682E-2</v>
      </c>
      <c r="N123" s="2">
        <v>0.42111897069655008</v>
      </c>
      <c r="O123" s="2">
        <v>3.5724284747200269E-2</v>
      </c>
      <c r="P123" s="2">
        <v>0.36272420464316379</v>
      </c>
      <c r="Q123" s="2">
        <v>0.18043253991308578</v>
      </c>
      <c r="R123" s="2">
        <v>0.15217949172800818</v>
      </c>
      <c r="S123" s="2">
        <v>1.8668744709120746E-2</v>
      </c>
      <c r="T123" s="2">
        <v>0.38661868352546691</v>
      </c>
      <c r="U123" s="2">
        <v>0.44253308003740416</v>
      </c>
      <c r="V123" s="2">
        <v>0.2117942105263157</v>
      </c>
      <c r="W123" s="2">
        <v>1E-3</v>
      </c>
      <c r="X123" s="2">
        <v>0.24430524500907441</v>
      </c>
      <c r="Y123" s="2">
        <v>0.54290054446460989</v>
      </c>
      <c r="Z123" s="2">
        <v>0.31491728828426424</v>
      </c>
      <c r="AA123" s="2">
        <v>0.21155579171573599</v>
      </c>
      <c r="AB123" s="2">
        <v>0.43047901818181794</v>
      </c>
      <c r="AC123" s="2">
        <v>4.304790181818182E-2</v>
      </c>
    </row>
    <row r="124" spans="1:29">
      <c r="A124" s="205">
        <v>2043</v>
      </c>
      <c r="B124" s="2">
        <v>0.27212981907881412</v>
      </c>
      <c r="C124" s="2">
        <v>6.4551765334638869E-2</v>
      </c>
      <c r="D124" s="2">
        <v>0.63955130623328316</v>
      </c>
      <c r="E124" s="2">
        <v>2.3767109353263895E-2</v>
      </c>
      <c r="F124" s="2">
        <v>6.9624129351332428E-3</v>
      </c>
      <c r="G124" s="2">
        <v>7.1536111908073269E-2</v>
      </c>
      <c r="H124" s="2">
        <v>0.86724821303699784</v>
      </c>
      <c r="I124" s="2">
        <v>5.4253262119795725E-2</v>
      </c>
      <c r="J124" s="2">
        <v>8.0726950075020648E-2</v>
      </c>
      <c r="K124" s="2">
        <v>0.18218041385940512</v>
      </c>
      <c r="L124" s="2">
        <v>0.69829828679896522</v>
      </c>
      <c r="M124" s="2">
        <v>3.879434926660915E-2</v>
      </c>
      <c r="N124" s="2">
        <v>0.4089195464552432</v>
      </c>
      <c r="O124" s="2">
        <v>3.2640165005841507E-2</v>
      </c>
      <c r="P124" s="2">
        <v>0.37283581926517245</v>
      </c>
      <c r="Q124" s="2">
        <v>0.18560446927374288</v>
      </c>
      <c r="R124" s="2">
        <v>0.14619184039861247</v>
      </c>
      <c r="S124" s="2">
        <v>1.8601169695175397E-2</v>
      </c>
      <c r="T124" s="2">
        <v>0.3894443963508506</v>
      </c>
      <c r="U124" s="2">
        <v>0.44576259355536146</v>
      </c>
      <c r="V124" s="2">
        <v>0.20092068421052622</v>
      </c>
      <c r="W124" s="2">
        <v>1E-3</v>
      </c>
      <c r="X124" s="2">
        <v>0.24767978765880216</v>
      </c>
      <c r="Y124" s="2">
        <v>0.55039952813067161</v>
      </c>
      <c r="Z124" s="2">
        <v>0.30852001591878203</v>
      </c>
      <c r="AA124" s="2">
        <v>0.20719662408121822</v>
      </c>
      <c r="AB124" s="2">
        <v>0.44025759999999975</v>
      </c>
      <c r="AC124" s="2">
        <v>4.4025760000000004E-2</v>
      </c>
    </row>
    <row r="125" spans="1:29">
      <c r="A125" s="205">
        <v>2044</v>
      </c>
      <c r="B125" s="2">
        <v>0.261272226633256</v>
      </c>
      <c r="C125" s="2">
        <v>6.312251586341952E-2</v>
      </c>
      <c r="D125" s="2">
        <v>0.65139790299994804</v>
      </c>
      <c r="E125" s="2">
        <v>2.4207354503376442E-2</v>
      </c>
      <c r="F125" s="2">
        <v>6.7529842442590332E-3</v>
      </c>
      <c r="G125" s="2">
        <v>6.9349487114904476E-2</v>
      </c>
      <c r="H125" s="2">
        <v>0.86951013998611659</v>
      </c>
      <c r="I125" s="2">
        <v>5.4387388654719884E-2</v>
      </c>
      <c r="J125" s="2">
        <v>7.6306189096971164E-2</v>
      </c>
      <c r="K125" s="2">
        <v>0.17166878795220861</v>
      </c>
      <c r="L125" s="2">
        <v>0.71244475858498757</v>
      </c>
      <c r="M125" s="2">
        <v>3.9580264365832611E-2</v>
      </c>
      <c r="N125" s="2">
        <v>0.39671792466870504</v>
      </c>
      <c r="O125" s="2">
        <v>2.9555489706081288E-2</v>
      </c>
      <c r="P125" s="2">
        <v>0.38294925534449353</v>
      </c>
      <c r="Q125" s="2">
        <v>0.19077733028072014</v>
      </c>
      <c r="R125" s="2">
        <v>0.14024737958134126</v>
      </c>
      <c r="S125" s="2">
        <v>1.8534082117671914E-2</v>
      </c>
      <c r="T125" s="2">
        <v>0.39224972656252971</v>
      </c>
      <c r="U125" s="2">
        <v>0.4489688117384571</v>
      </c>
      <c r="V125" s="2">
        <v>0.19004715789473678</v>
      </c>
      <c r="W125" s="2">
        <v>1.0000000000000002E-3</v>
      </c>
      <c r="X125" s="2">
        <v>0.25105433030852997</v>
      </c>
      <c r="Y125" s="2">
        <v>0.55789851179673333</v>
      </c>
      <c r="Z125" s="2">
        <v>0.30212274355329982</v>
      </c>
      <c r="AA125" s="2">
        <v>0.20283745644670045</v>
      </c>
      <c r="AB125" s="2">
        <v>0.45003618181818156</v>
      </c>
      <c r="AC125" s="2">
        <v>4.5003618181818188E-2</v>
      </c>
    </row>
    <row r="126" spans="1:29">
      <c r="A126" s="205">
        <v>2045</v>
      </c>
      <c r="B126" s="2">
        <v>0.25041463418769788</v>
      </c>
      <c r="C126" s="2">
        <v>6.1693266392200172E-2</v>
      </c>
      <c r="D126" s="2">
        <v>0.66324449976661293</v>
      </c>
      <c r="E126" s="2">
        <v>2.4647599653488988E-2</v>
      </c>
      <c r="F126" s="2">
        <v>6.5441915573943204E-3</v>
      </c>
      <c r="G126" s="2">
        <v>6.7169502778350848E-2</v>
      </c>
      <c r="H126" s="2">
        <v>0.87176519779709194</v>
      </c>
      <c r="I126" s="2">
        <v>5.4521107867162896E-2</v>
      </c>
      <c r="J126" s="2">
        <v>7.1885428118921707E-2</v>
      </c>
      <c r="K126" s="2">
        <v>0.16115716204501218</v>
      </c>
      <c r="L126" s="2">
        <v>0.72659123037101003</v>
      </c>
      <c r="M126" s="2">
        <v>4.0366179465056086E-2</v>
      </c>
      <c r="N126" s="2">
        <v>0.38451410474309933</v>
      </c>
      <c r="O126" s="2">
        <v>2.6470258697792681E-2</v>
      </c>
      <c r="P126" s="2">
        <v>0.3930645133733342</v>
      </c>
      <c r="Q126" s="2">
        <v>0.19595112318577365</v>
      </c>
      <c r="R126" s="2">
        <v>0.13434564363870299</v>
      </c>
      <c r="S126" s="2">
        <v>1.8467476721551464E-2</v>
      </c>
      <c r="T126" s="2">
        <v>0.39503489390573643</v>
      </c>
      <c r="U126" s="2">
        <v>0.45215198573400922</v>
      </c>
      <c r="V126" s="2">
        <v>0.17917363157894728</v>
      </c>
      <c r="W126" s="2">
        <v>1E-3</v>
      </c>
      <c r="X126" s="2">
        <v>0.25442887295825772</v>
      </c>
      <c r="Y126" s="2">
        <v>0.56539749546279505</v>
      </c>
      <c r="Z126" s="2">
        <v>0.29572547118781761</v>
      </c>
      <c r="AA126" s="2">
        <v>0.19847828881218268</v>
      </c>
      <c r="AB126" s="2">
        <v>0.45981476363636337</v>
      </c>
      <c r="AC126" s="2">
        <v>4.5981476363636371E-2</v>
      </c>
    </row>
    <row r="127" spans="1:29">
      <c r="A127" s="205">
        <v>2046</v>
      </c>
      <c r="B127" s="2">
        <v>0.23955704174213976</v>
      </c>
      <c r="C127" s="2">
        <v>6.026401692098083E-2</v>
      </c>
      <c r="D127" s="2">
        <v>0.67509109653327792</v>
      </c>
      <c r="E127" s="2">
        <v>2.5087844803601541E-2</v>
      </c>
      <c r="F127" s="2">
        <v>6.3360319817561865E-3</v>
      </c>
      <c r="G127" s="2">
        <v>6.4996128695144512E-2</v>
      </c>
      <c r="H127" s="2">
        <v>0.8740134177133202</v>
      </c>
      <c r="I127" s="2">
        <v>5.4654421609778979E-2</v>
      </c>
      <c r="J127" s="2">
        <v>6.746466714087225E-2</v>
      </c>
      <c r="K127" s="2">
        <v>0.15064553613781573</v>
      </c>
      <c r="L127" s="2">
        <v>0.7407377021570325</v>
      </c>
      <c r="M127" s="2">
        <v>4.1152094564279554E-2</v>
      </c>
      <c r="N127" s="2">
        <v>0.3723080860843761</v>
      </c>
      <c r="O127" s="2">
        <v>2.3384471830794683E-2</v>
      </c>
      <c r="P127" s="2">
        <v>0.40318159384407903</v>
      </c>
      <c r="Q127" s="2">
        <v>0.20112584824075025</v>
      </c>
      <c r="R127" s="2">
        <v>0.12848617360263037</v>
      </c>
      <c r="S127" s="2">
        <v>1.8401348327024534E-2</v>
      </c>
      <c r="T127" s="2">
        <v>0.39780011497824541</v>
      </c>
      <c r="U127" s="2">
        <v>0.4553123630920996</v>
      </c>
      <c r="V127" s="2">
        <v>0.16830010526315781</v>
      </c>
      <c r="W127" s="2">
        <v>1E-3</v>
      </c>
      <c r="X127" s="2">
        <v>0.25780341560798548</v>
      </c>
      <c r="Y127" s="2">
        <v>0.57289647912885677</v>
      </c>
      <c r="Z127" s="2">
        <v>0.2893281988223354</v>
      </c>
      <c r="AA127" s="2">
        <v>0.19411912117766492</v>
      </c>
      <c r="AB127" s="2">
        <v>0.46959334545454517</v>
      </c>
      <c r="AC127" s="2">
        <v>4.6959334545454555E-2</v>
      </c>
    </row>
    <row r="128" spans="1:29">
      <c r="A128" s="205">
        <v>2047</v>
      </c>
      <c r="B128" s="2">
        <v>0.22869944929658159</v>
      </c>
      <c r="C128" s="2">
        <v>5.8834767449761474E-2</v>
      </c>
      <c r="D128" s="2">
        <v>0.68693769329994281</v>
      </c>
      <c r="E128" s="2">
        <v>2.5528089953714091E-2</v>
      </c>
      <c r="F128" s="2">
        <v>6.1285026420784287E-3</v>
      </c>
      <c r="G128" s="2">
        <v>6.282933484490795E-2</v>
      </c>
      <c r="H128" s="2">
        <v>0.87625483078900968</v>
      </c>
      <c r="I128" s="2">
        <v>5.4787331724003956E-2</v>
      </c>
      <c r="J128" s="2">
        <v>6.3043906162822794E-2</v>
      </c>
      <c r="K128" s="2">
        <v>0.14013391023061925</v>
      </c>
      <c r="L128" s="2">
        <v>0.75488417394305496</v>
      </c>
      <c r="M128" s="2">
        <v>4.1938009663503015E-2</v>
      </c>
      <c r="N128" s="2">
        <v>0.36009986809827077</v>
      </c>
      <c r="O128" s="2">
        <v>2.029812895485214E-2</v>
      </c>
      <c r="P128" s="2">
        <v>0.41330049724928969</v>
      </c>
      <c r="Q128" s="2">
        <v>0.20630150569758737</v>
      </c>
      <c r="R128" s="2">
        <v>0.12266851705549715</v>
      </c>
      <c r="S128" s="2">
        <v>1.833569182822813E-2</v>
      </c>
      <c r="T128" s="2">
        <v>0.40054560328652528</v>
      </c>
      <c r="U128" s="2">
        <v>0.45845018782974944</v>
      </c>
      <c r="V128" s="2">
        <v>0.15742657894736833</v>
      </c>
      <c r="W128" s="2">
        <v>1E-3</v>
      </c>
      <c r="X128" s="2">
        <v>0.26117795825771323</v>
      </c>
      <c r="Y128" s="2">
        <v>0.58039546279491838</v>
      </c>
      <c r="Z128" s="2">
        <v>0.28293092645685319</v>
      </c>
      <c r="AA128" s="2">
        <v>0.18975995354314715</v>
      </c>
      <c r="AB128" s="2">
        <v>0.47937192727272698</v>
      </c>
      <c r="AC128" s="2">
        <v>4.7937192727272739E-2</v>
      </c>
    </row>
    <row r="129" spans="1:29">
      <c r="A129" s="205">
        <v>2048</v>
      </c>
      <c r="B129" s="2">
        <v>0.21784185685102345</v>
      </c>
      <c r="C129" s="2">
        <v>5.7405517978542125E-2</v>
      </c>
      <c r="D129" s="2">
        <v>0.69878429006660769</v>
      </c>
      <c r="E129" s="2">
        <v>2.5968335103826637E-2</v>
      </c>
      <c r="F129" s="2">
        <v>5.9216006804791678E-3</v>
      </c>
      <c r="G129" s="2">
        <v>6.0669091388771662E-2</v>
      </c>
      <c r="H129" s="2">
        <v>0.87848946789060911</v>
      </c>
      <c r="I129" s="2">
        <v>5.4919840040140021E-2</v>
      </c>
      <c r="J129" s="2">
        <v>5.862314518477333E-2</v>
      </c>
      <c r="K129" s="2">
        <v>0.12962228432342279</v>
      </c>
      <c r="L129" s="2">
        <v>0.76903064572907742</v>
      </c>
      <c r="M129" s="2">
        <v>4.2723924762726483E-2</v>
      </c>
      <c r="N129" s="2">
        <v>0.34788945019030515</v>
      </c>
      <c r="O129" s="2">
        <v>1.7211229919675775E-2</v>
      </c>
      <c r="P129" s="2">
        <v>0.42342122408170574</v>
      </c>
      <c r="Q129" s="2">
        <v>0.21147809580831342</v>
      </c>
      <c r="R129" s="2">
        <v>0.11689222801367274</v>
      </c>
      <c r="S129" s="2">
        <v>1.8270502191911574E-2</v>
      </c>
      <c r="T129" s="2">
        <v>0.40327156930069097</v>
      </c>
      <c r="U129" s="2">
        <v>0.46156570049372481</v>
      </c>
      <c r="V129" s="2">
        <v>0.14655305263157886</v>
      </c>
      <c r="W129" s="2">
        <v>1E-3</v>
      </c>
      <c r="X129" s="2">
        <v>0.26455250090744098</v>
      </c>
      <c r="Y129" s="2">
        <v>0.5878944464609801</v>
      </c>
      <c r="Z129" s="2">
        <v>0.27653365409137098</v>
      </c>
      <c r="AA129" s="2">
        <v>0.18540078590862938</v>
      </c>
      <c r="AB129" s="2">
        <v>0.48915050909090879</v>
      </c>
      <c r="AC129" s="2">
        <v>4.8915050909090922E-2</v>
      </c>
    </row>
    <row r="130" spans="1:29">
      <c r="A130" s="205">
        <v>2049</v>
      </c>
      <c r="B130" s="2">
        <v>0.2069842644054653</v>
      </c>
      <c r="C130" s="2">
        <v>5.5976268507322777E-2</v>
      </c>
      <c r="D130" s="2">
        <v>0.71063088683327269</v>
      </c>
      <c r="E130" s="2">
        <v>2.6408580253939187E-2</v>
      </c>
      <c r="F130" s="2">
        <v>5.7153232563296706E-3</v>
      </c>
      <c r="G130" s="2">
        <v>5.8515368668004601E-2</v>
      </c>
      <c r="H130" s="2">
        <v>0.88071735969822595</v>
      </c>
      <c r="I130" s="2">
        <v>5.505194837743977E-2</v>
      </c>
      <c r="J130" s="2">
        <v>5.4202384206723866E-2</v>
      </c>
      <c r="K130" s="2">
        <v>0.11911065841622634</v>
      </c>
      <c r="L130" s="2">
        <v>0.78317711751509989</v>
      </c>
      <c r="M130" s="2">
        <v>4.350983986194995E-2</v>
      </c>
      <c r="N130" s="2">
        <v>0.33567683176578628</v>
      </c>
      <c r="O130" s="2">
        <v>1.4123774574922128E-2</v>
      </c>
      <c r="P130" s="2">
        <v>0.43354377483424406</v>
      </c>
      <c r="Q130" s="2">
        <v>0.21665561882504752</v>
      </c>
      <c r="R130" s="2">
        <v>0.11115686681355212</v>
      </c>
      <c r="S130" s="2">
        <v>1.8205774456150299E-2</v>
      </c>
      <c r="T130" s="2">
        <v>0.40597822050828963</v>
      </c>
      <c r="U130" s="2">
        <v>0.46465913822200788</v>
      </c>
      <c r="V130" s="2">
        <v>0.13567952631578939</v>
      </c>
      <c r="W130" s="2">
        <v>1E-3</v>
      </c>
      <c r="X130" s="2">
        <v>0.26792704355716879</v>
      </c>
      <c r="Y130" s="2">
        <v>0.59539343012704182</v>
      </c>
      <c r="Z130" s="2">
        <v>0.27013638172588872</v>
      </c>
      <c r="AA130" s="2">
        <v>0.18104161827411158</v>
      </c>
      <c r="AB130" s="2">
        <v>0.49892909090909054</v>
      </c>
      <c r="AC130" s="2">
        <v>4.9892909090909099E-2</v>
      </c>
    </row>
    <row r="131" spans="1:29">
      <c r="A131" s="205">
        <v>2050</v>
      </c>
      <c r="B131" s="2">
        <v>0.19612667195990693</v>
      </c>
      <c r="C131" s="2">
        <v>5.454701903610347E-2</v>
      </c>
      <c r="D131" s="2">
        <v>0.72247748359993791</v>
      </c>
      <c r="E131" s="2">
        <v>2.6848825404051743E-2</v>
      </c>
      <c r="F131" s="2">
        <v>5.5096675461243508E-3</v>
      </c>
      <c r="G131" s="2">
        <v>5.6368137202656821E-2</v>
      </c>
      <c r="H131" s="2">
        <v>0.88293853670702949</v>
      </c>
      <c r="I131" s="2">
        <v>5.5183658544189343E-2</v>
      </c>
      <c r="J131" s="2">
        <v>4.9781623228674632E-2</v>
      </c>
      <c r="K131" s="2">
        <v>0.10859903250903027</v>
      </c>
      <c r="L131" s="2">
        <v>0.79732358930112168</v>
      </c>
      <c r="M131" s="2">
        <v>4.4295754961173425E-2</v>
      </c>
      <c r="N131" s="2">
        <v>0.32346201222980664</v>
      </c>
      <c r="O131" s="2">
        <v>1.1035762770193401E-2</v>
      </c>
      <c r="P131" s="2">
        <v>0.44366815000000004</v>
      </c>
      <c r="Q131" s="2">
        <v>0.22183407500000002</v>
      </c>
      <c r="R131" s="2">
        <v>0.105462</v>
      </c>
      <c r="S131" s="2">
        <v>1.8141503729086829E-2</v>
      </c>
      <c r="T131" s="2">
        <v>0.40866576146694683</v>
      </c>
      <c r="U131" s="2">
        <v>0.46773073480396643</v>
      </c>
      <c r="V131" s="2">
        <v>0.12480600000000003</v>
      </c>
      <c r="W131" s="2">
        <v>1E-3</v>
      </c>
      <c r="X131" s="2">
        <v>0.27130158620689648</v>
      </c>
      <c r="Y131" s="2">
        <v>0.60289241379310343</v>
      </c>
      <c r="Z131" s="2">
        <v>0.27013638172588833</v>
      </c>
      <c r="AA131" s="2">
        <v>0.18104161827411169</v>
      </c>
      <c r="AB131" s="2">
        <v>0.49892909090909088</v>
      </c>
      <c r="AC131" s="2">
        <v>4.9892909090909085E-2</v>
      </c>
    </row>
    <row r="132" spans="1:29">
      <c r="A132" s="205">
        <v>2051</v>
      </c>
      <c r="B132" s="2">
        <v>0.19363051431678086</v>
      </c>
      <c r="C132" s="2">
        <v>5.4131783003284278E-2</v>
      </c>
      <c r="D132" s="2">
        <v>0.72528456023863419</v>
      </c>
      <c r="E132" s="2">
        <v>2.6953142441300593E-2</v>
      </c>
      <c r="F132" s="2">
        <v>5.439544504628223E-3</v>
      </c>
      <c r="G132" s="2">
        <v>5.5650724547350282E-2</v>
      </c>
      <c r="H132" s="2">
        <v>0.88367974677460848</v>
      </c>
      <c r="I132" s="2">
        <v>5.522998417341303E-2</v>
      </c>
      <c r="J132" s="2">
        <v>4.9148038933036951E-2</v>
      </c>
      <c r="K132" s="2">
        <v>0.10785322664073353</v>
      </c>
      <c r="L132" s="2">
        <v>0.79863037998274378</v>
      </c>
      <c r="M132" s="2">
        <v>4.4368354443485761E-2</v>
      </c>
      <c r="N132" s="2">
        <v>0.31783742056313996</v>
      </c>
      <c r="O132" s="2">
        <v>1.0843864936860069E-2</v>
      </c>
      <c r="P132" s="2">
        <v>0.44754580966666668</v>
      </c>
      <c r="Q132" s="2">
        <v>0.22377290483333334</v>
      </c>
      <c r="R132" s="2">
        <v>0.10435068</v>
      </c>
      <c r="S132" s="2">
        <v>1.8141503729086829E-2</v>
      </c>
      <c r="T132" s="2">
        <v>0.4091839726144878</v>
      </c>
      <c r="U132" s="2">
        <v>0.46832384365642543</v>
      </c>
      <c r="V132" s="2">
        <v>0.12349084000000003</v>
      </c>
      <c r="W132" s="2">
        <v>1E-3</v>
      </c>
      <c r="X132" s="2">
        <v>0.27170973931034481</v>
      </c>
      <c r="Y132" s="2">
        <v>0.6037994206896552</v>
      </c>
      <c r="Z132" s="2">
        <v>0.2673946990456853</v>
      </c>
      <c r="AA132" s="2">
        <v>0.17920418095431473</v>
      </c>
      <c r="AB132" s="2">
        <v>0.50309192727272722</v>
      </c>
      <c r="AC132" s="2">
        <v>5.0309192727272724E-2</v>
      </c>
    </row>
    <row r="133" spans="1:29">
      <c r="A133" s="205">
        <v>2052</v>
      </c>
      <c r="B133" s="2">
        <v>0.19113435667365478</v>
      </c>
      <c r="C133" s="2">
        <v>5.3716546970465087E-2</v>
      </c>
      <c r="D133" s="2">
        <v>0.72809163687733069</v>
      </c>
      <c r="E133" s="2">
        <v>2.7057459478549446E-2</v>
      </c>
      <c r="F133" s="2">
        <v>5.3694214631320953E-3</v>
      </c>
      <c r="G133" s="2">
        <v>5.4933311892043743E-2</v>
      </c>
      <c r="H133" s="2">
        <v>0.88442095684218747</v>
      </c>
      <c r="I133" s="2">
        <v>5.5276309802636717E-2</v>
      </c>
      <c r="J133" s="2">
        <v>4.8514454637399271E-2</v>
      </c>
      <c r="K133" s="2">
        <v>0.10710742077243679</v>
      </c>
      <c r="L133" s="2">
        <v>0.79993717066436587</v>
      </c>
      <c r="M133" s="2">
        <v>4.4440953925798096E-2</v>
      </c>
      <c r="N133" s="2">
        <v>0.31221282889647328</v>
      </c>
      <c r="O133" s="2">
        <v>1.0651967103526736E-2</v>
      </c>
      <c r="P133" s="2">
        <v>0.45142346933333338</v>
      </c>
      <c r="Q133" s="2">
        <v>0.22571173466666669</v>
      </c>
      <c r="R133" s="2">
        <v>0.10323936</v>
      </c>
      <c r="S133" s="2">
        <v>1.8141503729086829E-2</v>
      </c>
      <c r="T133" s="2">
        <v>0.40970218376202877</v>
      </c>
      <c r="U133" s="2">
        <v>0.46891695250888443</v>
      </c>
      <c r="V133" s="2">
        <v>0.12217568000000004</v>
      </c>
      <c r="W133" s="2">
        <v>1E-3</v>
      </c>
      <c r="X133" s="2">
        <v>0.27211789241379308</v>
      </c>
      <c r="Y133" s="2">
        <v>0.60470642758620696</v>
      </c>
      <c r="Z133" s="2">
        <v>0.26465301636548233</v>
      </c>
      <c r="AA133" s="2">
        <v>0.17736674363451779</v>
      </c>
      <c r="AB133" s="2">
        <v>0.50725476363636368</v>
      </c>
      <c r="AC133" s="2">
        <v>5.072547636363637E-2</v>
      </c>
    </row>
    <row r="134" spans="1:29">
      <c r="A134" s="205">
        <v>2053</v>
      </c>
      <c r="B134" s="2">
        <v>0.1886381990305287</v>
      </c>
      <c r="C134" s="2">
        <v>5.3301310937645896E-2</v>
      </c>
      <c r="D134" s="2">
        <v>0.73089871351602709</v>
      </c>
      <c r="E134" s="2">
        <v>2.7161776515798302E-2</v>
      </c>
      <c r="F134" s="2">
        <v>5.2992984216359675E-3</v>
      </c>
      <c r="G134" s="2">
        <v>5.4215899236737204E-2</v>
      </c>
      <c r="H134" s="2">
        <v>0.88516216690976646</v>
      </c>
      <c r="I134" s="2">
        <v>5.5322635431860404E-2</v>
      </c>
      <c r="J134" s="2">
        <v>4.788087034176159E-2</v>
      </c>
      <c r="K134" s="2">
        <v>0.10636161490414005</v>
      </c>
      <c r="L134" s="2">
        <v>0.80124396134598797</v>
      </c>
      <c r="M134" s="2">
        <v>4.4513553408110432E-2</v>
      </c>
      <c r="N134" s="2">
        <v>0.3065882372298066</v>
      </c>
      <c r="O134" s="2">
        <v>1.0460069270193403E-2</v>
      </c>
      <c r="P134" s="2">
        <v>0.45530112900000003</v>
      </c>
      <c r="Q134" s="2">
        <v>0.22765056450000001</v>
      </c>
      <c r="R134" s="2">
        <v>0.10212804</v>
      </c>
      <c r="S134" s="2">
        <v>1.8141503729086829E-2</v>
      </c>
      <c r="T134" s="2">
        <v>0.41022039490956974</v>
      </c>
      <c r="U134" s="2">
        <v>0.46951006136134343</v>
      </c>
      <c r="V134" s="2">
        <v>0.12086052000000004</v>
      </c>
      <c r="W134" s="2">
        <v>1E-3</v>
      </c>
      <c r="X134" s="2">
        <v>0.27252604551724136</v>
      </c>
      <c r="Y134" s="2">
        <v>0.60561343448275862</v>
      </c>
      <c r="Z134" s="2">
        <v>0.26191133368527925</v>
      </c>
      <c r="AA134" s="2">
        <v>0.1755293063147208</v>
      </c>
      <c r="AB134" s="2">
        <v>0.51141759999999992</v>
      </c>
      <c r="AC134" s="2">
        <v>5.1141760000000001E-2</v>
      </c>
    </row>
    <row r="135" spans="1:29">
      <c r="A135" s="205">
        <v>2054</v>
      </c>
      <c r="B135" s="2">
        <v>0.18614204138740262</v>
      </c>
      <c r="C135" s="2">
        <v>5.2886074904826705E-2</v>
      </c>
      <c r="D135" s="2">
        <v>0.73370579015472348</v>
      </c>
      <c r="E135" s="2">
        <v>2.7266093553047155E-2</v>
      </c>
      <c r="F135" s="2">
        <v>5.2291753801398397E-3</v>
      </c>
      <c r="G135" s="2">
        <v>5.3498486581430665E-2</v>
      </c>
      <c r="H135" s="2">
        <v>0.88590337697734545</v>
      </c>
      <c r="I135" s="2">
        <v>5.536896106108409E-2</v>
      </c>
      <c r="J135" s="2">
        <v>4.724728604612391E-2</v>
      </c>
      <c r="K135" s="2">
        <v>0.10561580903584331</v>
      </c>
      <c r="L135" s="2">
        <v>0.80255075202761006</v>
      </c>
      <c r="M135" s="2">
        <v>4.4586152890422767E-2</v>
      </c>
      <c r="N135" s="2">
        <v>0.30096364556313998</v>
      </c>
      <c r="O135" s="2">
        <v>1.0268171436860072E-2</v>
      </c>
      <c r="P135" s="2">
        <v>0.45917878866666673</v>
      </c>
      <c r="Q135" s="2">
        <v>0.22958939433333336</v>
      </c>
      <c r="R135" s="2">
        <v>0.10101672</v>
      </c>
      <c r="S135" s="2">
        <v>1.8141503729086829E-2</v>
      </c>
      <c r="T135" s="2">
        <v>0.41073860605711071</v>
      </c>
      <c r="U135" s="2">
        <v>0.47010317021380243</v>
      </c>
      <c r="V135" s="2">
        <v>0.11954536000000004</v>
      </c>
      <c r="W135" s="2">
        <v>1E-3</v>
      </c>
      <c r="X135" s="2">
        <v>0.27293419862068963</v>
      </c>
      <c r="Y135" s="2">
        <v>0.60652044137931038</v>
      </c>
      <c r="Z135" s="2">
        <v>0.25916965100507622</v>
      </c>
      <c r="AA135" s="2">
        <v>0.17369186899492384</v>
      </c>
      <c r="AB135" s="2">
        <v>0.51558043636363626</v>
      </c>
      <c r="AC135" s="2">
        <v>5.155804363636364E-2</v>
      </c>
    </row>
    <row r="136" spans="1:29">
      <c r="A136" s="205">
        <v>2055</v>
      </c>
      <c r="B136" s="2">
        <v>0.18364588374427654</v>
      </c>
      <c r="C136" s="2">
        <v>5.2470838872007514E-2</v>
      </c>
      <c r="D136" s="2">
        <v>0.73651286679341998</v>
      </c>
      <c r="E136" s="2">
        <v>2.7370410590296008E-2</v>
      </c>
      <c r="F136" s="2">
        <v>5.1590523386437119E-3</v>
      </c>
      <c r="G136" s="2">
        <v>5.2781073926124127E-2</v>
      </c>
      <c r="H136" s="2">
        <v>0.88664458704492444</v>
      </c>
      <c r="I136" s="2">
        <v>5.5415286690307777E-2</v>
      </c>
      <c r="J136" s="2">
        <v>4.6613701750486229E-2</v>
      </c>
      <c r="K136" s="2">
        <v>0.10487000316754656</v>
      </c>
      <c r="L136" s="2">
        <v>0.80385754270923215</v>
      </c>
      <c r="M136" s="2">
        <v>4.4658752372735103E-2</v>
      </c>
      <c r="N136" s="2">
        <v>0.29533905389647325</v>
      </c>
      <c r="O136" s="2">
        <v>1.0076273603526737E-2</v>
      </c>
      <c r="P136" s="2">
        <v>0.46305644833333331</v>
      </c>
      <c r="Q136" s="2">
        <v>0.23152822416666666</v>
      </c>
      <c r="R136" s="2">
        <v>9.9905400000000005E-2</v>
      </c>
      <c r="S136" s="2">
        <v>1.8141503729086829E-2</v>
      </c>
      <c r="T136" s="2">
        <v>0.41125681720465168</v>
      </c>
      <c r="U136" s="2">
        <v>0.47069627906626144</v>
      </c>
      <c r="V136" s="2">
        <v>0.11823020000000005</v>
      </c>
      <c r="W136" s="2">
        <v>1E-3</v>
      </c>
      <c r="X136" s="2">
        <v>0.27334235172413784</v>
      </c>
      <c r="Y136" s="2">
        <v>0.60742744827586204</v>
      </c>
      <c r="Z136" s="2">
        <v>0.25642796832487319</v>
      </c>
      <c r="AA136" s="2">
        <v>0.17185443167512687</v>
      </c>
      <c r="AB136" s="2">
        <v>0.51974327272727261</v>
      </c>
      <c r="AC136" s="2">
        <v>5.1974327272727279E-2</v>
      </c>
    </row>
    <row r="137" spans="1:29">
      <c r="A137" s="205">
        <v>2056</v>
      </c>
      <c r="B137" s="2">
        <v>0.18114972610115046</v>
      </c>
      <c r="C137" s="2">
        <v>5.2055602839188322E-2</v>
      </c>
      <c r="D137" s="2">
        <v>0.73931994343211627</v>
      </c>
      <c r="E137" s="2">
        <v>2.7474727627544857E-2</v>
      </c>
      <c r="F137" s="2">
        <v>5.0889292971475842E-3</v>
      </c>
      <c r="G137" s="2">
        <v>5.2063661270817588E-2</v>
      </c>
      <c r="H137" s="2">
        <v>0.88738579711250343</v>
      </c>
      <c r="I137" s="2">
        <v>5.5461612319531464E-2</v>
      </c>
      <c r="J137" s="2">
        <v>4.5980117454848549E-2</v>
      </c>
      <c r="K137" s="2">
        <v>0.10412419729924982</v>
      </c>
      <c r="L137" s="2">
        <v>0.80516433339085425</v>
      </c>
      <c r="M137" s="2">
        <v>4.4731351855047438E-2</v>
      </c>
      <c r="N137" s="2">
        <v>0.28971446222980662</v>
      </c>
      <c r="O137" s="2">
        <v>9.8843757701934064E-3</v>
      </c>
      <c r="P137" s="2">
        <v>0.46693410800000001</v>
      </c>
      <c r="Q137" s="2">
        <v>0.23346705400000001</v>
      </c>
      <c r="R137" s="2">
        <v>9.879408000000002E-2</v>
      </c>
      <c r="S137" s="2">
        <v>1.8141503729086832E-2</v>
      </c>
      <c r="T137" s="2">
        <v>0.41177502835219271</v>
      </c>
      <c r="U137" s="2">
        <v>0.47128938791872049</v>
      </c>
      <c r="V137" s="2">
        <v>0.11691504000000005</v>
      </c>
      <c r="W137" s="2">
        <v>1E-3</v>
      </c>
      <c r="X137" s="2">
        <v>0.27375050482758612</v>
      </c>
      <c r="Y137" s="2">
        <v>0.6083344551724138</v>
      </c>
      <c r="Z137" s="2">
        <v>0.25368628564467022</v>
      </c>
      <c r="AA137" s="2">
        <v>0.17001699435532994</v>
      </c>
      <c r="AB137" s="2">
        <v>0.52390610909090907</v>
      </c>
      <c r="AC137" s="2">
        <v>5.2390610909090925E-2</v>
      </c>
    </row>
    <row r="138" spans="1:29">
      <c r="A138" s="205">
        <v>2057</v>
      </c>
      <c r="B138" s="2">
        <v>0.17865356845802441</v>
      </c>
      <c r="C138" s="2">
        <v>5.1640366806369145E-2</v>
      </c>
      <c r="D138" s="2">
        <v>0.74212702007081277</v>
      </c>
      <c r="E138" s="2">
        <v>2.7579044664793721E-2</v>
      </c>
      <c r="F138" s="2">
        <v>5.0188062556514564E-3</v>
      </c>
      <c r="G138" s="2">
        <v>5.1346248615511049E-2</v>
      </c>
      <c r="H138" s="2">
        <v>0.88812700718008242</v>
      </c>
      <c r="I138" s="2">
        <v>5.5507937948755151E-2</v>
      </c>
      <c r="J138" s="2">
        <v>4.5346533159210868E-2</v>
      </c>
      <c r="K138" s="2">
        <v>0.10337839143095308</v>
      </c>
      <c r="L138" s="2">
        <v>0.80647112407247634</v>
      </c>
      <c r="M138" s="2">
        <v>4.4803951337359774E-2</v>
      </c>
      <c r="N138" s="2">
        <v>0.28408987056313995</v>
      </c>
      <c r="O138" s="2">
        <v>9.6924779368600736E-3</v>
      </c>
      <c r="P138" s="2">
        <v>0.47081176766666666</v>
      </c>
      <c r="Q138" s="2">
        <v>0.23540588383333333</v>
      </c>
      <c r="R138" s="2">
        <v>9.7682760000000021E-2</v>
      </c>
      <c r="S138" s="2">
        <v>1.8141503729086832E-2</v>
      </c>
      <c r="T138" s="2">
        <v>0.41229323949973368</v>
      </c>
      <c r="U138" s="2">
        <v>0.47188249677117949</v>
      </c>
      <c r="V138" s="2">
        <v>0.11559988000000007</v>
      </c>
      <c r="W138" s="2">
        <v>1.0000000000000002E-3</v>
      </c>
      <c r="X138" s="2">
        <v>0.27415865793103444</v>
      </c>
      <c r="Y138" s="2">
        <v>0.60924146206896557</v>
      </c>
      <c r="Z138" s="2">
        <v>0.25094460296446719</v>
      </c>
      <c r="AA138" s="2">
        <v>0.16817955703553297</v>
      </c>
      <c r="AB138" s="2">
        <v>0.52806894545454541</v>
      </c>
      <c r="AC138" s="2">
        <v>5.2806894545454564E-2</v>
      </c>
    </row>
    <row r="139" spans="1:29">
      <c r="A139" s="205">
        <v>2058</v>
      </c>
      <c r="B139" s="2">
        <v>0.17615741081489833</v>
      </c>
      <c r="C139" s="2">
        <v>5.1225130773549947E-2</v>
      </c>
      <c r="D139" s="2">
        <v>0.74493409670950927</v>
      </c>
      <c r="E139" s="2">
        <v>2.768336170204257E-2</v>
      </c>
      <c r="F139" s="2">
        <v>4.9486832141553286E-3</v>
      </c>
      <c r="G139" s="2">
        <v>5.062883596020451E-2</v>
      </c>
      <c r="H139" s="2">
        <v>0.88886821724766141</v>
      </c>
      <c r="I139" s="2">
        <v>5.5554263577978838E-2</v>
      </c>
      <c r="J139" s="2">
        <v>4.4712948863573188E-2</v>
      </c>
      <c r="K139" s="2">
        <v>0.10263258556265634</v>
      </c>
      <c r="L139" s="2">
        <v>0.80777791475409844</v>
      </c>
      <c r="M139" s="2">
        <v>4.4876550819672109E-2</v>
      </c>
      <c r="N139" s="2">
        <v>0.27846527889647327</v>
      </c>
      <c r="O139" s="2">
        <v>9.5005801035267408E-3</v>
      </c>
      <c r="P139" s="2">
        <v>0.47468942733333336</v>
      </c>
      <c r="Q139" s="2">
        <v>0.23734471366666668</v>
      </c>
      <c r="R139" s="2">
        <v>9.6571440000000022E-2</v>
      </c>
      <c r="S139" s="2">
        <v>1.8141503729086832E-2</v>
      </c>
      <c r="T139" s="2">
        <v>0.41281145064727465</v>
      </c>
      <c r="U139" s="2">
        <v>0.47247560562363849</v>
      </c>
      <c r="V139" s="2">
        <v>0.11428472000000006</v>
      </c>
      <c r="W139" s="2">
        <v>1E-3</v>
      </c>
      <c r="X139" s="2">
        <v>0.27456681103448272</v>
      </c>
      <c r="Y139" s="2">
        <v>0.61014846896551733</v>
      </c>
      <c r="Z139" s="2">
        <v>0.24820292028426411</v>
      </c>
      <c r="AA139" s="2">
        <v>0.16634211971573601</v>
      </c>
      <c r="AB139" s="2">
        <v>0.53223178181818176</v>
      </c>
      <c r="AC139" s="2">
        <v>5.3223178181818202E-2</v>
      </c>
    </row>
    <row r="140" spans="1:29">
      <c r="A140" s="205">
        <v>2059</v>
      </c>
      <c r="B140" s="2">
        <v>0.17366125317177222</v>
      </c>
      <c r="C140" s="2">
        <v>5.0809894740730749E-2</v>
      </c>
      <c r="D140" s="2">
        <v>0.74774117334820556</v>
      </c>
      <c r="E140" s="2">
        <v>2.7787678739291419E-2</v>
      </c>
      <c r="F140" s="2">
        <v>4.8785601726592008E-3</v>
      </c>
      <c r="G140" s="2">
        <v>4.9911423304897971E-2</v>
      </c>
      <c r="H140" s="2">
        <v>0.8896094273152404</v>
      </c>
      <c r="I140" s="2">
        <v>5.5600589207202525E-2</v>
      </c>
      <c r="J140" s="2">
        <v>4.40793645679355E-2</v>
      </c>
      <c r="K140" s="2">
        <v>0.10188677969435957</v>
      </c>
      <c r="L140" s="2">
        <v>0.80908470543572031</v>
      </c>
      <c r="M140" s="2">
        <v>4.4949150301984438E-2</v>
      </c>
      <c r="N140" s="2">
        <v>0.27284068722980659</v>
      </c>
      <c r="O140" s="2">
        <v>9.308682270193408E-3</v>
      </c>
      <c r="P140" s="2">
        <v>0.478567087</v>
      </c>
      <c r="Q140" s="2">
        <v>0.2392835435</v>
      </c>
      <c r="R140" s="2">
        <v>9.5460120000000037E-2</v>
      </c>
      <c r="S140" s="2">
        <v>1.8141503729086832E-2</v>
      </c>
      <c r="T140" s="2">
        <v>0.41332966179481567</v>
      </c>
      <c r="U140" s="2">
        <v>0.47306871447609755</v>
      </c>
      <c r="V140" s="2">
        <v>0.11296956000000007</v>
      </c>
      <c r="W140" s="2">
        <v>1E-3</v>
      </c>
      <c r="X140" s="2">
        <v>0.27497496413793099</v>
      </c>
      <c r="Y140" s="2">
        <v>0.61105547586206899</v>
      </c>
      <c r="Z140" s="2">
        <v>0.24546123760406105</v>
      </c>
      <c r="AA140" s="2">
        <v>0.16450468239593904</v>
      </c>
      <c r="AB140" s="2">
        <v>0.53639461818181811</v>
      </c>
      <c r="AC140" s="2">
        <v>5.3639461818181841E-2</v>
      </c>
    </row>
    <row r="141" spans="1:29">
      <c r="A141" s="205">
        <v>2060</v>
      </c>
      <c r="B141" s="2">
        <v>0.17116509552864617</v>
      </c>
      <c r="C141" s="2">
        <v>5.0394658707911565E-2</v>
      </c>
      <c r="D141" s="2">
        <v>0.75054824998690206</v>
      </c>
      <c r="E141" s="2">
        <v>2.7891995776540276E-2</v>
      </c>
      <c r="F141" s="2">
        <v>4.8084371311630731E-3</v>
      </c>
      <c r="G141" s="2">
        <v>4.9194010649591433E-2</v>
      </c>
      <c r="H141" s="2">
        <v>0.89035063738281939</v>
      </c>
      <c r="I141" s="2">
        <v>5.5646914836426212E-2</v>
      </c>
      <c r="J141" s="2">
        <v>4.344578027229782E-2</v>
      </c>
      <c r="K141" s="2">
        <v>0.10114097382606282</v>
      </c>
      <c r="L141" s="2">
        <v>0.8103914961173424</v>
      </c>
      <c r="M141" s="2">
        <v>4.5021749784296773E-2</v>
      </c>
      <c r="N141" s="2">
        <v>0.26721609556313991</v>
      </c>
      <c r="O141" s="2">
        <v>9.1167844368600752E-3</v>
      </c>
      <c r="P141" s="2">
        <v>0.48244474666666665</v>
      </c>
      <c r="Q141" s="2">
        <v>0.24122237333333332</v>
      </c>
      <c r="R141" s="2">
        <v>9.4348800000000038E-2</v>
      </c>
      <c r="S141" s="2">
        <v>1.8141503729086832E-2</v>
      </c>
      <c r="T141" s="2">
        <v>0.41384787294235664</v>
      </c>
      <c r="U141" s="2">
        <v>0.47366182332855655</v>
      </c>
      <c r="V141" s="2">
        <v>0.11165440000000007</v>
      </c>
      <c r="W141" s="2">
        <v>1E-3</v>
      </c>
      <c r="X141" s="2">
        <v>0.27538311724137926</v>
      </c>
      <c r="Y141" s="2">
        <v>0.61196248275862075</v>
      </c>
      <c r="Z141" s="2">
        <v>0.24271955492385799</v>
      </c>
      <c r="AA141" s="2">
        <v>0.16266724507614208</v>
      </c>
      <c r="AB141" s="2">
        <v>0.54055745454545445</v>
      </c>
      <c r="AC141" s="2">
        <v>5.405574545454548E-2</v>
      </c>
    </row>
    <row r="142" spans="1:29">
      <c r="A142" s="205">
        <v>2061</v>
      </c>
      <c r="B142" s="2">
        <v>0.16866893788552006</v>
      </c>
      <c r="C142" s="2">
        <v>4.9979422675092366E-2</v>
      </c>
      <c r="D142" s="2">
        <v>0.75335532662559845</v>
      </c>
      <c r="E142" s="2">
        <v>2.7996312813789129E-2</v>
      </c>
      <c r="F142" s="2">
        <v>4.7383140896669453E-3</v>
      </c>
      <c r="G142" s="2">
        <v>4.8476597994284894E-2</v>
      </c>
      <c r="H142" s="2">
        <v>0.89109184745039838</v>
      </c>
      <c r="I142" s="2">
        <v>5.5693240465649899E-2</v>
      </c>
      <c r="J142" s="2">
        <v>4.2812195976660146E-2</v>
      </c>
      <c r="K142" s="2">
        <v>0.10039516795776611</v>
      </c>
      <c r="L142" s="2">
        <v>0.81169828679896472</v>
      </c>
      <c r="M142" s="2">
        <v>4.5094349266609116E-2</v>
      </c>
      <c r="N142" s="2">
        <v>0.26159150389647323</v>
      </c>
      <c r="O142" s="2">
        <v>8.9248866035267424E-3</v>
      </c>
      <c r="P142" s="2">
        <v>0.48632240633333329</v>
      </c>
      <c r="Q142" s="2">
        <v>0.24316120316666665</v>
      </c>
      <c r="R142" s="2">
        <v>9.3237480000000025E-2</v>
      </c>
      <c r="S142" s="2">
        <v>1.8141503729086832E-2</v>
      </c>
      <c r="T142" s="2">
        <v>0.41436608408989761</v>
      </c>
      <c r="U142" s="2">
        <v>0.47425493218101555</v>
      </c>
      <c r="V142" s="2">
        <v>0.11033924000000007</v>
      </c>
      <c r="W142" s="2">
        <v>1E-3</v>
      </c>
      <c r="X142" s="2">
        <v>0.27579127034482753</v>
      </c>
      <c r="Y142" s="2">
        <v>0.61286948965517241</v>
      </c>
      <c r="Z142" s="2">
        <v>0.23997787224365497</v>
      </c>
      <c r="AA142" s="2">
        <v>0.16082980775634512</v>
      </c>
      <c r="AB142" s="2">
        <v>0.5447202909090908</v>
      </c>
      <c r="AC142" s="2">
        <v>5.4472029090909126E-2</v>
      </c>
    </row>
    <row r="143" spans="1:29">
      <c r="A143" s="205">
        <v>2062</v>
      </c>
      <c r="B143" s="2">
        <v>0.16617278024239399</v>
      </c>
      <c r="C143" s="2">
        <v>4.9564186642273175E-2</v>
      </c>
      <c r="D143" s="2">
        <v>0.75616240326429485</v>
      </c>
      <c r="E143" s="2">
        <v>2.8100629851037982E-2</v>
      </c>
      <c r="F143" s="2">
        <v>4.6681910481708166E-3</v>
      </c>
      <c r="G143" s="2">
        <v>4.7759185338978341E-2</v>
      </c>
      <c r="H143" s="2">
        <v>0.89183305751797715</v>
      </c>
      <c r="I143" s="2">
        <v>5.5739566094873572E-2</v>
      </c>
      <c r="J143" s="2">
        <v>4.2178611681022465E-2</v>
      </c>
      <c r="K143" s="2">
        <v>9.9649362089469368E-2</v>
      </c>
      <c r="L143" s="2">
        <v>0.81300507748058681</v>
      </c>
      <c r="M143" s="2">
        <v>4.5166948748921451E-2</v>
      </c>
      <c r="N143" s="2">
        <v>0.25596691222980661</v>
      </c>
      <c r="O143" s="2">
        <v>8.7329887701934113E-3</v>
      </c>
      <c r="P143" s="2">
        <v>0.49020006599999999</v>
      </c>
      <c r="Q143" s="2">
        <v>0.24510003299999999</v>
      </c>
      <c r="R143" s="2">
        <v>9.2126160000000026E-2</v>
      </c>
      <c r="S143" s="2">
        <v>1.8141503729086832E-2</v>
      </c>
      <c r="T143" s="2">
        <v>0.41488429523743858</v>
      </c>
      <c r="U143" s="2">
        <v>0.47484804103347455</v>
      </c>
      <c r="V143" s="2">
        <v>0.10902408000000008</v>
      </c>
      <c r="W143" s="2">
        <v>1E-3</v>
      </c>
      <c r="X143" s="2">
        <v>0.2761994234482758</v>
      </c>
      <c r="Y143" s="2">
        <v>0.61377649655172417</v>
      </c>
      <c r="Z143" s="2">
        <v>0.23723618956345191</v>
      </c>
      <c r="AA143" s="2">
        <v>0.15899237043654815</v>
      </c>
      <c r="AB143" s="2">
        <v>0.54888312727272714</v>
      </c>
      <c r="AC143" s="2">
        <v>5.4888312727272764E-2</v>
      </c>
    </row>
    <row r="144" spans="1:29">
      <c r="A144" s="205">
        <v>2063</v>
      </c>
      <c r="B144" s="2">
        <v>0.16367662259926793</v>
      </c>
      <c r="C144" s="2">
        <v>4.9148950609453991E-2</v>
      </c>
      <c r="D144" s="2">
        <v>0.75896947990299135</v>
      </c>
      <c r="E144" s="2">
        <v>2.8204946888286838E-2</v>
      </c>
      <c r="F144" s="2">
        <v>4.5980680066746889E-3</v>
      </c>
      <c r="G144" s="2">
        <v>4.7041772683671802E-2</v>
      </c>
      <c r="H144" s="2">
        <v>0.89257426758555614</v>
      </c>
      <c r="I144" s="2">
        <v>5.5785891724097258E-2</v>
      </c>
      <c r="J144" s="2">
        <v>4.1545027385384778E-2</v>
      </c>
      <c r="K144" s="2">
        <v>9.8903556221172598E-2</v>
      </c>
      <c r="L144" s="2">
        <v>0.81431186816220869</v>
      </c>
      <c r="M144" s="2">
        <v>4.523954823123378E-2</v>
      </c>
      <c r="N144" s="2">
        <v>0.25034232056313993</v>
      </c>
      <c r="O144" s="2">
        <v>8.5410909368600785E-3</v>
      </c>
      <c r="P144" s="2">
        <v>0.49407772566666663</v>
      </c>
      <c r="Q144" s="2">
        <v>0.24703886283333332</v>
      </c>
      <c r="R144" s="2">
        <v>9.1014840000000027E-2</v>
      </c>
      <c r="S144" s="2">
        <v>1.8141503729086832E-2</v>
      </c>
      <c r="T144" s="2">
        <v>0.41540250638497955</v>
      </c>
      <c r="U144" s="2">
        <v>0.47544114988593356</v>
      </c>
      <c r="V144" s="2">
        <v>0.10770892000000008</v>
      </c>
      <c r="W144" s="2">
        <v>1E-3</v>
      </c>
      <c r="X144" s="2">
        <v>0.27660757655172408</v>
      </c>
      <c r="Y144" s="2">
        <v>0.61468350344827583</v>
      </c>
      <c r="Z144" s="2">
        <v>0.23449450688324888</v>
      </c>
      <c r="AA144" s="2">
        <v>0.15715493311675122</v>
      </c>
      <c r="AB144" s="2">
        <v>0.5530459636363636</v>
      </c>
      <c r="AC144" s="2">
        <v>5.530459636363641E-2</v>
      </c>
    </row>
    <row r="145" spans="1:29">
      <c r="A145" s="205">
        <v>2064</v>
      </c>
      <c r="B145" s="2">
        <v>0.1611804649561418</v>
      </c>
      <c r="C145" s="2">
        <v>4.8733714576634779E-2</v>
      </c>
      <c r="D145" s="2">
        <v>0.76177655654168752</v>
      </c>
      <c r="E145" s="2">
        <v>2.8309263925535681E-2</v>
      </c>
      <c r="F145" s="2">
        <v>4.5279449651785611E-3</v>
      </c>
      <c r="G145" s="2">
        <v>4.632436002836527E-2</v>
      </c>
      <c r="H145" s="2">
        <v>0.89331547765313513</v>
      </c>
      <c r="I145" s="2">
        <v>5.5832217353320945E-2</v>
      </c>
      <c r="J145" s="2">
        <v>4.0911443089747104E-2</v>
      </c>
      <c r="K145" s="2">
        <v>9.8157750352875883E-2</v>
      </c>
      <c r="L145" s="2">
        <v>0.815618658843831</v>
      </c>
      <c r="M145" s="2">
        <v>4.5312147713546122E-2</v>
      </c>
      <c r="N145" s="2">
        <v>0.24471772889647325</v>
      </c>
      <c r="O145" s="2">
        <v>8.3491931035267457E-3</v>
      </c>
      <c r="P145" s="2">
        <v>0.49795538533333333</v>
      </c>
      <c r="Q145" s="2">
        <v>0.24897769266666667</v>
      </c>
      <c r="R145" s="2">
        <v>8.9903520000000042E-2</v>
      </c>
      <c r="S145" s="2">
        <v>1.8141503729086836E-2</v>
      </c>
      <c r="T145" s="2">
        <v>0.41592071753252052</v>
      </c>
      <c r="U145" s="2">
        <v>0.47603425873839261</v>
      </c>
      <c r="V145" s="2">
        <v>0.10639376000000009</v>
      </c>
      <c r="W145" s="2">
        <v>1E-3</v>
      </c>
      <c r="X145" s="2">
        <v>0.27701572965517235</v>
      </c>
      <c r="Y145" s="2">
        <v>0.61559051034482759</v>
      </c>
      <c r="Z145" s="2">
        <v>0.2317528242030458</v>
      </c>
      <c r="AA145" s="2">
        <v>0.15531749579695422</v>
      </c>
      <c r="AB145" s="2">
        <v>0.55720879999999984</v>
      </c>
      <c r="AC145" s="2">
        <v>5.5720880000000042E-2</v>
      </c>
    </row>
    <row r="146" spans="1:29">
      <c r="A146" s="205">
        <v>2065</v>
      </c>
      <c r="B146" s="2">
        <v>0.15868430731301575</v>
      </c>
      <c r="C146" s="2">
        <v>4.8318478543815602E-2</v>
      </c>
      <c r="D146" s="2">
        <v>0.76458363318038414</v>
      </c>
      <c r="E146" s="2">
        <v>2.8413580962784544E-2</v>
      </c>
      <c r="F146" s="2">
        <v>4.4578219236824333E-3</v>
      </c>
      <c r="G146" s="2">
        <v>4.5606947373058732E-2</v>
      </c>
      <c r="H146" s="2">
        <v>0.89405668772071412</v>
      </c>
      <c r="I146" s="2">
        <v>5.5878542982544632E-2</v>
      </c>
      <c r="J146" s="2">
        <v>4.0277858794109424E-2</v>
      </c>
      <c r="K146" s="2">
        <v>9.7411944484579141E-2</v>
      </c>
      <c r="L146" s="2">
        <v>0.8169254495254531</v>
      </c>
      <c r="M146" s="2">
        <v>4.5384747195858458E-2</v>
      </c>
      <c r="N146" s="2">
        <v>0.23909313722980657</v>
      </c>
      <c r="O146" s="2">
        <v>8.157295270193413E-3</v>
      </c>
      <c r="P146" s="2">
        <v>0.50183304500000003</v>
      </c>
      <c r="Q146" s="2">
        <v>0.25091652250000002</v>
      </c>
      <c r="R146" s="2">
        <v>8.8792200000000043E-2</v>
      </c>
      <c r="S146" s="2">
        <v>1.8141503729086836E-2</v>
      </c>
      <c r="T146" s="2">
        <v>0.41643892868006149</v>
      </c>
      <c r="U146" s="2">
        <v>0.47662736759085161</v>
      </c>
      <c r="V146" s="2">
        <v>0.10507860000000009</v>
      </c>
      <c r="W146" s="2">
        <v>1E-3</v>
      </c>
      <c r="X146" s="2">
        <v>0.27742388275862062</v>
      </c>
      <c r="Y146" s="2">
        <v>0.61649751724137924</v>
      </c>
      <c r="Z146" s="2">
        <v>0.22901114152284277</v>
      </c>
      <c r="AA146" s="2">
        <v>0.15348005847715729</v>
      </c>
      <c r="AB146" s="2">
        <v>0.56137163636363629</v>
      </c>
      <c r="AC146" s="2">
        <v>5.6137163636363688E-2</v>
      </c>
    </row>
    <row r="147" spans="1:29">
      <c r="A147" s="205">
        <v>2066</v>
      </c>
      <c r="B147" s="2">
        <v>0.15618814966988967</v>
      </c>
      <c r="C147" s="2">
        <v>4.7903242510996411E-2</v>
      </c>
      <c r="D147" s="2">
        <v>0.76739070981908053</v>
      </c>
      <c r="E147" s="2">
        <v>2.8517898000033397E-2</v>
      </c>
      <c r="F147" s="2">
        <v>4.3876988821863055E-3</v>
      </c>
      <c r="G147" s="2">
        <v>4.4889534717752193E-2</v>
      </c>
      <c r="H147" s="2">
        <v>0.89479789778829311</v>
      </c>
      <c r="I147" s="2">
        <v>5.5924868611768319E-2</v>
      </c>
      <c r="J147" s="2">
        <v>3.9644274498471743E-2</v>
      </c>
      <c r="K147" s="2">
        <v>9.6666138616282399E-2</v>
      </c>
      <c r="L147" s="2">
        <v>0.81823224020707519</v>
      </c>
      <c r="M147" s="2">
        <v>4.5457346678170793E-2</v>
      </c>
      <c r="N147" s="2">
        <v>0.2334685455631399</v>
      </c>
      <c r="O147" s="2">
        <v>7.9653974368600802E-3</v>
      </c>
      <c r="P147" s="2">
        <v>0.50571070466666668</v>
      </c>
      <c r="Q147" s="2">
        <v>0.25285535233333334</v>
      </c>
      <c r="R147" s="2">
        <v>8.7680880000000044E-2</v>
      </c>
      <c r="S147" s="2">
        <v>1.8141503729086836E-2</v>
      </c>
      <c r="T147" s="2">
        <v>0.41695713982760252</v>
      </c>
      <c r="U147" s="2">
        <v>0.47722047644331062</v>
      </c>
      <c r="V147" s="2">
        <v>0.1037634400000001</v>
      </c>
      <c r="W147" s="2">
        <v>1E-3</v>
      </c>
      <c r="X147" s="2">
        <v>0.27783203586206889</v>
      </c>
      <c r="Y147" s="2">
        <v>0.61740452413793101</v>
      </c>
      <c r="Z147" s="2">
        <v>0.22626945884263974</v>
      </c>
      <c r="AA147" s="2">
        <v>0.15164262115736032</v>
      </c>
      <c r="AB147" s="2">
        <v>0.56553447272727264</v>
      </c>
      <c r="AC147" s="2">
        <v>5.6553447272727334E-2</v>
      </c>
    </row>
    <row r="148" spans="1:29">
      <c r="A148" s="205">
        <v>2067</v>
      </c>
      <c r="B148" s="2">
        <v>0.15369199202676359</v>
      </c>
      <c r="C148" s="2">
        <v>4.7488006478177219E-2</v>
      </c>
      <c r="D148" s="2">
        <v>0.77019778645777692</v>
      </c>
      <c r="E148" s="2">
        <v>2.8622215037282246E-2</v>
      </c>
      <c r="F148" s="2">
        <v>4.3175758406901778E-3</v>
      </c>
      <c r="G148" s="2">
        <v>4.4172122062445654E-2</v>
      </c>
      <c r="H148" s="2">
        <v>0.8955391078558721</v>
      </c>
      <c r="I148" s="2">
        <v>5.5971194240992006E-2</v>
      </c>
      <c r="J148" s="2">
        <v>3.9010690202834056E-2</v>
      </c>
      <c r="K148" s="2">
        <v>9.5920332747985629E-2</v>
      </c>
      <c r="L148" s="2">
        <v>0.81953903088869706</v>
      </c>
      <c r="M148" s="2">
        <v>4.5529946160483122E-2</v>
      </c>
      <c r="N148" s="2">
        <v>0.22784395389647322</v>
      </c>
      <c r="O148" s="2">
        <v>7.7734996035267474E-3</v>
      </c>
      <c r="P148" s="2">
        <v>0.50958836433333343</v>
      </c>
      <c r="Q148" s="2">
        <v>0.25479418216666672</v>
      </c>
      <c r="R148" s="2">
        <v>8.6569560000000059E-2</v>
      </c>
      <c r="S148" s="2">
        <v>1.8141503729086836E-2</v>
      </c>
      <c r="T148" s="2">
        <v>0.41747535097514349</v>
      </c>
      <c r="U148" s="2">
        <v>0.47781358529576967</v>
      </c>
      <c r="V148" s="2">
        <v>0.1024482800000001</v>
      </c>
      <c r="W148" s="2">
        <v>1E-3</v>
      </c>
      <c r="X148" s="2">
        <v>0.27824018896551717</v>
      </c>
      <c r="Y148" s="2">
        <v>0.61831153103448278</v>
      </c>
      <c r="Z148" s="2">
        <v>0.22352777616243666</v>
      </c>
      <c r="AA148" s="2">
        <v>0.14980518383756336</v>
      </c>
      <c r="AB148" s="2">
        <v>0.56969730909090899</v>
      </c>
      <c r="AC148" s="2">
        <v>5.6969730909090965E-2</v>
      </c>
    </row>
    <row r="149" spans="1:29">
      <c r="A149" s="205">
        <v>2068</v>
      </c>
      <c r="B149" s="2">
        <v>0.15119583438363751</v>
      </c>
      <c r="C149" s="2">
        <v>4.7072770445358028E-2</v>
      </c>
      <c r="D149" s="2">
        <v>0.77300486309647332</v>
      </c>
      <c r="E149" s="2">
        <v>2.8726532074531099E-2</v>
      </c>
      <c r="F149" s="2">
        <v>4.24745279919405E-3</v>
      </c>
      <c r="G149" s="2">
        <v>4.3454709407139115E-2</v>
      </c>
      <c r="H149" s="2">
        <v>0.89628031792345109</v>
      </c>
      <c r="I149" s="2">
        <v>5.6017519870215693E-2</v>
      </c>
      <c r="J149" s="2">
        <v>3.8377105907196375E-2</v>
      </c>
      <c r="K149" s="2">
        <v>9.5174526879688887E-2</v>
      </c>
      <c r="L149" s="2">
        <v>0.82084582157031916</v>
      </c>
      <c r="M149" s="2">
        <v>4.5602545642795457E-2</v>
      </c>
      <c r="N149" s="2">
        <v>0.22221936222980657</v>
      </c>
      <c r="O149" s="2">
        <v>7.5816017701934146E-3</v>
      </c>
      <c r="P149" s="2">
        <v>0.51346602400000008</v>
      </c>
      <c r="Q149" s="2">
        <v>0.25673301200000004</v>
      </c>
      <c r="R149" s="2">
        <v>8.545824000000006E-2</v>
      </c>
      <c r="S149" s="2">
        <v>1.8141503729086836E-2</v>
      </c>
      <c r="T149" s="2">
        <v>0.41799356212268446</v>
      </c>
      <c r="U149" s="2">
        <v>0.47840669414822867</v>
      </c>
      <c r="V149" s="2">
        <v>0.1011331200000001</v>
      </c>
      <c r="W149" s="2">
        <v>1E-3</v>
      </c>
      <c r="X149" s="2">
        <v>0.27864834206896544</v>
      </c>
      <c r="Y149" s="2">
        <v>0.61921853793103443</v>
      </c>
      <c r="Z149" s="2">
        <v>0.22078609348223363</v>
      </c>
      <c r="AA149" s="2">
        <v>0.1479677465177664</v>
      </c>
      <c r="AB149" s="2">
        <v>0.57386014545454533</v>
      </c>
      <c r="AC149" s="2">
        <v>5.7386014545454611E-2</v>
      </c>
    </row>
    <row r="150" spans="1:29">
      <c r="A150" s="205">
        <v>2069</v>
      </c>
      <c r="B150" s="2">
        <v>0.14869967674051146</v>
      </c>
      <c r="C150" s="2">
        <v>4.6657534412538844E-2</v>
      </c>
      <c r="D150" s="2">
        <v>0.77581193973516982</v>
      </c>
      <c r="E150" s="2">
        <v>2.8830849111779959E-2</v>
      </c>
      <c r="F150" s="2">
        <v>4.1773297576979222E-3</v>
      </c>
      <c r="G150" s="2">
        <v>4.2737296751832576E-2</v>
      </c>
      <c r="H150" s="2">
        <v>0.89702152799103008</v>
      </c>
      <c r="I150" s="2">
        <v>5.606384549943938E-2</v>
      </c>
      <c r="J150" s="2">
        <v>3.7743521611558695E-2</v>
      </c>
      <c r="K150" s="2">
        <v>9.4428721011392144E-2</v>
      </c>
      <c r="L150" s="2">
        <v>0.82215261225194125</v>
      </c>
      <c r="M150" s="2">
        <v>4.5675145125107793E-2</v>
      </c>
      <c r="N150" s="2">
        <v>0.21659477056313986</v>
      </c>
      <c r="O150" s="2">
        <v>7.38970393686008E-3</v>
      </c>
      <c r="P150" s="2">
        <v>0.51734368366666672</v>
      </c>
      <c r="Q150" s="2">
        <v>0.25867184183333336</v>
      </c>
      <c r="R150" s="2">
        <v>8.4346920000000061E-2</v>
      </c>
      <c r="S150" s="2">
        <v>1.8141503729086836E-2</v>
      </c>
      <c r="T150" s="2">
        <v>0.41851177327022543</v>
      </c>
      <c r="U150" s="2">
        <v>0.47899980300068767</v>
      </c>
      <c r="V150" s="2">
        <v>9.9817960000000108E-2</v>
      </c>
      <c r="W150" s="2">
        <v>1E-3</v>
      </c>
      <c r="X150" s="2">
        <v>0.27905649517241371</v>
      </c>
      <c r="Y150" s="2">
        <v>0.62012554482758619</v>
      </c>
      <c r="Z150" s="2">
        <v>0.21804441080203055</v>
      </c>
      <c r="AA150" s="2">
        <v>0.14613030919796943</v>
      </c>
      <c r="AB150" s="2">
        <v>0.57802298181818168</v>
      </c>
      <c r="AC150" s="2">
        <v>5.780229818181825E-2</v>
      </c>
    </row>
    <row r="151" spans="1:29">
      <c r="A151" s="205">
        <v>2070</v>
      </c>
      <c r="B151" s="2">
        <v>0.14620351909738535</v>
      </c>
      <c r="C151" s="2">
        <v>4.6242298379719646E-2</v>
      </c>
      <c r="D151" s="2">
        <v>0.77861901637386621</v>
      </c>
      <c r="E151" s="2">
        <v>2.8935166149028808E-2</v>
      </c>
      <c r="F151" s="2">
        <v>4.1072067162017944E-3</v>
      </c>
      <c r="G151" s="2">
        <v>4.2019884096526038E-2</v>
      </c>
      <c r="H151" s="2">
        <v>0.89776273805860907</v>
      </c>
      <c r="I151" s="2">
        <v>5.6110171128663067E-2</v>
      </c>
      <c r="J151" s="2">
        <v>3.7109937315921014E-2</v>
      </c>
      <c r="K151" s="2">
        <v>9.3682915143095416E-2</v>
      </c>
      <c r="L151" s="2">
        <v>0.82345940293356334</v>
      </c>
      <c r="M151" s="2">
        <v>4.5747744607420128E-2</v>
      </c>
      <c r="N151" s="2">
        <v>0.21097017889647321</v>
      </c>
      <c r="O151" s="2">
        <v>7.1978061035267464E-3</v>
      </c>
      <c r="P151" s="2">
        <v>0.52122134333333336</v>
      </c>
      <c r="Q151" s="2">
        <v>0.26061067166666668</v>
      </c>
      <c r="R151" s="2">
        <v>8.3235600000000062E-2</v>
      </c>
      <c r="S151" s="2">
        <v>1.8141503729086836E-2</v>
      </c>
      <c r="T151" s="2">
        <v>0.4190299844177664</v>
      </c>
      <c r="U151" s="2">
        <v>0.47959291185314668</v>
      </c>
      <c r="V151" s="2">
        <v>9.8502800000000112E-2</v>
      </c>
      <c r="W151" s="2">
        <v>1E-3</v>
      </c>
      <c r="X151" s="2">
        <v>0.27946464827586198</v>
      </c>
      <c r="Y151" s="2">
        <v>0.62103255172413785</v>
      </c>
      <c r="Z151" s="2">
        <v>0.21530272812182752</v>
      </c>
      <c r="AA151" s="2">
        <v>0.1442928718781725</v>
      </c>
      <c r="AB151" s="2">
        <v>0.58218581818181814</v>
      </c>
      <c r="AC151" s="2">
        <v>5.8218581818181896E-2</v>
      </c>
    </row>
    <row r="152" spans="1:29">
      <c r="A152" s="205">
        <v>2071</v>
      </c>
      <c r="B152" s="2">
        <v>0.14370736145425927</v>
      </c>
      <c r="C152" s="2">
        <v>4.5827062346900455E-2</v>
      </c>
      <c r="D152" s="2">
        <v>0.78142609301256261</v>
      </c>
      <c r="E152" s="2">
        <v>2.9039483186277661E-2</v>
      </c>
      <c r="F152" s="2">
        <v>4.0370836747056667E-3</v>
      </c>
      <c r="G152" s="2">
        <v>4.1302471441219499E-2</v>
      </c>
      <c r="H152" s="2">
        <v>0.89850394812618806</v>
      </c>
      <c r="I152" s="2">
        <v>5.6156496757886754E-2</v>
      </c>
      <c r="J152" s="2">
        <v>3.6476353020283334E-2</v>
      </c>
      <c r="K152" s="2">
        <v>9.2937109274798674E-2</v>
      </c>
      <c r="L152" s="2">
        <v>0.82476619361518544</v>
      </c>
      <c r="M152" s="2">
        <v>4.5820344089732463E-2</v>
      </c>
      <c r="N152" s="2">
        <v>0.20534558722980653</v>
      </c>
      <c r="O152" s="2">
        <v>7.0059082701934127E-3</v>
      </c>
      <c r="P152" s="2">
        <v>0.52509900300000001</v>
      </c>
      <c r="Q152" s="2">
        <v>0.2625495015</v>
      </c>
      <c r="R152" s="2">
        <v>8.2124280000000063E-2</v>
      </c>
      <c r="S152" s="2">
        <v>1.8141503729086836E-2</v>
      </c>
      <c r="T152" s="2">
        <v>0.41954819556530737</v>
      </c>
      <c r="U152" s="2">
        <v>0.48018602070560568</v>
      </c>
      <c r="V152" s="2">
        <v>9.7187640000000117E-2</v>
      </c>
      <c r="W152" s="2">
        <v>1E-3</v>
      </c>
      <c r="X152" s="2">
        <v>0.27987280137931025</v>
      </c>
      <c r="Y152" s="2">
        <v>0.62193955862068961</v>
      </c>
      <c r="Z152" s="2">
        <v>0.21256104544162446</v>
      </c>
      <c r="AA152" s="2">
        <v>0.14245543455837553</v>
      </c>
      <c r="AB152" s="2">
        <v>0.58634865454545448</v>
      </c>
      <c r="AC152" s="2">
        <v>5.8634865454545534E-2</v>
      </c>
    </row>
    <row r="153" spans="1:29">
      <c r="A153" s="205">
        <v>2072</v>
      </c>
      <c r="B153" s="2">
        <v>0.14121120381113322</v>
      </c>
      <c r="C153" s="2">
        <v>4.541182631408127E-2</v>
      </c>
      <c r="D153" s="2">
        <v>0.78423316965125911</v>
      </c>
      <c r="E153" s="2">
        <v>2.9143800223526518E-2</v>
      </c>
      <c r="F153" s="2">
        <v>3.9669606332095389E-3</v>
      </c>
      <c r="G153" s="2">
        <v>4.058505878591296E-2</v>
      </c>
      <c r="H153" s="2">
        <v>0.89924515819376705</v>
      </c>
      <c r="I153" s="2">
        <v>5.620282238711044E-2</v>
      </c>
      <c r="J153" s="2">
        <v>3.5842768724645653E-2</v>
      </c>
      <c r="K153" s="2">
        <v>9.2191303406501932E-2</v>
      </c>
      <c r="L153" s="2">
        <v>0.82607298429680753</v>
      </c>
      <c r="M153" s="2">
        <v>4.5892943572044799E-2</v>
      </c>
      <c r="N153" s="2">
        <v>0.19972099556313982</v>
      </c>
      <c r="O153" s="2">
        <v>6.814010436860079E-3</v>
      </c>
      <c r="P153" s="2">
        <v>0.52897666266666665</v>
      </c>
      <c r="Q153" s="2">
        <v>0.26448833133333333</v>
      </c>
      <c r="R153" s="2">
        <v>8.1012960000000064E-2</v>
      </c>
      <c r="S153" s="2">
        <v>1.8141503729086839E-2</v>
      </c>
      <c r="T153" s="2">
        <v>0.42006640671284839</v>
      </c>
      <c r="U153" s="2">
        <v>0.48077912955806473</v>
      </c>
      <c r="V153" s="2">
        <v>9.5872480000000135E-2</v>
      </c>
      <c r="W153" s="2">
        <v>1.0000000000000002E-3</v>
      </c>
      <c r="X153" s="2">
        <v>0.28028095448275858</v>
      </c>
      <c r="Y153" s="2">
        <v>0.62284656551724138</v>
      </c>
      <c r="Z153" s="2">
        <v>0.20981936276142141</v>
      </c>
      <c r="AA153" s="2">
        <v>0.14061799723857857</v>
      </c>
      <c r="AB153" s="2">
        <v>0.59051149090909083</v>
      </c>
      <c r="AC153" s="2">
        <v>5.9051149090909173E-2</v>
      </c>
    </row>
    <row r="154" spans="1:29">
      <c r="A154" s="205">
        <v>2073</v>
      </c>
      <c r="B154" s="2">
        <v>0.13871504616800714</v>
      </c>
      <c r="C154" s="2">
        <v>4.4996590281262079E-2</v>
      </c>
      <c r="D154" s="2">
        <v>0.7870402462899555</v>
      </c>
      <c r="E154" s="2">
        <v>2.9248117260775367E-2</v>
      </c>
      <c r="F154" s="2">
        <v>3.8968375917134107E-3</v>
      </c>
      <c r="G154" s="2">
        <v>3.9867646130606421E-2</v>
      </c>
      <c r="H154" s="2">
        <v>0.89998636826134604</v>
      </c>
      <c r="I154" s="2">
        <v>5.6249148016334127E-2</v>
      </c>
      <c r="J154" s="2">
        <v>3.5209184429007973E-2</v>
      </c>
      <c r="K154" s="2">
        <v>9.1445497538205189E-2</v>
      </c>
      <c r="L154" s="2">
        <v>0.82737977497842963</v>
      </c>
      <c r="M154" s="2">
        <v>4.5965543054357134E-2</v>
      </c>
      <c r="N154" s="2">
        <v>0.19409640389647317</v>
      </c>
      <c r="O154" s="2">
        <v>6.6221126035267463E-3</v>
      </c>
      <c r="P154" s="2">
        <v>0.53285432233333341</v>
      </c>
      <c r="Q154" s="2">
        <v>0.2664271611666667</v>
      </c>
      <c r="R154" s="2">
        <v>7.9901640000000065E-2</v>
      </c>
      <c r="S154" s="2">
        <v>1.8141503729086839E-2</v>
      </c>
      <c r="T154" s="2">
        <v>0.42058461786038936</v>
      </c>
      <c r="U154" s="2">
        <v>0.48137223841052373</v>
      </c>
      <c r="V154" s="2">
        <v>9.4557320000000125E-2</v>
      </c>
      <c r="W154" s="2">
        <v>1E-3</v>
      </c>
      <c r="X154" s="2">
        <v>0.2806891075862068</v>
      </c>
      <c r="Y154" s="2">
        <v>0.62375357241379303</v>
      </c>
      <c r="Z154" s="2">
        <v>0.20707768008121838</v>
      </c>
      <c r="AA154" s="2">
        <v>0.1387805599187816</v>
      </c>
      <c r="AB154" s="2">
        <v>0.59467432727272729</v>
      </c>
      <c r="AC154" s="2">
        <v>5.9467432727272819E-2</v>
      </c>
    </row>
    <row r="155" spans="1:29">
      <c r="A155" s="205">
        <v>2074</v>
      </c>
      <c r="B155" s="2">
        <v>0.13621888852488104</v>
      </c>
      <c r="C155" s="2">
        <v>4.4581354248442881E-2</v>
      </c>
      <c r="D155" s="2">
        <v>0.78984732292865178</v>
      </c>
      <c r="E155" s="2">
        <v>2.935243429802422E-2</v>
      </c>
      <c r="F155" s="2">
        <v>3.8267145502172825E-3</v>
      </c>
      <c r="G155" s="2">
        <v>3.9150233475299882E-2</v>
      </c>
      <c r="H155" s="2">
        <v>0.90072757832892503</v>
      </c>
      <c r="I155" s="2">
        <v>5.6295473645557814E-2</v>
      </c>
      <c r="J155" s="2">
        <v>3.4575600133370292E-2</v>
      </c>
      <c r="K155" s="2">
        <v>9.0699691669908447E-2</v>
      </c>
      <c r="L155" s="2">
        <v>0.82868656566005172</v>
      </c>
      <c r="M155" s="2">
        <v>4.603814253666947E-2</v>
      </c>
      <c r="N155" s="2">
        <v>0.18847181222980652</v>
      </c>
      <c r="O155" s="2">
        <v>6.4302147701934126E-3</v>
      </c>
      <c r="P155" s="2">
        <v>0.53673198200000005</v>
      </c>
      <c r="Q155" s="2">
        <v>0.26836599100000003</v>
      </c>
      <c r="R155" s="2">
        <v>7.8790320000000066E-2</v>
      </c>
      <c r="S155" s="2">
        <v>1.8141503729086839E-2</v>
      </c>
      <c r="T155" s="2">
        <v>0.42110282900793033</v>
      </c>
      <c r="U155" s="2">
        <v>0.48196534726298274</v>
      </c>
      <c r="V155" s="2">
        <v>9.3242160000000129E-2</v>
      </c>
      <c r="W155" s="2">
        <v>1E-3</v>
      </c>
      <c r="X155" s="2">
        <v>0.28109726068965513</v>
      </c>
      <c r="Y155" s="2">
        <v>0.6246605793103448</v>
      </c>
      <c r="Z155" s="2">
        <v>0.20433599740101532</v>
      </c>
      <c r="AA155" s="2">
        <v>0.13694312259898464</v>
      </c>
      <c r="AB155" s="2">
        <v>0.59883716363636363</v>
      </c>
      <c r="AC155" s="2">
        <v>5.9883716363636458E-2</v>
      </c>
    </row>
    <row r="156" spans="1:29">
      <c r="A156" s="205">
        <v>2075</v>
      </c>
      <c r="B156" s="2">
        <v>0.13372273088175496</v>
      </c>
      <c r="C156" s="2">
        <v>4.416611821562369E-2</v>
      </c>
      <c r="D156" s="2">
        <v>0.79265439956734829</v>
      </c>
      <c r="E156" s="2">
        <v>2.9456751335273073E-2</v>
      </c>
      <c r="F156" s="2">
        <v>3.7565915087211543E-3</v>
      </c>
      <c r="G156" s="2">
        <v>3.8432820819993344E-2</v>
      </c>
      <c r="H156" s="2">
        <v>0.90146878839650402</v>
      </c>
      <c r="I156" s="2">
        <v>5.6341799274781501E-2</v>
      </c>
      <c r="J156" s="2">
        <v>3.3942015837732611E-2</v>
      </c>
      <c r="K156" s="2">
        <v>8.9953885801611705E-2</v>
      </c>
      <c r="L156" s="2">
        <v>0.82999335634167382</v>
      </c>
      <c r="M156" s="2">
        <v>4.6110742018981805E-2</v>
      </c>
      <c r="N156" s="2">
        <v>0.18284722056313982</v>
      </c>
      <c r="O156" s="2">
        <v>6.2383169368600789E-3</v>
      </c>
      <c r="P156" s="2">
        <v>0.5406096416666667</v>
      </c>
      <c r="Q156" s="2">
        <v>0.27030482083333335</v>
      </c>
      <c r="R156" s="2">
        <v>7.7679000000000081E-2</v>
      </c>
      <c r="S156" s="2">
        <v>1.8141503729086839E-2</v>
      </c>
      <c r="T156" s="2">
        <v>0.42162104015547136</v>
      </c>
      <c r="U156" s="2">
        <v>0.48255845611544179</v>
      </c>
      <c r="V156" s="2">
        <v>9.1927000000000134E-2</v>
      </c>
      <c r="W156" s="2">
        <v>1E-3</v>
      </c>
      <c r="X156" s="2">
        <v>0.2815054137931034</v>
      </c>
      <c r="Y156" s="2">
        <v>0.62556758620689656</v>
      </c>
      <c r="Z156" s="2">
        <v>0.20159431472081227</v>
      </c>
      <c r="AA156" s="2">
        <v>0.13510568527918768</v>
      </c>
      <c r="AB156" s="2">
        <v>0.60299999999999998</v>
      </c>
      <c r="AC156" s="2">
        <v>6.0300000000000097E-2</v>
      </c>
    </row>
    <row r="157" spans="1:29">
      <c r="A157" s="205">
        <v>2076</v>
      </c>
      <c r="B157" s="2">
        <v>0.13122657323862888</v>
      </c>
      <c r="C157" s="2">
        <v>4.3750882182804499E-2</v>
      </c>
      <c r="D157" s="2">
        <v>0.79546147620604468</v>
      </c>
      <c r="E157" s="2">
        <v>2.9561068372521926E-2</v>
      </c>
      <c r="F157" s="2">
        <v>3.6864684672250261E-3</v>
      </c>
      <c r="G157" s="2">
        <v>3.7715408164686805E-2</v>
      </c>
      <c r="H157" s="2">
        <v>0.90220999846408301</v>
      </c>
      <c r="I157" s="2">
        <v>5.6388124904005188E-2</v>
      </c>
      <c r="J157" s="2">
        <v>3.3308431542094931E-2</v>
      </c>
      <c r="K157" s="2">
        <v>8.9208079933314963E-2</v>
      </c>
      <c r="L157" s="2">
        <v>0.83130014702329591</v>
      </c>
      <c r="M157" s="2">
        <v>4.6183341501294141E-2</v>
      </c>
      <c r="N157" s="2">
        <v>0.17722262889647314</v>
      </c>
      <c r="O157" s="2">
        <v>6.0464191035267453E-3</v>
      </c>
      <c r="P157" s="2">
        <v>0.54448730133333334</v>
      </c>
      <c r="Q157" s="2">
        <v>0.27224365066666667</v>
      </c>
      <c r="R157" s="2">
        <v>7.6567680000000082E-2</v>
      </c>
      <c r="S157" s="2">
        <v>1.8141503729086839E-2</v>
      </c>
      <c r="T157" s="2">
        <v>0.42213925130301233</v>
      </c>
      <c r="U157" s="2">
        <v>0.48315156496790079</v>
      </c>
      <c r="V157" s="2">
        <v>9.0611840000000138E-2</v>
      </c>
      <c r="W157" s="2">
        <v>1E-3</v>
      </c>
      <c r="X157" s="2">
        <v>0.28191356689655167</v>
      </c>
      <c r="Y157" s="2">
        <v>0.62647459310344822</v>
      </c>
      <c r="Z157" s="2">
        <v>0.19885263204060921</v>
      </c>
      <c r="AA157" s="2">
        <v>0.13326824795939071</v>
      </c>
      <c r="AB157" s="2">
        <v>0.60716283636363633</v>
      </c>
      <c r="AC157" s="2">
        <v>6.0716283636363735E-2</v>
      </c>
    </row>
    <row r="158" spans="1:29">
      <c r="A158" s="205">
        <v>2077</v>
      </c>
      <c r="B158" s="2">
        <v>0.1287304155955028</v>
      </c>
      <c r="C158" s="2">
        <v>4.3335646149985307E-2</v>
      </c>
      <c r="D158" s="2">
        <v>0.79826855284474107</v>
      </c>
      <c r="E158" s="2">
        <v>2.9665385409770779E-2</v>
      </c>
      <c r="F158" s="2">
        <v>3.6163454257288979E-3</v>
      </c>
      <c r="G158" s="2">
        <v>3.6997995509380266E-2</v>
      </c>
      <c r="H158" s="2">
        <v>0.902951208531662</v>
      </c>
      <c r="I158" s="2">
        <v>5.6434450533228875E-2</v>
      </c>
      <c r="J158" s="2">
        <v>3.267484724645725E-2</v>
      </c>
      <c r="K158" s="2">
        <v>8.846227406501822E-2</v>
      </c>
      <c r="L158" s="2">
        <v>0.832606937704918</v>
      </c>
      <c r="M158" s="2">
        <v>4.6255940983606476E-2</v>
      </c>
      <c r="N158" s="2">
        <v>0.17159803722980649</v>
      </c>
      <c r="O158" s="2">
        <v>5.8545212701934116E-3</v>
      </c>
      <c r="P158" s="2">
        <v>0.5483649610000001</v>
      </c>
      <c r="Q158" s="2">
        <v>0.27418248050000005</v>
      </c>
      <c r="R158" s="2">
        <v>7.5456360000000083E-2</v>
      </c>
      <c r="S158" s="2">
        <v>1.8141503729086839E-2</v>
      </c>
      <c r="T158" s="2">
        <v>0.4226574624505533</v>
      </c>
      <c r="U158" s="2">
        <v>0.48374467382035979</v>
      </c>
      <c r="V158" s="2">
        <v>8.9296680000000142E-2</v>
      </c>
      <c r="W158" s="2">
        <v>1E-3</v>
      </c>
      <c r="X158" s="2">
        <v>0.28232171999999994</v>
      </c>
      <c r="Y158" s="2">
        <v>0.62738159999999998</v>
      </c>
      <c r="Z158" s="2">
        <v>0.19611094936040616</v>
      </c>
      <c r="AA158" s="2">
        <v>0.13143081063959378</v>
      </c>
      <c r="AB158" s="2">
        <v>0.61132567272727267</v>
      </c>
      <c r="AC158" s="2">
        <v>6.1132567272727381E-2</v>
      </c>
    </row>
    <row r="159" spans="1:29">
      <c r="A159" s="205">
        <v>2078</v>
      </c>
      <c r="B159" s="2">
        <v>0.12623425795237672</v>
      </c>
      <c r="C159" s="2">
        <v>4.2920410117166116E-2</v>
      </c>
      <c r="D159" s="2">
        <v>0.80107562948343758</v>
      </c>
      <c r="E159" s="2">
        <v>2.9769702447019635E-2</v>
      </c>
      <c r="F159" s="2">
        <v>3.5462223842327696E-3</v>
      </c>
      <c r="G159" s="2">
        <v>3.6280582854073727E-2</v>
      </c>
      <c r="H159" s="2">
        <v>0.90369241859924099</v>
      </c>
      <c r="I159" s="2">
        <v>5.6480776162452562E-2</v>
      </c>
      <c r="J159" s="2">
        <v>3.204126295081957E-2</v>
      </c>
      <c r="K159" s="2">
        <v>8.7716468196721478E-2</v>
      </c>
      <c r="L159" s="2">
        <v>0.8339137283865401</v>
      </c>
      <c r="M159" s="2">
        <v>4.6328540465918812E-2</v>
      </c>
      <c r="N159" s="2">
        <v>0.16597344556313978</v>
      </c>
      <c r="O159" s="2">
        <v>5.6626234368600771E-3</v>
      </c>
      <c r="P159" s="2">
        <v>0.55224262066666674</v>
      </c>
      <c r="Q159" s="2">
        <v>0.27612131033333337</v>
      </c>
      <c r="R159" s="2">
        <v>7.4345040000000084E-2</v>
      </c>
      <c r="S159" s="2">
        <v>1.8141503729086839E-2</v>
      </c>
      <c r="T159" s="2">
        <v>0.42317567359809427</v>
      </c>
      <c r="U159" s="2">
        <v>0.4843377826728188</v>
      </c>
      <c r="V159" s="2">
        <v>8.7981520000000146E-2</v>
      </c>
      <c r="W159" s="2">
        <v>1E-3</v>
      </c>
      <c r="X159" s="2">
        <v>0.28272987310344821</v>
      </c>
      <c r="Y159" s="2">
        <v>0.62828860689655164</v>
      </c>
      <c r="Z159" s="2">
        <v>0.1933692666802031</v>
      </c>
      <c r="AA159" s="2">
        <v>0.12959337331979681</v>
      </c>
      <c r="AB159" s="2">
        <v>0.61548850909090902</v>
      </c>
      <c r="AC159" s="2">
        <v>6.154885090909102E-2</v>
      </c>
    </row>
    <row r="160" spans="1:29">
      <c r="A160" s="205">
        <v>2079</v>
      </c>
      <c r="B160" s="2">
        <v>0.12373810030925063</v>
      </c>
      <c r="C160" s="2">
        <v>4.2505174084346925E-2</v>
      </c>
      <c r="D160" s="2">
        <v>0.80388270612213397</v>
      </c>
      <c r="E160" s="2">
        <v>2.9874019484268488E-2</v>
      </c>
      <c r="F160" s="2">
        <v>3.4760993427366414E-3</v>
      </c>
      <c r="G160" s="2">
        <v>3.5563170198767188E-2</v>
      </c>
      <c r="H160" s="2">
        <v>0.90443362866681998</v>
      </c>
      <c r="I160" s="2">
        <v>5.6527101791676249E-2</v>
      </c>
      <c r="J160" s="2">
        <v>3.1407678655181889E-2</v>
      </c>
      <c r="K160" s="2">
        <v>8.6970662328424736E-2</v>
      </c>
      <c r="L160" s="2">
        <v>0.83522051906816219</v>
      </c>
      <c r="M160" s="2">
        <v>4.6401139948231147E-2</v>
      </c>
      <c r="N160" s="2">
        <v>0.1603488538964731</v>
      </c>
      <c r="O160" s="2">
        <v>5.4707256035267443E-3</v>
      </c>
      <c r="P160" s="2">
        <v>0.55612028033333338</v>
      </c>
      <c r="Q160" s="2">
        <v>0.27806014016666669</v>
      </c>
      <c r="R160" s="2">
        <v>7.3233720000000085E-2</v>
      </c>
      <c r="S160" s="2">
        <v>1.8141503729086839E-2</v>
      </c>
      <c r="T160" s="2">
        <v>0.42369388474563524</v>
      </c>
      <c r="U160" s="2">
        <v>0.4849308915252778</v>
      </c>
      <c r="V160" s="2">
        <v>8.666636000000015E-2</v>
      </c>
      <c r="W160" s="2">
        <v>1E-3</v>
      </c>
      <c r="X160" s="2">
        <v>0.28313802620689643</v>
      </c>
      <c r="Y160" s="2">
        <v>0.6291956137931034</v>
      </c>
      <c r="Z160" s="2">
        <v>0.19062758400000007</v>
      </c>
      <c r="AA160" s="2">
        <v>0.12775593599999985</v>
      </c>
      <c r="AB160" s="2">
        <v>0.61965134545454548</v>
      </c>
      <c r="AC160" s="2">
        <v>6.1965134545454666E-2</v>
      </c>
    </row>
    <row r="161" spans="1:29">
      <c r="A161" s="205">
        <v>2080</v>
      </c>
      <c r="B161" s="2">
        <v>0.12124194266612454</v>
      </c>
      <c r="C161" s="2">
        <v>4.2089938051527734E-2</v>
      </c>
      <c r="D161" s="2">
        <v>0.80668978276083037</v>
      </c>
      <c r="E161" s="2">
        <v>2.9978336521517341E-2</v>
      </c>
      <c r="F161" s="2">
        <v>3.4059763012405132E-3</v>
      </c>
      <c r="G161" s="2">
        <v>3.484575754346065E-2</v>
      </c>
      <c r="H161" s="2">
        <v>0.90517483873439897</v>
      </c>
      <c r="I161" s="2">
        <v>5.6573427420899935E-2</v>
      </c>
      <c r="J161" s="2">
        <v>3.0774094359544212E-2</v>
      </c>
      <c r="K161" s="2">
        <v>8.6224856460127994E-2</v>
      </c>
      <c r="L161" s="2">
        <v>0.83652730974978429</v>
      </c>
      <c r="M161" s="2">
        <v>4.6473739430543483E-2</v>
      </c>
      <c r="N161" s="2">
        <v>0.15472426222980643</v>
      </c>
      <c r="O161" s="2">
        <v>5.2788277701934106E-3</v>
      </c>
      <c r="P161" s="2">
        <v>0.55999794000000014</v>
      </c>
      <c r="Q161" s="2">
        <v>0.27999897000000007</v>
      </c>
      <c r="R161" s="2">
        <v>7.2122400000000086E-2</v>
      </c>
      <c r="S161" s="2">
        <v>1.8141503729086843E-2</v>
      </c>
      <c r="T161" s="2">
        <v>0.42421209589317627</v>
      </c>
      <c r="U161" s="2">
        <v>0.48552400037773685</v>
      </c>
      <c r="V161" s="2">
        <v>8.5351200000000169E-2</v>
      </c>
      <c r="W161" s="2">
        <v>1.0000000000000002E-3</v>
      </c>
      <c r="X161" s="2">
        <v>0.28354617931034476</v>
      </c>
      <c r="Y161" s="2">
        <v>0.63010262068965517</v>
      </c>
      <c r="Z161" s="2">
        <v>0.18788590131979702</v>
      </c>
      <c r="AA161" s="2">
        <v>0.12591849868020288</v>
      </c>
      <c r="AB161" s="2">
        <v>0.62381418181818182</v>
      </c>
      <c r="AC161" s="2">
        <v>6.2381418181818304E-2</v>
      </c>
    </row>
    <row r="162" spans="1:29">
      <c r="A162" s="205">
        <v>2081</v>
      </c>
      <c r="B162" s="2">
        <v>0.11874578502299844</v>
      </c>
      <c r="C162" s="2">
        <v>4.1674702018708543E-2</v>
      </c>
      <c r="D162" s="2">
        <v>0.80949685939952687</v>
      </c>
      <c r="E162" s="2">
        <v>3.0082653558766194E-2</v>
      </c>
      <c r="F162" s="2">
        <v>3.335853259744385E-3</v>
      </c>
      <c r="G162" s="2">
        <v>3.4128344888154111E-2</v>
      </c>
      <c r="H162" s="2">
        <v>0.90591604880197796</v>
      </c>
      <c r="I162" s="2">
        <v>5.6619753050123622E-2</v>
      </c>
      <c r="J162" s="2">
        <v>3.0140510063906535E-2</v>
      </c>
      <c r="K162" s="2">
        <v>8.5479050591831252E-2</v>
      </c>
      <c r="L162" s="2">
        <v>0.83783410043140638</v>
      </c>
      <c r="M162" s="2">
        <v>4.6546338912855818E-2</v>
      </c>
      <c r="N162" s="2">
        <v>0.14909967056313975</v>
      </c>
      <c r="O162" s="2">
        <v>5.0869299368600769E-3</v>
      </c>
      <c r="P162" s="2">
        <v>0.56387559966666678</v>
      </c>
      <c r="Q162" s="2">
        <v>0.28193779983333339</v>
      </c>
      <c r="R162" s="2">
        <v>7.1011080000000087E-2</v>
      </c>
      <c r="S162" s="2">
        <v>1.8141503729086843E-2</v>
      </c>
      <c r="T162" s="2">
        <v>0.42473030704071724</v>
      </c>
      <c r="U162" s="2">
        <v>0.48611710923019585</v>
      </c>
      <c r="V162" s="2">
        <v>8.4036040000000159E-2</v>
      </c>
      <c r="W162" s="2">
        <v>1E-3</v>
      </c>
      <c r="X162" s="2">
        <v>0.28395433241379298</v>
      </c>
      <c r="Y162" s="2">
        <v>0.63100962758620682</v>
      </c>
      <c r="Z162" s="2">
        <v>0.18514421863959396</v>
      </c>
      <c r="AA162" s="2">
        <v>0.12408106136040593</v>
      </c>
      <c r="AB162" s="2">
        <v>0.62797701818181817</v>
      </c>
      <c r="AC162" s="2">
        <v>6.2797701818181936E-2</v>
      </c>
    </row>
    <row r="163" spans="1:29">
      <c r="A163" s="205">
        <v>2082</v>
      </c>
      <c r="B163" s="2">
        <v>0.11624962737987235</v>
      </c>
      <c r="C163" s="2">
        <v>4.1259465985889351E-2</v>
      </c>
      <c r="D163" s="2">
        <v>0.81230393603822326</v>
      </c>
      <c r="E163" s="2">
        <v>3.018697059601505E-2</v>
      </c>
      <c r="F163" s="2">
        <v>3.2657302182482568E-3</v>
      </c>
      <c r="G163" s="2">
        <v>3.3410932232847572E-2</v>
      </c>
      <c r="H163" s="2">
        <v>0.90665725886955695</v>
      </c>
      <c r="I163" s="2">
        <v>5.6666078679347309E-2</v>
      </c>
      <c r="J163" s="2">
        <v>2.9506925768268858E-2</v>
      </c>
      <c r="K163" s="2">
        <v>8.4733244723534509E-2</v>
      </c>
      <c r="L163" s="2">
        <v>0.83914089111302848</v>
      </c>
      <c r="M163" s="2">
        <v>4.6618938395168154E-2</v>
      </c>
      <c r="N163" s="2">
        <v>0.14347507889647307</v>
      </c>
      <c r="O163" s="2">
        <v>4.8950321035267433E-3</v>
      </c>
      <c r="P163" s="2">
        <v>0.56775325933333343</v>
      </c>
      <c r="Q163" s="2">
        <v>0.28387662966666671</v>
      </c>
      <c r="R163" s="2">
        <v>6.9899760000000088E-2</v>
      </c>
      <c r="S163" s="2">
        <v>1.8141503729086843E-2</v>
      </c>
      <c r="T163" s="2">
        <v>0.42524851818825821</v>
      </c>
      <c r="U163" s="2">
        <v>0.48671021808265486</v>
      </c>
      <c r="V163" s="2">
        <v>8.2720880000000177E-2</v>
      </c>
      <c r="W163" s="2">
        <v>1.0000000000000002E-3</v>
      </c>
      <c r="X163" s="2">
        <v>0.2843624855172413</v>
      </c>
      <c r="Y163" s="2">
        <v>0.63191663448275859</v>
      </c>
      <c r="Z163" s="2">
        <v>0.1824025359593909</v>
      </c>
      <c r="AA163" s="2">
        <v>0.12224362404060898</v>
      </c>
      <c r="AB163" s="2">
        <v>0.63213985454545452</v>
      </c>
      <c r="AC163" s="2">
        <v>6.3213985454545568E-2</v>
      </c>
    </row>
    <row r="164" spans="1:29">
      <c r="A164" s="205">
        <v>2083</v>
      </c>
      <c r="B164" s="2">
        <v>0.11375346973674626</v>
      </c>
      <c r="C164" s="2">
        <v>4.084422995307016E-2</v>
      </c>
      <c r="D164" s="2">
        <v>0.81511101267691966</v>
      </c>
      <c r="E164" s="2">
        <v>3.0291287633263903E-2</v>
      </c>
      <c r="F164" s="2">
        <v>3.1956071767521286E-3</v>
      </c>
      <c r="G164" s="2">
        <v>3.2693519577541033E-2</v>
      </c>
      <c r="H164" s="2">
        <v>0.90739846893713594</v>
      </c>
      <c r="I164" s="2">
        <v>5.6712404308570996E-2</v>
      </c>
      <c r="J164" s="2">
        <v>2.8873341472631181E-2</v>
      </c>
      <c r="K164" s="2">
        <v>8.3987438855237767E-2</v>
      </c>
      <c r="L164" s="2">
        <v>0.84044768179465057</v>
      </c>
      <c r="M164" s="2">
        <v>4.6691537877480489E-2</v>
      </c>
      <c r="N164" s="2">
        <v>0.13785048722980639</v>
      </c>
      <c r="O164" s="2">
        <v>4.7031342701934096E-3</v>
      </c>
      <c r="P164" s="2">
        <v>0.57163091900000007</v>
      </c>
      <c r="Q164" s="2">
        <v>0.28581545950000004</v>
      </c>
      <c r="R164" s="2">
        <v>6.878844000000009E-2</v>
      </c>
      <c r="S164" s="2">
        <v>1.8141503729086846E-2</v>
      </c>
      <c r="T164" s="2">
        <v>0.42576672933579923</v>
      </c>
      <c r="U164" s="2">
        <v>0.48730332693511391</v>
      </c>
      <c r="V164" s="2">
        <v>8.1405720000000167E-2</v>
      </c>
      <c r="W164" s="2">
        <v>1E-3</v>
      </c>
      <c r="X164" s="2">
        <v>0.28477063862068958</v>
      </c>
      <c r="Y164" s="2">
        <v>0.63282364137931035</v>
      </c>
      <c r="Z164" s="2">
        <v>0.17966085327918785</v>
      </c>
      <c r="AA164" s="2">
        <v>0.12040618672081203</v>
      </c>
      <c r="AB164" s="2">
        <v>0.63630269090909086</v>
      </c>
      <c r="AC164" s="2">
        <v>6.36302690909092E-2</v>
      </c>
    </row>
    <row r="165" spans="1:29">
      <c r="A165" s="205">
        <v>2084</v>
      </c>
      <c r="B165" s="2">
        <v>0.11125731209362016</v>
      </c>
      <c r="C165" s="2">
        <v>4.0428993920250969E-2</v>
      </c>
      <c r="D165" s="2">
        <v>0.81791808931561616</v>
      </c>
      <c r="E165" s="2">
        <v>3.0395604670512756E-2</v>
      </c>
      <c r="F165" s="2">
        <v>3.125484135256E-3</v>
      </c>
      <c r="G165" s="2">
        <v>3.1976106922234487E-2</v>
      </c>
      <c r="H165" s="2">
        <v>0.90813967900471471</v>
      </c>
      <c r="I165" s="2">
        <v>5.6758729937794669E-2</v>
      </c>
      <c r="J165" s="2">
        <v>2.8239757176993504E-2</v>
      </c>
      <c r="K165" s="2">
        <v>8.3241632986941025E-2</v>
      </c>
      <c r="L165" s="2">
        <v>0.84175447247627266</v>
      </c>
      <c r="M165" s="2">
        <v>4.6764137359792825E-2</v>
      </c>
      <c r="N165" s="2">
        <v>0.13222589556313971</v>
      </c>
      <c r="O165" s="2">
        <v>4.511236436860076E-3</v>
      </c>
      <c r="P165" s="2">
        <v>0.57550857866666683</v>
      </c>
      <c r="Q165" s="2">
        <v>0.28775428933333341</v>
      </c>
      <c r="R165" s="2">
        <v>6.7677120000000091E-2</v>
      </c>
      <c r="S165" s="2">
        <v>1.8141503729086846E-2</v>
      </c>
      <c r="T165" s="2">
        <v>0.4262849404833402</v>
      </c>
      <c r="U165" s="2">
        <v>0.48789643578757291</v>
      </c>
      <c r="V165" s="2">
        <v>8.0090560000000172E-2</v>
      </c>
      <c r="W165" s="2">
        <v>1E-3</v>
      </c>
      <c r="X165" s="2">
        <v>0.28517879172413785</v>
      </c>
      <c r="Y165" s="2">
        <v>0.63373064827586201</v>
      </c>
      <c r="Z165" s="2">
        <v>0.17691917059898479</v>
      </c>
      <c r="AA165" s="2">
        <v>0.1185687494010151</v>
      </c>
      <c r="AB165" s="2">
        <v>0.64046552727272732</v>
      </c>
      <c r="AC165" s="2">
        <v>6.4046552727272846E-2</v>
      </c>
    </row>
    <row r="166" spans="1:29">
      <c r="A166" s="205">
        <v>2085</v>
      </c>
      <c r="B166" s="2">
        <v>0.10876115445049407</v>
      </c>
      <c r="C166" s="2">
        <v>4.0013757887431778E-2</v>
      </c>
      <c r="D166" s="2">
        <v>0.82072516595431255</v>
      </c>
      <c r="E166" s="2">
        <v>3.0499921707761612E-2</v>
      </c>
      <c r="F166" s="2">
        <v>3.0553610937598718E-3</v>
      </c>
      <c r="G166" s="2">
        <v>3.1258694266927949E-2</v>
      </c>
      <c r="H166" s="2">
        <v>0.9088808890722937</v>
      </c>
      <c r="I166" s="2">
        <v>5.6805055567018356E-2</v>
      </c>
      <c r="J166" s="2">
        <v>2.7606172881355827E-2</v>
      </c>
      <c r="K166" s="2">
        <v>8.2495827118644283E-2</v>
      </c>
      <c r="L166" s="2">
        <v>0.84306126315789476</v>
      </c>
      <c r="M166" s="2">
        <v>4.683673684210516E-2</v>
      </c>
      <c r="N166" s="2">
        <v>0.12660130389647303</v>
      </c>
      <c r="O166" s="2">
        <v>4.3193386035267423E-3</v>
      </c>
      <c r="P166" s="2">
        <v>0.57938623833333347</v>
      </c>
      <c r="Q166" s="2">
        <v>0.28969311916666673</v>
      </c>
      <c r="R166" s="2">
        <v>6.6565800000000092E-2</v>
      </c>
      <c r="S166" s="2">
        <v>1.8141503729086846E-2</v>
      </c>
      <c r="T166" s="2">
        <v>0.42680315163088117</v>
      </c>
      <c r="U166" s="2">
        <v>0.48848954464003191</v>
      </c>
      <c r="V166" s="2">
        <v>7.8775400000000176E-2</v>
      </c>
      <c r="W166" s="2">
        <v>1E-3</v>
      </c>
      <c r="X166" s="2">
        <v>0.28558694482758612</v>
      </c>
      <c r="Y166" s="2">
        <v>0.63463765517241377</v>
      </c>
      <c r="Z166" s="2">
        <v>0.17417748791878176</v>
      </c>
      <c r="AA166" s="2">
        <v>0.11673131208121815</v>
      </c>
      <c r="AB166" s="2">
        <v>0.64462836363636367</v>
      </c>
      <c r="AC166" s="2">
        <v>6.4462836363636478E-2</v>
      </c>
    </row>
    <row r="167" spans="1:29">
      <c r="A167" s="205">
        <v>2086</v>
      </c>
      <c r="B167" s="2">
        <v>0.10626499680736798</v>
      </c>
      <c r="C167" s="2">
        <v>3.9598521854612587E-2</v>
      </c>
      <c r="D167" s="2">
        <v>0.82353224259300895</v>
      </c>
      <c r="E167" s="2">
        <v>3.0604238745010465E-2</v>
      </c>
      <c r="F167" s="2">
        <v>2.9852380522637435E-3</v>
      </c>
      <c r="G167" s="2">
        <v>3.0541281611621406E-2</v>
      </c>
      <c r="H167" s="2">
        <v>0.90962209913987269</v>
      </c>
      <c r="I167" s="2">
        <v>5.6851381196242043E-2</v>
      </c>
      <c r="J167" s="2">
        <v>2.697258858571815E-2</v>
      </c>
      <c r="K167" s="2">
        <v>8.175002125034754E-2</v>
      </c>
      <c r="L167" s="2">
        <v>0.84436805383951685</v>
      </c>
      <c r="M167" s="2">
        <v>4.6909336324417489E-2</v>
      </c>
      <c r="N167" s="2">
        <v>0.12097671222980637</v>
      </c>
      <c r="O167" s="2">
        <v>4.1274407701934078E-3</v>
      </c>
      <c r="P167" s="2">
        <v>0.58326389800000011</v>
      </c>
      <c r="Q167" s="2">
        <v>0.29163194900000006</v>
      </c>
      <c r="R167" s="2">
        <v>6.5454480000000093E-2</v>
      </c>
      <c r="S167" s="2">
        <v>1.8141503729086846E-2</v>
      </c>
      <c r="T167" s="2">
        <v>0.42732136277842214</v>
      </c>
      <c r="U167" s="2">
        <v>0.48908265349249092</v>
      </c>
      <c r="V167" s="2">
        <v>7.746024000000018E-2</v>
      </c>
      <c r="W167" s="2">
        <v>1E-3</v>
      </c>
      <c r="X167" s="2">
        <v>0.28599509793103439</v>
      </c>
      <c r="Y167" s="2">
        <v>0.63554466206896543</v>
      </c>
      <c r="Z167" s="2">
        <v>0.17143580523857868</v>
      </c>
      <c r="AA167" s="2">
        <v>0.11489387476142118</v>
      </c>
      <c r="AB167" s="2">
        <v>0.64879120000000001</v>
      </c>
      <c r="AC167" s="2">
        <v>6.4879120000000109E-2</v>
      </c>
    </row>
    <row r="168" spans="1:29">
      <c r="A168" s="205">
        <v>2087</v>
      </c>
      <c r="B168" s="2">
        <v>0.10376883916424189</v>
      </c>
      <c r="C168" s="2">
        <v>3.9183285821793395E-2</v>
      </c>
      <c r="D168" s="2">
        <v>0.82633931923170545</v>
      </c>
      <c r="E168" s="2">
        <v>3.0708555782259318E-2</v>
      </c>
      <c r="F168" s="2">
        <v>2.9151150107676153E-3</v>
      </c>
      <c r="G168" s="2">
        <v>2.9823868956314864E-2</v>
      </c>
      <c r="H168" s="2">
        <v>0.91036330920745168</v>
      </c>
      <c r="I168" s="2">
        <v>5.689770682546573E-2</v>
      </c>
      <c r="J168" s="2">
        <v>2.6339004290080473E-2</v>
      </c>
      <c r="K168" s="2">
        <v>8.1004215382050798E-2</v>
      </c>
      <c r="L168" s="2">
        <v>0.84567484452113895</v>
      </c>
      <c r="M168" s="2">
        <v>4.6981935806729824E-2</v>
      </c>
      <c r="N168" s="2">
        <v>0.1153521205631397</v>
      </c>
      <c r="O168" s="2">
        <v>3.935542936860075E-3</v>
      </c>
      <c r="P168" s="2">
        <v>0.58714155766666687</v>
      </c>
      <c r="Q168" s="2">
        <v>0.29357077883333343</v>
      </c>
      <c r="R168" s="2">
        <v>6.4343160000000094E-2</v>
      </c>
      <c r="S168" s="2">
        <v>1.8141503729086846E-2</v>
      </c>
      <c r="T168" s="2">
        <v>0.42783957392596311</v>
      </c>
      <c r="U168" s="2">
        <v>0.48967576234494992</v>
      </c>
      <c r="V168" s="2">
        <v>7.6145080000000184E-2</v>
      </c>
      <c r="W168" s="2">
        <v>1E-3</v>
      </c>
      <c r="X168" s="2">
        <v>0.28640325103448266</v>
      </c>
      <c r="Y168" s="2">
        <v>0.63645166896551719</v>
      </c>
      <c r="Z168" s="2">
        <v>0.16869412255837563</v>
      </c>
      <c r="AA168" s="2">
        <v>0.11305643744162423</v>
      </c>
      <c r="AB168" s="2">
        <v>0.65295403636363636</v>
      </c>
      <c r="AC168" s="2">
        <v>6.5295403636363741E-2</v>
      </c>
    </row>
    <row r="169" spans="1:29">
      <c r="A169" s="205">
        <v>2088</v>
      </c>
      <c r="B169" s="2">
        <v>0.10127268152111579</v>
      </c>
      <c r="C169" s="2">
        <v>3.8768049788974204E-2</v>
      </c>
      <c r="D169" s="2">
        <v>0.82914639587040184</v>
      </c>
      <c r="E169" s="2">
        <v>3.0812872819508171E-2</v>
      </c>
      <c r="F169" s="2">
        <v>2.8449919692714871E-3</v>
      </c>
      <c r="G169" s="2">
        <v>2.9106456301008322E-2</v>
      </c>
      <c r="H169" s="2">
        <v>0.91110451927503067</v>
      </c>
      <c r="I169" s="2">
        <v>5.6944032454689417E-2</v>
      </c>
      <c r="J169" s="2">
        <v>2.5705419994442796E-2</v>
      </c>
      <c r="K169" s="2">
        <v>8.0258409513754056E-2</v>
      </c>
      <c r="L169" s="2">
        <v>0.84698163520276104</v>
      </c>
      <c r="M169" s="2">
        <v>4.705453528904216E-2</v>
      </c>
      <c r="N169" s="2">
        <v>0.10972752889647301</v>
      </c>
      <c r="O169" s="2">
        <v>3.7436451035267404E-3</v>
      </c>
      <c r="P169" s="2">
        <v>0.5910192173333334</v>
      </c>
      <c r="Q169" s="2">
        <v>0.2955096086666667</v>
      </c>
      <c r="R169" s="2">
        <v>6.3231840000000109E-2</v>
      </c>
      <c r="S169" s="2">
        <v>1.8141503729086846E-2</v>
      </c>
      <c r="T169" s="2">
        <v>0.42835778507350414</v>
      </c>
      <c r="U169" s="2">
        <v>0.49026887119740897</v>
      </c>
      <c r="V169" s="2">
        <v>7.4829920000000189E-2</v>
      </c>
      <c r="W169" s="2">
        <v>1E-3</v>
      </c>
      <c r="X169" s="2">
        <v>0.28681140413793094</v>
      </c>
      <c r="Y169" s="2">
        <v>0.63735867586206885</v>
      </c>
      <c r="Z169" s="2">
        <v>0.1659524398781726</v>
      </c>
      <c r="AA169" s="2">
        <v>0.1112190001218273</v>
      </c>
      <c r="AB169" s="2">
        <v>0.65711687272727282</v>
      </c>
      <c r="AC169" s="2">
        <v>6.5711687272727373E-2</v>
      </c>
    </row>
    <row r="170" spans="1:29">
      <c r="A170" s="205">
        <v>2089</v>
      </c>
      <c r="B170" s="2">
        <v>9.87765238779897E-2</v>
      </c>
      <c r="C170" s="2">
        <v>3.8352813756155013E-2</v>
      </c>
      <c r="D170" s="2">
        <v>0.83195347250909824</v>
      </c>
      <c r="E170" s="2">
        <v>3.0917189856757028E-2</v>
      </c>
      <c r="F170" s="2">
        <v>2.7748689277753589E-3</v>
      </c>
      <c r="G170" s="2">
        <v>2.8389043645701779E-2</v>
      </c>
      <c r="H170" s="2">
        <v>0.91184572934260966</v>
      </c>
      <c r="I170" s="2">
        <v>5.6990358083913104E-2</v>
      </c>
      <c r="J170" s="2">
        <v>2.5071835698805119E-2</v>
      </c>
      <c r="K170" s="2">
        <v>7.9512603645457314E-2</v>
      </c>
      <c r="L170" s="2">
        <v>0.84828842588438313</v>
      </c>
      <c r="M170" s="2">
        <v>4.7127134771354495E-2</v>
      </c>
      <c r="N170" s="2">
        <v>0.10410293722980635</v>
      </c>
      <c r="O170" s="2">
        <v>3.5517472701934076E-3</v>
      </c>
      <c r="P170" s="2">
        <v>0.59489687700000016</v>
      </c>
      <c r="Q170" s="2">
        <v>0.29744843850000008</v>
      </c>
      <c r="R170" s="2">
        <v>6.2120520000000103E-2</v>
      </c>
      <c r="S170" s="2">
        <v>1.8141503729086846E-2</v>
      </c>
      <c r="T170" s="2">
        <v>0.42887599622104511</v>
      </c>
      <c r="U170" s="2">
        <v>0.49086198004986797</v>
      </c>
      <c r="V170" s="2">
        <v>7.3514760000000193E-2</v>
      </c>
      <c r="W170" s="2">
        <v>1E-3</v>
      </c>
      <c r="X170" s="2">
        <v>0.28721955724137921</v>
      </c>
      <c r="Y170" s="2">
        <v>0.63826568275862061</v>
      </c>
      <c r="Z170" s="2">
        <v>0.16321075719796954</v>
      </c>
      <c r="AA170" s="2">
        <v>0.10938156280203035</v>
      </c>
      <c r="AB170" s="2">
        <v>0.66127970909090916</v>
      </c>
      <c r="AC170" s="2">
        <v>6.6127970909091005E-2</v>
      </c>
    </row>
    <row r="171" spans="1:29">
      <c r="A171" s="205">
        <v>2090</v>
      </c>
      <c r="B171" s="2">
        <v>9.6280366234863607E-2</v>
      </c>
      <c r="C171" s="2">
        <v>3.7937577723335822E-2</v>
      </c>
      <c r="D171" s="2">
        <v>0.83476054914779474</v>
      </c>
      <c r="E171" s="2">
        <v>3.1021506894005881E-2</v>
      </c>
      <c r="F171" s="2">
        <v>2.7047458862792307E-3</v>
      </c>
      <c r="G171" s="2">
        <v>2.7671630990395237E-2</v>
      </c>
      <c r="H171" s="2">
        <v>0.91258693941018865</v>
      </c>
      <c r="I171" s="2">
        <v>5.703668371313679E-2</v>
      </c>
      <c r="J171" s="2">
        <v>2.4438251403167442E-2</v>
      </c>
      <c r="K171" s="2">
        <v>7.8766797777160572E-2</v>
      </c>
      <c r="L171" s="2">
        <v>0.84959521656600523</v>
      </c>
      <c r="M171" s="2">
        <v>4.7199734253666831E-2</v>
      </c>
      <c r="N171" s="2">
        <v>9.8478345563139696E-2</v>
      </c>
      <c r="O171" s="2">
        <v>3.3598494368600744E-3</v>
      </c>
      <c r="P171" s="2">
        <v>0.59877453666666691</v>
      </c>
      <c r="Q171" s="2">
        <v>0.29938726833333346</v>
      </c>
      <c r="R171" s="2">
        <v>6.1009200000000104E-2</v>
      </c>
      <c r="S171" s="2">
        <v>1.8141503729086846E-2</v>
      </c>
      <c r="T171" s="2">
        <v>0.42939420736858608</v>
      </c>
      <c r="U171" s="2">
        <v>0.49145508890232698</v>
      </c>
      <c r="V171" s="2">
        <v>7.2199600000000197E-2</v>
      </c>
      <c r="W171" s="2">
        <v>1E-3</v>
      </c>
      <c r="X171" s="2">
        <v>0.28762771034482748</v>
      </c>
      <c r="Y171" s="2">
        <v>0.63917268965517238</v>
      </c>
      <c r="Z171" s="2">
        <v>0.16046907451776649</v>
      </c>
      <c r="AA171" s="2">
        <v>0.1075441254822334</v>
      </c>
      <c r="AB171" s="2">
        <v>0.66544254545454551</v>
      </c>
      <c r="AC171" s="2">
        <v>6.6544254545454651E-2</v>
      </c>
    </row>
    <row r="172" spans="1:29">
      <c r="A172" s="205">
        <v>2091</v>
      </c>
      <c r="B172" s="2">
        <v>9.3784208591737514E-2</v>
      </c>
      <c r="C172" s="2">
        <v>3.7522341690516631E-2</v>
      </c>
      <c r="D172" s="2">
        <v>0.83756762578649113</v>
      </c>
      <c r="E172" s="2">
        <v>3.1125823931254733E-2</v>
      </c>
      <c r="F172" s="2">
        <v>2.6346228447831025E-3</v>
      </c>
      <c r="G172" s="2">
        <v>2.6954218335088698E-2</v>
      </c>
      <c r="H172" s="2">
        <v>0.91332814947776764</v>
      </c>
      <c r="I172" s="2">
        <v>5.7083009342360477E-2</v>
      </c>
      <c r="J172" s="2">
        <v>2.3804667107529761E-2</v>
      </c>
      <c r="K172" s="2">
        <v>7.8020991908863815E-2</v>
      </c>
      <c r="L172" s="2">
        <v>0.85090200724762721</v>
      </c>
      <c r="M172" s="2">
        <v>4.7272333735979159E-2</v>
      </c>
      <c r="N172" s="2">
        <v>9.2853753896473018E-2</v>
      </c>
      <c r="O172" s="2">
        <v>3.1679516035267407E-3</v>
      </c>
      <c r="P172" s="2">
        <v>0.60265219633333356</v>
      </c>
      <c r="Q172" s="2">
        <v>0.30132609816666678</v>
      </c>
      <c r="R172" s="2">
        <v>5.9897880000000112E-2</v>
      </c>
      <c r="S172" s="2">
        <v>1.814150372908685E-2</v>
      </c>
      <c r="T172" s="2">
        <v>0.4299124185161271</v>
      </c>
      <c r="U172" s="2">
        <v>0.49204819775478603</v>
      </c>
      <c r="V172" s="2">
        <v>7.0884440000000201E-2</v>
      </c>
      <c r="W172" s="2">
        <v>1E-3</v>
      </c>
      <c r="X172" s="2">
        <v>0.28803586344827575</v>
      </c>
      <c r="Y172" s="2">
        <v>0.64007969655172403</v>
      </c>
      <c r="Z172" s="2">
        <v>0.1577273918375634</v>
      </c>
      <c r="AA172" s="2">
        <v>0.10570668816243643</v>
      </c>
      <c r="AB172" s="2">
        <v>0.66960538181818186</v>
      </c>
      <c r="AC172" s="2">
        <v>6.6960538181818269E-2</v>
      </c>
    </row>
    <row r="173" spans="1:29">
      <c r="A173" s="205">
        <v>2092</v>
      </c>
      <c r="B173" s="2">
        <v>9.1288050948611421E-2</v>
      </c>
      <c r="C173" s="2">
        <v>3.710710565769744E-2</v>
      </c>
      <c r="D173" s="2">
        <v>0.84037470242518753</v>
      </c>
      <c r="E173" s="2">
        <v>3.1230140968503586E-2</v>
      </c>
      <c r="F173" s="2">
        <v>2.5644998032869743E-3</v>
      </c>
      <c r="G173" s="2">
        <v>2.6236805679782156E-2</v>
      </c>
      <c r="H173" s="2">
        <v>0.91406935954534663</v>
      </c>
      <c r="I173" s="2">
        <v>5.7129334971584164E-2</v>
      </c>
      <c r="J173" s="2">
        <v>2.3171082811892084E-2</v>
      </c>
      <c r="K173" s="2">
        <v>7.7275186040567073E-2</v>
      </c>
      <c r="L173" s="2">
        <v>0.85220879792924931</v>
      </c>
      <c r="M173" s="2">
        <v>4.7344933218291495E-2</v>
      </c>
      <c r="N173" s="2">
        <v>8.722916222980634E-2</v>
      </c>
      <c r="O173" s="2">
        <v>2.9760537701934071E-3</v>
      </c>
      <c r="P173" s="2">
        <v>0.6065298560000002</v>
      </c>
      <c r="Q173" s="2">
        <v>0.3032649280000001</v>
      </c>
      <c r="R173" s="2">
        <v>5.8786560000000106E-2</v>
      </c>
      <c r="S173" s="2">
        <v>1.814150372908685E-2</v>
      </c>
      <c r="T173" s="2">
        <v>0.43043062966366807</v>
      </c>
      <c r="U173" s="2">
        <v>0.49264130660724503</v>
      </c>
      <c r="V173" s="2">
        <v>6.9569280000000205E-2</v>
      </c>
      <c r="W173" s="2">
        <v>1E-3</v>
      </c>
      <c r="X173" s="2">
        <v>0.28844401655172403</v>
      </c>
      <c r="Y173" s="2">
        <v>0.6409867034482758</v>
      </c>
      <c r="Z173" s="2">
        <v>0.15498570915736037</v>
      </c>
      <c r="AA173" s="2">
        <v>0.1038692508426395</v>
      </c>
      <c r="AB173" s="2">
        <v>0.6737682181818182</v>
      </c>
      <c r="AC173" s="2">
        <v>6.7376821818181915E-2</v>
      </c>
    </row>
    <row r="174" spans="1:29">
      <c r="A174" s="205">
        <v>2093</v>
      </c>
      <c r="B174" s="2">
        <v>8.8791893305485328E-2</v>
      </c>
      <c r="C174" s="2">
        <v>3.6691869624878248E-2</v>
      </c>
      <c r="D174" s="2">
        <v>0.84318177906388403</v>
      </c>
      <c r="E174" s="2">
        <v>3.1334458005752443E-2</v>
      </c>
      <c r="F174" s="2">
        <v>2.4943767617908461E-3</v>
      </c>
      <c r="G174" s="2">
        <v>2.5519393024475614E-2</v>
      </c>
      <c r="H174" s="2">
        <v>0.91481056961292562</v>
      </c>
      <c r="I174" s="2">
        <v>5.7175660600807851E-2</v>
      </c>
      <c r="J174" s="2">
        <v>2.2537498516254407E-2</v>
      </c>
      <c r="K174" s="2">
        <v>7.6529380172270331E-2</v>
      </c>
      <c r="L174" s="2">
        <v>0.8535155886108714</v>
      </c>
      <c r="M174" s="2">
        <v>4.741753270060383E-2</v>
      </c>
      <c r="N174" s="2">
        <v>8.1604570563139661E-2</v>
      </c>
      <c r="O174" s="2">
        <v>2.7841559368600734E-3</v>
      </c>
      <c r="P174" s="2">
        <v>0.61040751566666684</v>
      </c>
      <c r="Q174" s="2">
        <v>0.30520375783333342</v>
      </c>
      <c r="R174" s="2">
        <v>5.7675240000000107E-2</v>
      </c>
      <c r="S174" s="2">
        <v>1.814150372908685E-2</v>
      </c>
      <c r="T174" s="2">
        <v>0.43094884081120904</v>
      </c>
      <c r="U174" s="2">
        <v>0.49323441545970403</v>
      </c>
      <c r="V174" s="2">
        <v>6.825412000000021E-2</v>
      </c>
      <c r="W174" s="2">
        <v>1E-3</v>
      </c>
      <c r="X174" s="2">
        <v>0.2888521696551723</v>
      </c>
      <c r="Y174" s="2">
        <v>0.64189371034482745</v>
      </c>
      <c r="Z174" s="2">
        <v>0.15224402647715732</v>
      </c>
      <c r="AA174" s="2">
        <v>0.10203181352284255</v>
      </c>
      <c r="AB174" s="2">
        <v>0.67793105454545455</v>
      </c>
      <c r="AC174" s="2">
        <v>6.7793105454545546E-2</v>
      </c>
    </row>
    <row r="175" spans="1:29">
      <c r="A175" s="205">
        <v>2094</v>
      </c>
      <c r="B175" s="2">
        <v>8.6295735662359235E-2</v>
      </c>
      <c r="C175" s="2">
        <v>3.6276633592059057E-2</v>
      </c>
      <c r="D175" s="2">
        <v>0.84598885570258042</v>
      </c>
      <c r="E175" s="2">
        <v>3.1438775043001292E-2</v>
      </c>
      <c r="F175" s="2">
        <v>2.4242537202947183E-3</v>
      </c>
      <c r="G175" s="2">
        <v>2.4801980369169072E-2</v>
      </c>
      <c r="H175" s="2">
        <v>0.91555177968050461</v>
      </c>
      <c r="I175" s="2">
        <v>5.7221986230031538E-2</v>
      </c>
      <c r="J175" s="2">
        <v>2.190391422061673E-2</v>
      </c>
      <c r="K175" s="2">
        <v>7.5783574303973589E-2</v>
      </c>
      <c r="L175" s="2">
        <v>0.85482237929249349</v>
      </c>
      <c r="M175" s="2">
        <v>4.7490132182916166E-2</v>
      </c>
      <c r="N175" s="2">
        <v>7.5979978896472997E-2</v>
      </c>
      <c r="O175" s="2">
        <v>2.5922581035267402E-3</v>
      </c>
      <c r="P175" s="2">
        <v>0.61428517533333349</v>
      </c>
      <c r="Q175" s="2">
        <v>0.30714258766666674</v>
      </c>
      <c r="R175" s="2">
        <v>5.6563920000000108E-2</v>
      </c>
      <c r="S175" s="2">
        <v>1.814150372908685E-2</v>
      </c>
      <c r="T175" s="2">
        <v>0.43146705195875001</v>
      </c>
      <c r="U175" s="2">
        <v>0.49382752431216304</v>
      </c>
      <c r="V175" s="2">
        <v>6.6938960000000214E-2</v>
      </c>
      <c r="W175" s="2">
        <v>1E-3</v>
      </c>
      <c r="X175" s="2">
        <v>0.28926032275862057</v>
      </c>
      <c r="Y175" s="2">
        <v>0.64280071724137922</v>
      </c>
      <c r="Z175" s="2">
        <v>0.14950234379695426</v>
      </c>
      <c r="AA175" s="2">
        <v>0.1001943762030456</v>
      </c>
      <c r="AB175" s="2">
        <v>0.68209389090909101</v>
      </c>
      <c r="AC175" s="2">
        <v>6.8209389090909178E-2</v>
      </c>
    </row>
    <row r="176" spans="1:29">
      <c r="A176" s="205">
        <v>2095</v>
      </c>
      <c r="B176" s="2">
        <v>8.3799578019233142E-2</v>
      </c>
      <c r="C176" s="2">
        <v>3.5861397559239866E-2</v>
      </c>
      <c r="D176" s="2">
        <v>0.84879593234127682</v>
      </c>
      <c r="E176" s="2">
        <v>3.1543092080250149E-2</v>
      </c>
      <c r="F176" s="2">
        <v>2.3541306787985901E-3</v>
      </c>
      <c r="G176" s="2">
        <v>2.4084567713862529E-2</v>
      </c>
      <c r="H176" s="2">
        <v>0.9162929897480836</v>
      </c>
      <c r="I176" s="2">
        <v>5.7268311859255225E-2</v>
      </c>
      <c r="J176" s="2">
        <v>2.1270329924979053E-2</v>
      </c>
      <c r="K176" s="2">
        <v>7.5037768435676847E-2</v>
      </c>
      <c r="L176" s="2">
        <v>0.85612916997411559</v>
      </c>
      <c r="M176" s="2">
        <v>4.7562731665228501E-2</v>
      </c>
      <c r="N176" s="2">
        <v>7.0355387229806332E-2</v>
      </c>
      <c r="O176" s="2">
        <v>2.4003602701934065E-3</v>
      </c>
      <c r="P176" s="2">
        <v>0.61816283500000024</v>
      </c>
      <c r="Q176" s="2">
        <v>0.30908141750000012</v>
      </c>
      <c r="R176" s="2">
        <v>5.5452600000000109E-2</v>
      </c>
      <c r="S176" s="2">
        <v>1.814150372908685E-2</v>
      </c>
      <c r="T176" s="2">
        <v>0.43198526310629098</v>
      </c>
      <c r="U176" s="2">
        <v>0.49442063316462204</v>
      </c>
      <c r="V176" s="2">
        <v>6.5623800000000218E-2</v>
      </c>
      <c r="W176" s="2">
        <v>1E-3</v>
      </c>
      <c r="X176" s="2">
        <v>0.28966847586206884</v>
      </c>
      <c r="Y176" s="2">
        <v>0.64370772413793087</v>
      </c>
      <c r="Z176" s="2">
        <v>0.14676066111675121</v>
      </c>
      <c r="AA176" s="2">
        <v>9.8356938883248646E-2</v>
      </c>
      <c r="AB176" s="2">
        <v>0.68625672727272735</v>
      </c>
      <c r="AC176" s="2">
        <v>6.8625672727272824E-2</v>
      </c>
    </row>
    <row r="177" spans="1:29">
      <c r="A177" s="205">
        <v>2096</v>
      </c>
      <c r="B177" s="2">
        <v>8.130342037610705E-2</v>
      </c>
      <c r="C177" s="2">
        <v>3.5446161526420675E-2</v>
      </c>
      <c r="D177" s="2">
        <v>0.85160300897997332</v>
      </c>
      <c r="E177" s="2">
        <v>3.1647409117499005E-2</v>
      </c>
      <c r="F177" s="2">
        <v>2.2840076373024619E-3</v>
      </c>
      <c r="G177" s="2">
        <v>2.3367155058555987E-2</v>
      </c>
      <c r="H177" s="2">
        <v>0.91703419981566259</v>
      </c>
      <c r="I177" s="2">
        <v>5.7314637488478912E-2</v>
      </c>
      <c r="J177" s="2">
        <v>2.0636745629341376E-2</v>
      </c>
      <c r="K177" s="2">
        <v>7.4291962567380104E-2</v>
      </c>
      <c r="L177" s="2">
        <v>0.85743596065573768</v>
      </c>
      <c r="M177" s="2">
        <v>4.7635331147540837E-2</v>
      </c>
      <c r="N177" s="2">
        <v>6.4730795563139654E-2</v>
      </c>
      <c r="O177" s="2">
        <v>2.2084624368600733E-3</v>
      </c>
      <c r="P177" s="2">
        <v>0.62204049466666689</v>
      </c>
      <c r="Q177" s="2">
        <v>0.31102024733333344</v>
      </c>
      <c r="R177" s="2">
        <v>5.4341280000000117E-2</v>
      </c>
      <c r="S177" s="2">
        <v>1.814150372908685E-2</v>
      </c>
      <c r="T177" s="2">
        <v>0.43250347425383201</v>
      </c>
      <c r="U177" s="2">
        <v>0.49501374201708109</v>
      </c>
      <c r="V177" s="2">
        <v>6.4308640000000222E-2</v>
      </c>
      <c r="W177" s="2">
        <v>1E-3</v>
      </c>
      <c r="X177" s="2">
        <v>0.29007662896551711</v>
      </c>
      <c r="Y177" s="2">
        <v>0.64461473103448264</v>
      </c>
      <c r="Z177" s="2">
        <v>0.14401897843654815</v>
      </c>
      <c r="AA177" s="2">
        <v>9.6519501563451696E-2</v>
      </c>
      <c r="AB177" s="2">
        <v>0.6904195636363637</v>
      </c>
      <c r="AC177" s="2">
        <v>6.9041956363636456E-2</v>
      </c>
    </row>
    <row r="178" spans="1:29">
      <c r="A178" s="205">
        <v>2097</v>
      </c>
      <c r="B178" s="2">
        <v>7.8807262732980957E-2</v>
      </c>
      <c r="C178" s="2">
        <v>3.5030925493601484E-2</v>
      </c>
      <c r="D178" s="2">
        <v>0.85441008561866971</v>
      </c>
      <c r="E178" s="2">
        <v>3.1751726154747854E-2</v>
      </c>
      <c r="F178" s="2">
        <v>2.2138845958063337E-3</v>
      </c>
      <c r="G178" s="2">
        <v>2.2649742403249445E-2</v>
      </c>
      <c r="H178" s="2">
        <v>0.91777540988324158</v>
      </c>
      <c r="I178" s="2">
        <v>5.7360963117702599E-2</v>
      </c>
      <c r="J178" s="2">
        <v>2.0003161333703699E-2</v>
      </c>
      <c r="K178" s="2">
        <v>7.3546156699083362E-2</v>
      </c>
      <c r="L178" s="2">
        <v>0.85874275133735978</v>
      </c>
      <c r="M178" s="2">
        <v>4.7707930629853172E-2</v>
      </c>
      <c r="N178" s="2">
        <v>5.9106203896472975E-2</v>
      </c>
      <c r="O178" s="2">
        <v>2.0165646035267396E-3</v>
      </c>
      <c r="P178" s="2">
        <v>0.62591815433333353</v>
      </c>
      <c r="Q178" s="2">
        <v>0.31295907716666677</v>
      </c>
      <c r="R178" s="2">
        <v>5.3229960000000111E-2</v>
      </c>
      <c r="S178" s="2">
        <v>1.814150372908685E-2</v>
      </c>
      <c r="T178" s="2">
        <v>0.43302168540137298</v>
      </c>
      <c r="U178" s="2">
        <v>0.49560685086954009</v>
      </c>
      <c r="V178" s="2">
        <v>6.299348000000024E-2</v>
      </c>
      <c r="W178" s="2">
        <v>1.0000000000000002E-3</v>
      </c>
      <c r="X178" s="2">
        <v>0.29048478206896544</v>
      </c>
      <c r="Y178" s="2">
        <v>0.6455217379310344</v>
      </c>
      <c r="Z178" s="2">
        <v>0.14127729575634509</v>
      </c>
      <c r="AA178" s="2">
        <v>9.4682064243654745E-2</v>
      </c>
      <c r="AB178" s="2">
        <v>0.69458240000000004</v>
      </c>
      <c r="AC178" s="2">
        <v>6.9458240000000088E-2</v>
      </c>
    </row>
    <row r="179" spans="1:29">
      <c r="A179" s="205">
        <v>2098</v>
      </c>
      <c r="B179" s="2">
        <v>7.6311105089854864E-2</v>
      </c>
      <c r="C179" s="2">
        <v>3.4615689460782292E-2</v>
      </c>
      <c r="D179" s="2">
        <v>0.85721716225736611</v>
      </c>
      <c r="E179" s="2">
        <v>3.1856043191996711E-2</v>
      </c>
      <c r="F179" s="2">
        <v>2.1437615543102055E-3</v>
      </c>
      <c r="G179" s="2">
        <v>2.1932329747942902E-2</v>
      </c>
      <c r="H179" s="2">
        <v>0.91851661995082057</v>
      </c>
      <c r="I179" s="2">
        <v>5.7407288746926285E-2</v>
      </c>
      <c r="J179" s="2">
        <v>1.9369577038066025E-2</v>
      </c>
      <c r="K179" s="2">
        <v>7.280035083078662E-2</v>
      </c>
      <c r="L179" s="2">
        <v>0.86004954201898187</v>
      </c>
      <c r="M179" s="2">
        <v>4.7780530112165508E-2</v>
      </c>
      <c r="N179" s="2">
        <v>5.3481612229806304E-2</v>
      </c>
      <c r="O179" s="2">
        <v>1.8246667701934062E-3</v>
      </c>
      <c r="P179" s="2">
        <v>0.62979581400000018</v>
      </c>
      <c r="Q179" s="2">
        <v>0.31489790700000009</v>
      </c>
      <c r="R179" s="2">
        <v>5.2118640000000112E-2</v>
      </c>
      <c r="S179" s="2">
        <v>1.814150372908685E-2</v>
      </c>
      <c r="T179" s="2">
        <v>0.43353989654891395</v>
      </c>
      <c r="U179" s="2">
        <v>0.4961999597219991</v>
      </c>
      <c r="V179" s="2">
        <v>6.1678320000000224E-2</v>
      </c>
      <c r="W179" s="2">
        <v>1E-3</v>
      </c>
      <c r="X179" s="2">
        <v>0.29089293517241371</v>
      </c>
      <c r="Y179" s="2">
        <v>0.64642874482758617</v>
      </c>
      <c r="Z179" s="2">
        <v>0.13853561307614204</v>
      </c>
      <c r="AA179" s="2">
        <v>9.2844626923857795E-2</v>
      </c>
      <c r="AB179" s="2">
        <v>0.69874523636363639</v>
      </c>
      <c r="AC179" s="2">
        <v>6.987452363636372E-2</v>
      </c>
    </row>
    <row r="180" spans="1:29">
      <c r="A180" s="205">
        <v>2099</v>
      </c>
      <c r="B180" s="2">
        <v>7.3814947446728771E-2</v>
      </c>
      <c r="C180" s="2">
        <v>3.4200453427963101E-2</v>
      </c>
      <c r="D180" s="2">
        <v>0.86002423889606261</v>
      </c>
      <c r="E180" s="2">
        <v>3.1960360229245567E-2</v>
      </c>
      <c r="F180" s="2">
        <v>2.0736385128140773E-3</v>
      </c>
      <c r="G180" s="2">
        <v>2.121491709263636E-2</v>
      </c>
      <c r="H180" s="2">
        <v>0.91925783001839956</v>
      </c>
      <c r="I180" s="2">
        <v>5.7453614376149972E-2</v>
      </c>
      <c r="J180" s="2">
        <v>1.8735992742428348E-2</v>
      </c>
      <c r="K180" s="2">
        <v>7.2054544962489878E-2</v>
      </c>
      <c r="L180" s="2">
        <v>0.86135633270060397</v>
      </c>
      <c r="M180" s="2">
        <v>4.7853129594477843E-2</v>
      </c>
      <c r="N180" s="2">
        <v>4.7857020563139632E-2</v>
      </c>
      <c r="O180" s="2">
        <v>1.6327689368600725E-3</v>
      </c>
      <c r="P180" s="2">
        <v>0.63367347366666682</v>
      </c>
      <c r="Q180" s="2">
        <v>0.31683673683333341</v>
      </c>
      <c r="R180" s="2">
        <v>5.100732000000012E-2</v>
      </c>
      <c r="S180" s="2">
        <v>1.8141503729086853E-2</v>
      </c>
      <c r="T180" s="2">
        <v>0.43405810769645492</v>
      </c>
      <c r="U180" s="2">
        <v>0.49679306857445815</v>
      </c>
      <c r="V180" s="2">
        <v>6.0363160000000221E-2</v>
      </c>
      <c r="W180" s="2">
        <v>1E-3</v>
      </c>
      <c r="X180" s="2">
        <v>0.29130108827586199</v>
      </c>
      <c r="Y180" s="2">
        <v>0.64733575172413782</v>
      </c>
      <c r="Z180" s="2">
        <v>0.13579393039593898</v>
      </c>
      <c r="AA180" s="2">
        <v>9.1007189604060845E-2</v>
      </c>
      <c r="AB180" s="2">
        <v>0.70290807272727274</v>
      </c>
      <c r="AC180" s="2">
        <v>7.0290807272727351E-2</v>
      </c>
    </row>
    <row r="181" spans="1:29">
      <c r="A181" s="205">
        <v>2100</v>
      </c>
      <c r="B181" s="2">
        <v>7.1318789803602525E-2</v>
      </c>
      <c r="C181" s="2">
        <v>3.3785217395143854E-2</v>
      </c>
      <c r="D181" s="2">
        <v>0.86283131553475922</v>
      </c>
      <c r="E181" s="2">
        <v>3.2064677266494424E-2</v>
      </c>
      <c r="F181" s="2">
        <v>2.003515471317946E-3</v>
      </c>
      <c r="G181" s="2">
        <v>2.0497504437329755E-2</v>
      </c>
      <c r="H181" s="2">
        <v>0.91999904008597866</v>
      </c>
      <c r="I181" s="2">
        <v>5.7499940005373666E-2</v>
      </c>
      <c r="J181" s="2">
        <v>1.8102408446790775E-2</v>
      </c>
      <c r="K181" s="2">
        <v>7.130873909419283E-2</v>
      </c>
      <c r="L181" s="2">
        <v>0.86266312338222606</v>
      </c>
      <c r="M181" s="2">
        <v>4.7925729076790338E-2</v>
      </c>
      <c r="N181" s="2">
        <v>4.2232428896473273E-2</v>
      </c>
      <c r="O181" s="2">
        <v>1.440871103526735E-3</v>
      </c>
      <c r="P181" s="2">
        <v>0.63755113333333335</v>
      </c>
      <c r="Q181" s="2">
        <v>0.31877556666666668</v>
      </c>
      <c r="R181" s="2">
        <v>4.9896000000000003E-2</v>
      </c>
      <c r="S181" s="2">
        <v>1.8141503729086829E-2</v>
      </c>
      <c r="T181" s="2">
        <v>0.434576318843996</v>
      </c>
      <c r="U181" s="2">
        <v>0.49738617742691726</v>
      </c>
      <c r="V181" s="2">
        <v>5.904800000000001E-2</v>
      </c>
      <c r="W181" s="2">
        <v>1E-3</v>
      </c>
      <c r="X181" s="2">
        <v>0.29170924137931031</v>
      </c>
      <c r="Y181" s="2">
        <v>0.6482427586206897</v>
      </c>
      <c r="Z181" s="2">
        <v>0.13305224771573607</v>
      </c>
      <c r="AA181" s="2">
        <v>8.9169752284263978E-2</v>
      </c>
      <c r="AB181" s="2">
        <v>0.70707090909090908</v>
      </c>
      <c r="AC181" s="2">
        <v>7.0707090909090914E-2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AG65"/>
  <sheetViews>
    <sheetView workbookViewId="0">
      <selection activeCell="C9" sqref="C9"/>
    </sheetView>
  </sheetViews>
  <sheetFormatPr defaultColWidth="8.73046875" defaultRowHeight="12.75"/>
  <cols>
    <col min="1" max="16384" width="8.73046875" style="2"/>
  </cols>
  <sheetData>
    <row r="1" spans="1:33">
      <c r="A1" s="2" t="s">
        <v>540</v>
      </c>
    </row>
    <row r="2" spans="1:33">
      <c r="A2" s="2" t="s">
        <v>541</v>
      </c>
    </row>
    <row r="8" spans="1:33" ht="13.15">
      <c r="B8" s="4" t="s">
        <v>543</v>
      </c>
      <c r="C8" s="211">
        <v>3</v>
      </c>
      <c r="D8" s="211">
        <v>3</v>
      </c>
      <c r="E8" s="211" t="s">
        <v>542</v>
      </c>
      <c r="F8" s="211">
        <v>2</v>
      </c>
      <c r="G8" s="211">
        <v>3</v>
      </c>
      <c r="H8" s="211">
        <v>3</v>
      </c>
      <c r="I8" s="211">
        <v>2</v>
      </c>
      <c r="J8" s="211">
        <v>2</v>
      </c>
      <c r="K8" s="211">
        <v>3</v>
      </c>
      <c r="L8" s="211">
        <v>3</v>
      </c>
      <c r="M8" s="211">
        <v>2</v>
      </c>
      <c r="N8" s="211">
        <v>2</v>
      </c>
      <c r="O8" s="211">
        <v>2</v>
      </c>
      <c r="P8" s="211">
        <v>2</v>
      </c>
      <c r="Q8" s="211">
        <v>3</v>
      </c>
      <c r="R8" s="211">
        <v>2</v>
      </c>
    </row>
    <row r="9" spans="1:33" ht="13.15">
      <c r="B9" s="4" t="s">
        <v>544</v>
      </c>
      <c r="C9" s="2" t="str" cm="1">
        <f t="array" ref="C9">INDEX(Start!$D$60:$D$75,COLUMN(C10)-COLUMN($C$10)+1)</f>
        <v>Agricutural industry</v>
      </c>
      <c r="D9" s="2" t="str">
        <f t="array" ref="D9">INDEX(Start!$D$60:$D$75,COLUMN(D10)-COLUMN($C$10)+1)</f>
        <v>Chemical industry: basic chemicals</v>
      </c>
      <c r="E9" s="2" t="str">
        <f t="array" ref="E9">INDEX(Start!$D$60:$D$75,COLUMN(E10)-COLUMN($C$10)+1)</f>
        <v>Chemical industry: chemicals used in synthesis</v>
      </c>
      <c r="F9" s="2" t="str">
        <f t="array" ref="F9">INDEX(Start!$D$60:$D$75,COLUMN(F10)-COLUMN($C$10)+1)</f>
        <v>Electronical/electronic industry</v>
      </c>
      <c r="G9" s="2" t="str">
        <f t="array" ref="G9">INDEX(Start!$D$60:$D$75,COLUMN(G10)-COLUMN($C$10)+1)</f>
        <v>Personal/domestic</v>
      </c>
      <c r="H9" s="2" t="str">
        <f t="array" ref="H9">INDEX(Start!$D$60:$D$75,COLUMN(H10)-COLUMN($C$10)+1)</f>
        <v>Public domain</v>
      </c>
      <c r="I9" s="2" t="str">
        <f t="array" ref="I9">INDEX(Start!$D$60:$D$75,COLUMN(I10)-COLUMN($C$10)+1)</f>
        <v>Leather</v>
      </c>
      <c r="J9" s="2" t="str">
        <f t="array" ref="J9">INDEX(Start!$D$60:$D$75,COLUMN(J10)-COLUMN($C$10)+1)</f>
        <v>Metal extraction</v>
      </c>
      <c r="K9" s="2" t="str">
        <f t="array" ref="K9">INDEX(Start!$D$60:$D$75,COLUMN(K10)-COLUMN($C$10)+1)</f>
        <v>Mineral oil &amp; fuel</v>
      </c>
      <c r="L9" s="2" t="str">
        <f t="array" ref="L9">INDEX(Start!$D$60:$D$75,COLUMN(L10)-COLUMN($C$10)+1)</f>
        <v>Photographic industry</v>
      </c>
      <c r="M9" s="2" t="str">
        <f t="array" ref="M9">INDEX(Start!$D$60:$D$75,COLUMN(M10)-COLUMN($C$10)+1)</f>
        <v>Polymer &amp; plastics</v>
      </c>
      <c r="N9" s="2" t="str">
        <f t="array" ref="N9">INDEX(Start!$D$60:$D$75,COLUMN(N10)-COLUMN($C$10)+1)</f>
        <v>Pulp, paper, &amp; board</v>
      </c>
      <c r="O9" s="2" t="str">
        <f t="array" ref="O9">INDEX(Start!$D$60:$D$75,COLUMN(O10)-COLUMN($C$10)+1)</f>
        <v>Textiles</v>
      </c>
      <c r="P9" s="2" t="str">
        <f t="array" ref="P9">INDEX(Start!$D$60:$D$75,COLUMN(P10)-COLUMN($C$10)+1)</f>
        <v>Paints, lacquers, &amp; varinshes</v>
      </c>
      <c r="Q9" s="2" t="str">
        <f t="array" ref="Q9">INDEX(Start!$D$60:$D$75,COLUMN(Q10)-COLUMN($C$10)+1)</f>
        <v>Others</v>
      </c>
      <c r="R9" s="2" t="str">
        <f t="array" ref="R9">INDEX(Start!$D$60:$D$75,COLUMN(R10)-COLUMN($C$10)+1)</f>
        <v>Civil &amp; mechanical engineering</v>
      </c>
      <c r="V9" s="3" t="s">
        <v>186</v>
      </c>
      <c r="X9" s="3" t="s">
        <v>180</v>
      </c>
      <c r="Y9" s="3" t="s">
        <v>200</v>
      </c>
      <c r="AE9" s="2" t="s">
        <v>210</v>
      </c>
      <c r="AG9" s="2" t="s">
        <v>212</v>
      </c>
    </row>
    <row r="10" spans="1:33" ht="13.15">
      <c r="B10" s="4" t="s">
        <v>545</v>
      </c>
      <c r="C10" s="3">
        <v>1</v>
      </c>
      <c r="D10" s="3">
        <v>2</v>
      </c>
      <c r="E10" s="3">
        <v>3</v>
      </c>
      <c r="F10" s="3">
        <v>4</v>
      </c>
      <c r="G10" s="3">
        <v>5</v>
      </c>
      <c r="H10" s="3">
        <v>6</v>
      </c>
      <c r="I10" s="3">
        <v>7</v>
      </c>
      <c r="J10" s="3">
        <v>8</v>
      </c>
      <c r="K10" s="3">
        <v>9</v>
      </c>
      <c r="L10" s="3">
        <v>10</v>
      </c>
      <c r="M10" s="3">
        <v>11</v>
      </c>
      <c r="N10" s="3">
        <v>12</v>
      </c>
      <c r="O10" s="3">
        <v>13</v>
      </c>
      <c r="P10" s="3">
        <v>14</v>
      </c>
      <c r="Q10" s="3">
        <v>15</v>
      </c>
      <c r="R10" s="3">
        <v>16</v>
      </c>
      <c r="V10" s="2" t="s">
        <v>174</v>
      </c>
      <c r="W10" s="2" t="s">
        <v>173</v>
      </c>
      <c r="X10" s="2" t="s">
        <v>199</v>
      </c>
      <c r="Y10" s="2" t="s">
        <v>201</v>
      </c>
      <c r="Z10" s="2" t="s">
        <v>202</v>
      </c>
      <c r="AA10" s="2" t="s">
        <v>203</v>
      </c>
      <c r="AB10" s="2" t="s">
        <v>204</v>
      </c>
      <c r="AC10" s="2" t="s">
        <v>205</v>
      </c>
      <c r="AD10" s="2" t="s">
        <v>206</v>
      </c>
      <c r="AE10" s="2" t="s">
        <v>208</v>
      </c>
      <c r="AF10" s="2" t="s">
        <v>209</v>
      </c>
    </row>
    <row r="11" spans="1:33" ht="13.15">
      <c r="B11" s="3">
        <v>1</v>
      </c>
      <c r="C11" s="2">
        <v>0</v>
      </c>
      <c r="D11" s="2">
        <v>0.17</v>
      </c>
      <c r="E11" s="2">
        <v>0.19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0.18</v>
      </c>
      <c r="R11" s="2">
        <v>0</v>
      </c>
      <c r="U11" s="3">
        <v>1</v>
      </c>
      <c r="X11" s="2" t="s">
        <v>178</v>
      </c>
      <c r="Y11" s="2">
        <v>240</v>
      </c>
      <c r="Z11" s="2">
        <v>241</v>
      </c>
      <c r="AA11" s="2">
        <v>245</v>
      </c>
      <c r="AB11" s="2">
        <v>246</v>
      </c>
      <c r="AC11" s="2">
        <v>248</v>
      </c>
      <c r="AD11" s="2">
        <v>167</v>
      </c>
    </row>
    <row r="12" spans="1:33" ht="13.15">
      <c r="B12" s="3">
        <v>2</v>
      </c>
      <c r="C12" s="2">
        <v>0</v>
      </c>
      <c r="D12" s="2">
        <v>0</v>
      </c>
      <c r="E12" s="2">
        <v>0</v>
      </c>
      <c r="F12" s="2">
        <v>0.19</v>
      </c>
      <c r="G12" s="2">
        <v>0.5</v>
      </c>
      <c r="H12" s="2">
        <v>0.36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0.5</v>
      </c>
      <c r="O12" s="2">
        <v>0</v>
      </c>
      <c r="P12" s="2">
        <v>0</v>
      </c>
      <c r="Q12" s="2">
        <v>0.82</v>
      </c>
      <c r="R12" s="2">
        <v>0</v>
      </c>
      <c r="U12" s="3">
        <v>2</v>
      </c>
      <c r="X12" s="2" t="s">
        <v>178</v>
      </c>
    </row>
    <row r="13" spans="1:33" ht="13.15">
      <c r="B13" s="3">
        <v>3</v>
      </c>
      <c r="C13" s="2">
        <v>0.04</v>
      </c>
      <c r="D13" s="2">
        <v>0</v>
      </c>
      <c r="E13" s="2">
        <v>0</v>
      </c>
      <c r="F13" s="2">
        <v>0</v>
      </c>
      <c r="G13" s="2">
        <v>0.27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7.0000000000000007E-2</v>
      </c>
      <c r="Q13" s="2">
        <v>0.25</v>
      </c>
      <c r="R13" s="2">
        <v>0</v>
      </c>
      <c r="U13" s="3">
        <v>3</v>
      </c>
      <c r="X13" s="2" t="s">
        <v>178</v>
      </c>
    </row>
    <row r="14" spans="1:33" ht="13.15">
      <c r="B14" s="3">
        <v>4</v>
      </c>
      <c r="C14" s="2">
        <v>0</v>
      </c>
      <c r="D14" s="2">
        <v>0.02</v>
      </c>
      <c r="E14" s="2">
        <v>0.02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0.02</v>
      </c>
      <c r="Q14" s="2">
        <v>0.02</v>
      </c>
      <c r="R14" s="2">
        <v>0</v>
      </c>
      <c r="U14" s="3">
        <v>4</v>
      </c>
      <c r="V14" s="2">
        <v>5</v>
      </c>
      <c r="W14" s="2">
        <v>2.4</v>
      </c>
      <c r="X14" s="2" t="s">
        <v>177</v>
      </c>
      <c r="Y14" s="2">
        <v>127</v>
      </c>
      <c r="AE14" s="2">
        <v>6.8000000000000005E-2</v>
      </c>
      <c r="AF14" s="2">
        <v>6.8000000000000005E-2</v>
      </c>
      <c r="AG14" s="2">
        <v>2E-3</v>
      </c>
    </row>
    <row r="15" spans="1:33" ht="13.15">
      <c r="B15" s="3">
        <v>5</v>
      </c>
      <c r="C15" s="2">
        <v>0</v>
      </c>
      <c r="D15" s="2">
        <v>0.21</v>
      </c>
      <c r="E15" s="2">
        <v>0.22</v>
      </c>
      <c r="F15" s="2">
        <v>0</v>
      </c>
      <c r="G15" s="2">
        <v>0.13</v>
      </c>
      <c r="H15" s="2">
        <v>0</v>
      </c>
      <c r="I15" s="2">
        <v>0</v>
      </c>
      <c r="J15" s="2">
        <v>0</v>
      </c>
      <c r="K15" s="2">
        <v>0.09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0.19</v>
      </c>
      <c r="R15" s="2">
        <v>0</v>
      </c>
      <c r="U15" s="3">
        <v>5</v>
      </c>
      <c r="X15" s="2" t="s">
        <v>177</v>
      </c>
      <c r="Y15" s="2">
        <v>198</v>
      </c>
      <c r="Z15" s="2">
        <v>189</v>
      </c>
      <c r="AA15" s="2">
        <v>234</v>
      </c>
      <c r="AB15" s="2">
        <v>219</v>
      </c>
      <c r="AC15" s="2">
        <v>212</v>
      </c>
      <c r="AD15" s="2">
        <v>210</v>
      </c>
    </row>
    <row r="16" spans="1:33" ht="13.15">
      <c r="B16" s="3">
        <v>6</v>
      </c>
      <c r="C16" s="2">
        <v>0</v>
      </c>
      <c r="D16" s="2">
        <v>0.06</v>
      </c>
      <c r="E16" s="2">
        <v>0.04</v>
      </c>
      <c r="F16" s="2">
        <v>0</v>
      </c>
      <c r="G16" s="2">
        <v>0.05</v>
      </c>
      <c r="H16" s="2">
        <v>0.01</v>
      </c>
      <c r="I16" s="2">
        <v>0.04</v>
      </c>
      <c r="J16" s="2">
        <v>0</v>
      </c>
      <c r="K16" s="2">
        <v>0</v>
      </c>
      <c r="L16" s="2">
        <v>0</v>
      </c>
      <c r="M16" s="2">
        <v>7.0000000000000007E-2</v>
      </c>
      <c r="N16" s="2">
        <v>7.0000000000000007E-2</v>
      </c>
      <c r="O16" s="2">
        <v>0.04</v>
      </c>
      <c r="P16" s="2">
        <v>0</v>
      </c>
      <c r="Q16" s="2">
        <v>0.06</v>
      </c>
      <c r="R16" s="2">
        <v>0</v>
      </c>
      <c r="U16" s="3">
        <v>6</v>
      </c>
      <c r="X16" s="2" t="s">
        <v>181</v>
      </c>
      <c r="Y16" s="2">
        <v>116</v>
      </c>
      <c r="Z16" s="2">
        <v>143</v>
      </c>
      <c r="AA16" s="2">
        <v>246</v>
      </c>
      <c r="AB16" s="2">
        <v>34</v>
      </c>
      <c r="AC16" s="2">
        <v>156</v>
      </c>
      <c r="AD16" s="2">
        <v>154</v>
      </c>
    </row>
    <row r="17" spans="2:33" ht="13.15">
      <c r="B17" s="3">
        <v>7</v>
      </c>
      <c r="C17" s="2">
        <v>0</v>
      </c>
      <c r="D17" s="2">
        <v>0.09</v>
      </c>
      <c r="E17" s="2">
        <v>0.13</v>
      </c>
      <c r="F17" s="2">
        <v>0.01</v>
      </c>
      <c r="G17" s="2">
        <v>0.15</v>
      </c>
      <c r="H17" s="2">
        <v>0</v>
      </c>
      <c r="I17" s="2">
        <v>0</v>
      </c>
      <c r="J17" s="2">
        <v>0</v>
      </c>
      <c r="K17" s="2">
        <v>0.04</v>
      </c>
      <c r="L17" s="2">
        <v>0</v>
      </c>
      <c r="M17" s="2">
        <v>0.15</v>
      </c>
      <c r="N17" s="2">
        <v>0</v>
      </c>
      <c r="O17" s="2">
        <v>0.12</v>
      </c>
      <c r="P17" s="2">
        <v>0</v>
      </c>
      <c r="Q17" s="2">
        <v>0.16</v>
      </c>
      <c r="R17" s="2">
        <v>0</v>
      </c>
      <c r="U17" s="3">
        <v>7</v>
      </c>
      <c r="V17" s="2">
        <v>16.8</v>
      </c>
      <c r="W17" s="2">
        <v>2.4</v>
      </c>
      <c r="X17" s="2" t="s">
        <v>270</v>
      </c>
      <c r="Y17" s="2">
        <v>155</v>
      </c>
      <c r="Z17" s="2">
        <v>16</v>
      </c>
      <c r="AA17" s="2">
        <v>17</v>
      </c>
      <c r="AB17" s="2">
        <v>129</v>
      </c>
      <c r="AC17" s="2">
        <v>119</v>
      </c>
      <c r="AD17" s="2">
        <v>154</v>
      </c>
      <c r="AE17" s="2">
        <v>1.5E-3</v>
      </c>
      <c r="AF17" s="2">
        <v>0.06</v>
      </c>
      <c r="AG17" s="2">
        <v>2E-3</v>
      </c>
    </row>
    <row r="18" spans="2:33" ht="13.15">
      <c r="B18" s="3">
        <v>8</v>
      </c>
      <c r="C18" s="2">
        <v>0</v>
      </c>
      <c r="D18" s="2">
        <v>0.06</v>
      </c>
      <c r="E18" s="2">
        <v>0.09</v>
      </c>
      <c r="F18" s="2">
        <v>0</v>
      </c>
      <c r="G18" s="2">
        <v>0.11</v>
      </c>
      <c r="H18" s="2">
        <v>0</v>
      </c>
      <c r="I18" s="2">
        <v>0.05</v>
      </c>
      <c r="J18" s="2">
        <v>0</v>
      </c>
      <c r="K18" s="2">
        <v>0</v>
      </c>
      <c r="L18" s="2">
        <v>0.04</v>
      </c>
      <c r="M18" s="2">
        <v>0</v>
      </c>
      <c r="N18" s="2">
        <v>0</v>
      </c>
      <c r="O18" s="2">
        <v>0.09</v>
      </c>
      <c r="P18" s="2">
        <v>0</v>
      </c>
      <c r="Q18" s="2">
        <v>7.0000000000000007E-2</v>
      </c>
      <c r="R18" s="2">
        <v>0</v>
      </c>
      <c r="U18" s="3">
        <v>8</v>
      </c>
      <c r="V18" s="2">
        <v>8</v>
      </c>
      <c r="W18" s="2">
        <v>2.4</v>
      </c>
      <c r="X18" s="2" t="s">
        <v>271</v>
      </c>
      <c r="Y18" s="2">
        <v>181</v>
      </c>
      <c r="Z18" s="2">
        <v>34</v>
      </c>
      <c r="AA18" s="2">
        <v>59</v>
      </c>
      <c r="AB18" s="2">
        <v>73</v>
      </c>
      <c r="AC18" s="2">
        <v>43</v>
      </c>
    </row>
    <row r="19" spans="2:33" ht="13.15">
      <c r="B19" s="3">
        <v>9</v>
      </c>
      <c r="C19" s="2">
        <v>0.42</v>
      </c>
      <c r="D19" s="2">
        <v>0</v>
      </c>
      <c r="E19" s="2">
        <v>0</v>
      </c>
      <c r="F19" s="2">
        <v>0.25</v>
      </c>
      <c r="G19" s="2">
        <v>1.39</v>
      </c>
      <c r="H19" s="2">
        <v>0.92</v>
      </c>
      <c r="I19" s="2">
        <v>0.36</v>
      </c>
      <c r="J19" s="2">
        <v>0.28999999999999998</v>
      </c>
      <c r="K19" s="2">
        <v>0</v>
      </c>
      <c r="L19" s="2">
        <v>0</v>
      </c>
      <c r="M19" s="2">
        <v>0.62</v>
      </c>
      <c r="N19" s="2">
        <v>0.41</v>
      </c>
      <c r="O19" s="2">
        <v>0.79</v>
      </c>
      <c r="P19" s="2">
        <v>0</v>
      </c>
      <c r="Q19" s="2">
        <v>0.99</v>
      </c>
      <c r="R19" s="2">
        <v>0</v>
      </c>
      <c r="U19" s="3">
        <v>9</v>
      </c>
      <c r="V19" s="2">
        <v>8</v>
      </c>
      <c r="W19" s="2">
        <v>2.4</v>
      </c>
      <c r="X19" s="2" t="s">
        <v>179</v>
      </c>
      <c r="Y19" s="2">
        <v>142</v>
      </c>
      <c r="Z19" s="2">
        <v>166</v>
      </c>
      <c r="AA19" s="2">
        <v>25</v>
      </c>
    </row>
    <row r="20" spans="2:33" ht="13.15">
      <c r="B20" s="3">
        <v>10</v>
      </c>
      <c r="C20" s="2">
        <v>0.15</v>
      </c>
      <c r="D20" s="2">
        <v>0</v>
      </c>
      <c r="E20" s="2">
        <v>0</v>
      </c>
      <c r="F20" s="2">
        <v>0.06</v>
      </c>
      <c r="G20" s="2">
        <v>0.15</v>
      </c>
      <c r="H20" s="2">
        <v>0</v>
      </c>
      <c r="I20" s="2">
        <v>7.0000000000000007E-2</v>
      </c>
      <c r="J20" s="2">
        <v>0</v>
      </c>
      <c r="K20" s="2">
        <v>0.1</v>
      </c>
      <c r="L20" s="2">
        <v>0.06</v>
      </c>
      <c r="M20" s="2">
        <v>0.3</v>
      </c>
      <c r="N20" s="2">
        <v>0.16</v>
      </c>
      <c r="O20" s="2">
        <v>0.34</v>
      </c>
      <c r="P20" s="2">
        <v>0.4</v>
      </c>
      <c r="Q20" s="2">
        <v>0.28999999999999998</v>
      </c>
      <c r="R20" s="2">
        <v>0</v>
      </c>
      <c r="U20" s="3">
        <v>10</v>
      </c>
      <c r="V20" s="2">
        <v>8</v>
      </c>
      <c r="W20" s="2">
        <v>2.4</v>
      </c>
      <c r="X20" s="2" t="s">
        <v>271</v>
      </c>
    </row>
    <row r="21" spans="2:33" ht="13.15">
      <c r="B21" s="3">
        <v>11</v>
      </c>
      <c r="C21" s="2">
        <v>0</v>
      </c>
      <c r="D21" s="2">
        <v>0</v>
      </c>
      <c r="E21" s="2">
        <v>0</v>
      </c>
      <c r="F21" s="2">
        <v>0</v>
      </c>
      <c r="G21" s="2">
        <v>0.16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0.25</v>
      </c>
      <c r="R21" s="2">
        <v>0</v>
      </c>
      <c r="U21" s="3">
        <v>11</v>
      </c>
      <c r="V21" s="2">
        <v>8</v>
      </c>
      <c r="W21" s="2">
        <v>2.4</v>
      </c>
      <c r="X21" s="2" t="s">
        <v>270</v>
      </c>
      <c r="AE21" s="2">
        <v>2.0000000000000001E-4</v>
      </c>
      <c r="AF21" s="2">
        <v>2</v>
      </c>
      <c r="AG21" s="2">
        <v>2E-3</v>
      </c>
    </row>
    <row r="22" spans="2:33" ht="13.15">
      <c r="B22" s="3">
        <v>12</v>
      </c>
      <c r="C22" s="2">
        <v>0</v>
      </c>
      <c r="D22" s="2">
        <v>0.02</v>
      </c>
      <c r="E22" s="2">
        <v>0.01</v>
      </c>
      <c r="F22" s="2">
        <v>0.01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0.05</v>
      </c>
      <c r="R22" s="2">
        <v>0</v>
      </c>
      <c r="U22" s="3">
        <v>12</v>
      </c>
      <c r="V22" s="2">
        <v>2</v>
      </c>
      <c r="W22" s="2">
        <v>0.6</v>
      </c>
      <c r="X22" s="2" t="s">
        <v>270</v>
      </c>
      <c r="Y22" s="2">
        <v>93</v>
      </c>
      <c r="Z22" s="2">
        <v>16</v>
      </c>
      <c r="AE22" s="2">
        <v>6.1999999999999998E-3</v>
      </c>
      <c r="AF22" s="2">
        <v>6.1999999999999998E-3</v>
      </c>
      <c r="AG22" s="2">
        <v>2E-3</v>
      </c>
    </row>
    <row r="23" spans="2:33" ht="13.15">
      <c r="B23" s="3">
        <v>13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0.4</v>
      </c>
      <c r="R23" s="2">
        <v>0</v>
      </c>
      <c r="U23" s="3">
        <v>13</v>
      </c>
      <c r="V23" s="2">
        <v>8</v>
      </c>
      <c r="W23" s="2">
        <v>2.4</v>
      </c>
      <c r="X23" s="2" t="s">
        <v>270</v>
      </c>
      <c r="Y23" s="2">
        <v>16</v>
      </c>
      <c r="Z23" s="2">
        <v>17</v>
      </c>
      <c r="AA23" s="2">
        <v>129</v>
      </c>
      <c r="AB23" s="2">
        <v>119</v>
      </c>
      <c r="AC23" s="2">
        <v>130</v>
      </c>
      <c r="AD23" s="2">
        <v>126</v>
      </c>
      <c r="AE23" s="2">
        <v>8.0000000000000002E-3</v>
      </c>
      <c r="AF23" s="2">
        <v>0.06</v>
      </c>
      <c r="AG23" s="2">
        <v>2E-3</v>
      </c>
    </row>
    <row r="24" spans="2:33" ht="13.15">
      <c r="B24" s="3">
        <v>14</v>
      </c>
      <c r="C24" s="2">
        <v>0</v>
      </c>
      <c r="D24" s="2">
        <v>0</v>
      </c>
      <c r="E24" s="2">
        <v>0</v>
      </c>
      <c r="F24" s="2">
        <v>0</v>
      </c>
      <c r="G24" s="2">
        <v>0.25</v>
      </c>
      <c r="H24" s="2">
        <v>0</v>
      </c>
      <c r="I24" s="2">
        <v>0</v>
      </c>
      <c r="J24" s="2">
        <v>0.13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0.28000000000000003</v>
      </c>
      <c r="Q24" s="2">
        <v>0.36</v>
      </c>
      <c r="R24" s="2">
        <v>0</v>
      </c>
      <c r="U24" s="3">
        <v>14</v>
      </c>
      <c r="X24" s="2" t="s">
        <v>181</v>
      </c>
      <c r="Y24" s="2">
        <v>17</v>
      </c>
      <c r="Z24" s="2">
        <v>26</v>
      </c>
      <c r="AA24" s="2">
        <v>35</v>
      </c>
      <c r="AB24" s="2">
        <v>76</v>
      </c>
      <c r="AC24" s="2">
        <v>77</v>
      </c>
      <c r="AD24" s="2">
        <v>91</v>
      </c>
    </row>
    <row r="25" spans="2:33" ht="13.15">
      <c r="B25" s="3">
        <v>15</v>
      </c>
      <c r="C25" s="2">
        <v>0</v>
      </c>
      <c r="D25" s="2">
        <v>0</v>
      </c>
      <c r="E25" s="2">
        <v>0</v>
      </c>
      <c r="F25" s="2">
        <v>0</v>
      </c>
      <c r="G25" s="2">
        <v>1.42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0.98</v>
      </c>
      <c r="R25" s="2">
        <v>0</v>
      </c>
      <c r="U25" s="3">
        <v>15</v>
      </c>
      <c r="V25" s="2">
        <v>8</v>
      </c>
      <c r="W25" s="2">
        <v>2.4</v>
      </c>
      <c r="X25" s="2" t="s">
        <v>181</v>
      </c>
      <c r="Y25" s="2">
        <v>198</v>
      </c>
      <c r="Z25" s="2">
        <v>189</v>
      </c>
      <c r="AA25" s="2">
        <v>234</v>
      </c>
      <c r="AB25" s="2">
        <v>219</v>
      </c>
      <c r="AC25" s="2">
        <v>212</v>
      </c>
      <c r="AD25" s="2">
        <v>210</v>
      </c>
      <c r="AE25" s="2">
        <v>1E-4</v>
      </c>
      <c r="AF25" s="2">
        <v>0.55000000000000004</v>
      </c>
      <c r="AG25" s="2">
        <v>2E-3</v>
      </c>
    </row>
    <row r="26" spans="2:33" ht="13.15">
      <c r="B26" s="3">
        <v>16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0.11</v>
      </c>
      <c r="R26" s="2">
        <v>0</v>
      </c>
      <c r="U26" s="3">
        <v>16</v>
      </c>
      <c r="V26" s="2">
        <v>11</v>
      </c>
      <c r="W26" s="2">
        <v>2.4</v>
      </c>
      <c r="X26" s="2" t="s">
        <v>182</v>
      </c>
      <c r="Y26" s="2">
        <v>30</v>
      </c>
      <c r="Z26" s="2">
        <v>44</v>
      </c>
      <c r="AA26" s="2">
        <v>40</v>
      </c>
      <c r="AB26" s="2">
        <v>148</v>
      </c>
      <c r="AC26" s="2">
        <v>94</v>
      </c>
      <c r="AD26" s="2">
        <v>60</v>
      </c>
    </row>
    <row r="27" spans="2:33" ht="13.15">
      <c r="B27" s="3">
        <v>17</v>
      </c>
      <c r="C27" s="2">
        <v>0</v>
      </c>
      <c r="D27" s="2">
        <v>0</v>
      </c>
      <c r="E27" s="2">
        <v>0</v>
      </c>
      <c r="F27" s="2">
        <v>0.02</v>
      </c>
      <c r="G27" s="2">
        <v>0</v>
      </c>
      <c r="H27" s="2">
        <v>0</v>
      </c>
      <c r="I27" s="2">
        <v>0</v>
      </c>
      <c r="J27" s="2">
        <v>0.02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0.04</v>
      </c>
      <c r="R27" s="2">
        <v>0</v>
      </c>
    </row>
    <row r="28" spans="2:33" ht="13.15">
      <c r="B28" s="3">
        <v>18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0.13</v>
      </c>
      <c r="R28" s="2">
        <v>0</v>
      </c>
    </row>
    <row r="29" spans="2:33" ht="13.15">
      <c r="B29" s="3">
        <v>19</v>
      </c>
      <c r="C29" s="2">
        <v>0.16</v>
      </c>
      <c r="D29" s="2">
        <v>0</v>
      </c>
      <c r="E29" s="2">
        <v>0</v>
      </c>
      <c r="F29" s="2">
        <v>0</v>
      </c>
      <c r="G29" s="2">
        <v>0.11</v>
      </c>
      <c r="H29" s="2">
        <v>0.06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0.16</v>
      </c>
      <c r="R29" s="2">
        <v>0</v>
      </c>
    </row>
    <row r="30" spans="2:33" ht="13.15">
      <c r="B30" s="3">
        <v>20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0.11</v>
      </c>
      <c r="N30" s="2">
        <v>0.11</v>
      </c>
      <c r="O30" s="2">
        <v>0</v>
      </c>
      <c r="P30" s="2">
        <v>0.16</v>
      </c>
      <c r="Q30" s="2">
        <v>0.15</v>
      </c>
      <c r="R30" s="2">
        <v>0</v>
      </c>
    </row>
    <row r="31" spans="2:33" ht="13.15">
      <c r="B31" s="3">
        <v>21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0.09</v>
      </c>
      <c r="R31" s="2">
        <v>0</v>
      </c>
    </row>
    <row r="32" spans="2:33" ht="13.15">
      <c r="B32" s="3">
        <v>22</v>
      </c>
      <c r="C32" s="2">
        <v>0</v>
      </c>
      <c r="D32" s="2">
        <v>0</v>
      </c>
      <c r="E32" s="2">
        <v>0</v>
      </c>
      <c r="F32" s="2">
        <v>0.02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0.22</v>
      </c>
      <c r="N32" s="2">
        <v>0</v>
      </c>
      <c r="O32" s="2">
        <v>0.11</v>
      </c>
      <c r="P32" s="2">
        <v>0</v>
      </c>
      <c r="Q32" s="2">
        <v>0.19</v>
      </c>
      <c r="R32" s="2">
        <v>0</v>
      </c>
    </row>
    <row r="33" spans="2:18" ht="13.15">
      <c r="B33" s="3">
        <v>23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0.12</v>
      </c>
      <c r="K33" s="2">
        <v>0</v>
      </c>
      <c r="L33" s="2">
        <v>0</v>
      </c>
      <c r="M33" s="2">
        <v>0</v>
      </c>
      <c r="N33" s="2">
        <v>0.02</v>
      </c>
      <c r="O33" s="2">
        <v>0</v>
      </c>
      <c r="P33" s="2">
        <v>0</v>
      </c>
      <c r="Q33" s="2">
        <v>0.12</v>
      </c>
      <c r="R33" s="2">
        <v>0</v>
      </c>
    </row>
    <row r="34" spans="2:18" ht="13.15">
      <c r="B34" s="3">
        <v>24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0.02</v>
      </c>
      <c r="K34" s="2">
        <v>0</v>
      </c>
      <c r="L34" s="2">
        <v>0</v>
      </c>
      <c r="M34" s="2">
        <v>0.01</v>
      </c>
      <c r="N34" s="2">
        <v>0</v>
      </c>
      <c r="O34" s="2">
        <v>0</v>
      </c>
      <c r="P34" s="2">
        <v>0</v>
      </c>
      <c r="Q34" s="2">
        <v>0.02</v>
      </c>
      <c r="R34" s="2">
        <v>0</v>
      </c>
    </row>
    <row r="35" spans="2:18" ht="13.15">
      <c r="B35" s="3">
        <v>25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0.19</v>
      </c>
      <c r="N35" s="2">
        <v>0</v>
      </c>
      <c r="O35" s="2">
        <v>0</v>
      </c>
      <c r="P35" s="2">
        <v>0</v>
      </c>
      <c r="Q35" s="2">
        <v>0.16</v>
      </c>
      <c r="R35" s="2">
        <v>0</v>
      </c>
    </row>
    <row r="36" spans="2:18" ht="13.15">
      <c r="B36" s="3">
        <v>26</v>
      </c>
      <c r="C36" s="2">
        <v>0.27</v>
      </c>
      <c r="D36" s="2">
        <v>0</v>
      </c>
      <c r="E36" s="2">
        <v>0</v>
      </c>
      <c r="F36" s="2">
        <v>0</v>
      </c>
      <c r="G36" s="2">
        <v>0.59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0.56999999999999995</v>
      </c>
      <c r="R36" s="2">
        <v>0</v>
      </c>
    </row>
    <row r="37" spans="2:18" ht="13.15">
      <c r="B37" s="3">
        <v>27</v>
      </c>
      <c r="C37" s="2">
        <v>0</v>
      </c>
      <c r="D37" s="2">
        <v>0</v>
      </c>
      <c r="E37" s="2">
        <v>0</v>
      </c>
      <c r="F37" s="2">
        <v>0</v>
      </c>
      <c r="G37" s="2">
        <v>0.46</v>
      </c>
      <c r="H37" s="2">
        <v>0.25</v>
      </c>
      <c r="I37" s="2">
        <v>0</v>
      </c>
      <c r="J37" s="2">
        <v>0</v>
      </c>
      <c r="K37" s="2">
        <v>1.31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1.08</v>
      </c>
      <c r="R37" s="2">
        <v>0</v>
      </c>
    </row>
    <row r="38" spans="2:18" ht="13.15">
      <c r="B38" s="3">
        <v>28</v>
      </c>
      <c r="C38" s="2">
        <v>0</v>
      </c>
      <c r="D38" s="2">
        <v>0</v>
      </c>
      <c r="E38" s="2">
        <v>0</v>
      </c>
      <c r="F38" s="2">
        <v>0</v>
      </c>
      <c r="G38" s="2">
        <v>0.1</v>
      </c>
      <c r="H38" s="2">
        <v>7.0000000000000007E-2</v>
      </c>
      <c r="I38" s="2">
        <v>0</v>
      </c>
      <c r="J38" s="2">
        <v>0</v>
      </c>
      <c r="K38" s="2">
        <v>0.33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0.28999999999999998</v>
      </c>
      <c r="R38" s="2">
        <v>0</v>
      </c>
    </row>
    <row r="39" spans="2:18" ht="13.15">
      <c r="B39" s="3">
        <v>29</v>
      </c>
      <c r="C39" s="2">
        <v>0</v>
      </c>
      <c r="D39" s="2">
        <v>0</v>
      </c>
      <c r="E39" s="2">
        <v>0</v>
      </c>
      <c r="F39" s="2">
        <v>0.1</v>
      </c>
      <c r="G39" s="2">
        <v>0</v>
      </c>
      <c r="H39" s="2">
        <v>0</v>
      </c>
      <c r="I39" s="2">
        <v>0</v>
      </c>
      <c r="J39" s="2">
        <v>7.0000000000000007E-2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0.3</v>
      </c>
      <c r="R39" s="2">
        <v>0</v>
      </c>
    </row>
    <row r="40" spans="2:18" ht="13.15">
      <c r="B40" s="3">
        <v>30</v>
      </c>
      <c r="C40" s="2">
        <v>0.18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0.39</v>
      </c>
      <c r="R40" s="2">
        <v>0</v>
      </c>
    </row>
    <row r="41" spans="2:18" ht="13.15">
      <c r="B41" s="3">
        <v>31</v>
      </c>
      <c r="C41" s="2">
        <v>0</v>
      </c>
      <c r="D41" s="2">
        <v>0</v>
      </c>
      <c r="E41" s="2">
        <v>0</v>
      </c>
      <c r="F41" s="2">
        <v>0.06</v>
      </c>
      <c r="G41" s="2">
        <v>0</v>
      </c>
      <c r="H41" s="2">
        <v>0</v>
      </c>
      <c r="I41" s="2">
        <v>0.1</v>
      </c>
      <c r="J41" s="2">
        <v>0</v>
      </c>
      <c r="K41" s="2">
        <v>0</v>
      </c>
      <c r="L41" s="2">
        <v>0</v>
      </c>
      <c r="M41" s="2">
        <v>0</v>
      </c>
      <c r="N41" s="2">
        <v>0.16</v>
      </c>
      <c r="O41" s="2">
        <v>0.15</v>
      </c>
      <c r="P41" s="2">
        <v>0</v>
      </c>
      <c r="Q41" s="2">
        <v>0.31</v>
      </c>
      <c r="R41" s="2">
        <v>0</v>
      </c>
    </row>
    <row r="42" spans="2:18" ht="13.15">
      <c r="B42" s="3">
        <v>32</v>
      </c>
      <c r="C42" s="2">
        <v>0</v>
      </c>
      <c r="D42" s="2">
        <v>0</v>
      </c>
      <c r="E42" s="2">
        <v>0</v>
      </c>
      <c r="F42" s="2">
        <v>0.06</v>
      </c>
      <c r="G42" s="2">
        <v>0.13</v>
      </c>
      <c r="H42" s="2">
        <v>7.0000000000000007E-2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0.18</v>
      </c>
      <c r="R42" s="2">
        <v>0</v>
      </c>
    </row>
    <row r="43" spans="2:18" ht="13.15">
      <c r="B43" s="3">
        <v>33</v>
      </c>
      <c r="C43" s="2">
        <v>0</v>
      </c>
      <c r="D43" s="2">
        <v>0</v>
      </c>
      <c r="E43" s="2">
        <v>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2.08</v>
      </c>
      <c r="L43" s="2">
        <v>0</v>
      </c>
      <c r="M43" s="2">
        <v>2.39</v>
      </c>
      <c r="N43" s="2">
        <v>0</v>
      </c>
      <c r="O43" s="2">
        <v>0</v>
      </c>
      <c r="P43" s="2">
        <v>0</v>
      </c>
      <c r="Q43" s="2">
        <v>3.36</v>
      </c>
      <c r="R43" s="2">
        <v>0</v>
      </c>
    </row>
    <row r="44" spans="2:18" ht="13.15">
      <c r="B44" s="3">
        <v>34</v>
      </c>
      <c r="C44" s="2">
        <v>0</v>
      </c>
      <c r="D44" s="2">
        <v>0.52</v>
      </c>
      <c r="E44" s="2">
        <v>0.53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0.48</v>
      </c>
      <c r="R44" s="2">
        <v>0</v>
      </c>
    </row>
    <row r="45" spans="2:18" ht="13.15">
      <c r="B45" s="3">
        <v>35</v>
      </c>
      <c r="C45" s="2">
        <v>0.3</v>
      </c>
      <c r="D45" s="2">
        <v>0</v>
      </c>
      <c r="E45" s="2">
        <v>0</v>
      </c>
      <c r="F45" s="2">
        <v>0</v>
      </c>
      <c r="G45" s="2">
        <v>0.53</v>
      </c>
      <c r="H45" s="2">
        <v>0.33</v>
      </c>
      <c r="I45" s="2">
        <v>0</v>
      </c>
      <c r="J45" s="2">
        <v>0.33</v>
      </c>
      <c r="K45" s="2">
        <v>0</v>
      </c>
      <c r="L45" s="2">
        <v>0</v>
      </c>
      <c r="M45" s="2">
        <v>0.94</v>
      </c>
      <c r="N45" s="2">
        <v>0</v>
      </c>
      <c r="O45" s="2">
        <v>0</v>
      </c>
      <c r="P45" s="2">
        <v>0</v>
      </c>
      <c r="Q45" s="2">
        <v>1.1499999999999999</v>
      </c>
      <c r="R45" s="2">
        <v>0</v>
      </c>
    </row>
    <row r="46" spans="2:18" ht="13.15">
      <c r="B46" s="3">
        <v>36</v>
      </c>
      <c r="C46" s="2">
        <v>0.11</v>
      </c>
      <c r="D46" s="2">
        <v>0</v>
      </c>
      <c r="E46" s="2">
        <v>0</v>
      </c>
      <c r="F46" s="2">
        <v>0</v>
      </c>
      <c r="G46" s="2">
        <v>0.63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0.24</v>
      </c>
      <c r="R46" s="2">
        <v>0</v>
      </c>
    </row>
    <row r="47" spans="2:18" ht="13.15">
      <c r="B47" s="3">
        <v>37</v>
      </c>
      <c r="C47" s="2">
        <v>0</v>
      </c>
      <c r="D47" s="2">
        <v>0.06</v>
      </c>
      <c r="E47" s="2">
        <v>0.09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0.04</v>
      </c>
      <c r="Q47" s="2">
        <v>7.0000000000000007E-2</v>
      </c>
      <c r="R47" s="2">
        <v>0</v>
      </c>
    </row>
    <row r="48" spans="2:18" ht="13.15">
      <c r="B48" s="3">
        <v>38</v>
      </c>
      <c r="C48" s="2">
        <f>0.74</f>
        <v>0.74</v>
      </c>
      <c r="D48" s="2">
        <v>0</v>
      </c>
      <c r="E48" s="2">
        <v>0</v>
      </c>
      <c r="F48" s="2">
        <v>0</v>
      </c>
      <c r="G48" s="5">
        <v>0.31</v>
      </c>
      <c r="H48" s="2">
        <v>0.27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0.64</v>
      </c>
      <c r="R48" s="2">
        <v>0</v>
      </c>
    </row>
    <row r="49" spans="2:18" ht="13.15">
      <c r="B49" s="3">
        <v>39</v>
      </c>
      <c r="C49" s="2">
        <v>0.13</v>
      </c>
      <c r="D49" s="2">
        <v>0</v>
      </c>
      <c r="E49" s="2">
        <v>0</v>
      </c>
      <c r="F49" s="2">
        <v>0</v>
      </c>
      <c r="G49" s="2">
        <v>0.15</v>
      </c>
      <c r="H49" s="2">
        <v>0.11</v>
      </c>
      <c r="I49" s="2">
        <v>0.06</v>
      </c>
      <c r="J49" s="2">
        <v>0.05</v>
      </c>
      <c r="K49" s="2">
        <v>0</v>
      </c>
      <c r="L49" s="2">
        <v>0</v>
      </c>
      <c r="M49" s="2">
        <v>0</v>
      </c>
      <c r="N49" s="2">
        <v>7.0000000000000007E-2</v>
      </c>
      <c r="O49" s="2">
        <v>0</v>
      </c>
      <c r="P49" s="2">
        <v>0</v>
      </c>
      <c r="Q49" s="2">
        <v>0.16</v>
      </c>
      <c r="R49" s="2">
        <v>0</v>
      </c>
    </row>
    <row r="50" spans="2:18" ht="13.15">
      <c r="B50" s="3">
        <v>40</v>
      </c>
      <c r="C50" s="2">
        <v>0</v>
      </c>
      <c r="D50" s="2">
        <v>0.22</v>
      </c>
      <c r="E50" s="2">
        <v>0.25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0.23</v>
      </c>
      <c r="R50" s="2">
        <v>0</v>
      </c>
    </row>
    <row r="51" spans="2:18" ht="13.15">
      <c r="B51" s="3">
        <v>41</v>
      </c>
      <c r="C51" s="2">
        <v>0.36</v>
      </c>
      <c r="D51" s="2">
        <v>0</v>
      </c>
      <c r="E51" s="2">
        <v>0</v>
      </c>
      <c r="F51" s="2">
        <v>0</v>
      </c>
      <c r="G51" s="2">
        <v>0.68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0.59</v>
      </c>
      <c r="Q51" s="2">
        <v>0.98</v>
      </c>
      <c r="R51" s="2">
        <v>0</v>
      </c>
    </row>
    <row r="52" spans="2:18" ht="13.15">
      <c r="B52" s="3">
        <v>42</v>
      </c>
      <c r="C52" s="2">
        <v>0</v>
      </c>
      <c r="D52" s="2">
        <v>0</v>
      </c>
      <c r="E52" s="2">
        <v>0</v>
      </c>
      <c r="F52" s="2">
        <v>0.09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0.25</v>
      </c>
      <c r="M52" s="2">
        <v>0</v>
      </c>
      <c r="N52" s="2">
        <v>0</v>
      </c>
      <c r="O52" s="2">
        <v>0</v>
      </c>
      <c r="P52" s="2">
        <v>0</v>
      </c>
      <c r="Q52" s="2">
        <v>0.21</v>
      </c>
      <c r="R52" s="2">
        <v>0</v>
      </c>
    </row>
    <row r="53" spans="2:18" ht="13.15">
      <c r="B53" s="3">
        <v>43</v>
      </c>
      <c r="C53" s="2">
        <v>0</v>
      </c>
      <c r="D53" s="2">
        <v>0.31</v>
      </c>
      <c r="E53" s="2">
        <v>0.53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0.44</v>
      </c>
      <c r="N53" s="2">
        <v>0</v>
      </c>
      <c r="O53" s="2">
        <v>0</v>
      </c>
      <c r="P53" s="2">
        <v>0</v>
      </c>
      <c r="Q53" s="2">
        <v>0.33</v>
      </c>
      <c r="R53" s="2">
        <v>0</v>
      </c>
    </row>
    <row r="54" spans="2:18" ht="13.15">
      <c r="B54" s="3">
        <v>44</v>
      </c>
      <c r="C54" s="2">
        <v>0</v>
      </c>
      <c r="D54" s="2">
        <v>0.05</v>
      </c>
      <c r="E54" s="2">
        <v>0.1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0.05</v>
      </c>
      <c r="R54" s="2">
        <v>0</v>
      </c>
    </row>
    <row r="55" spans="2:18" ht="13.15">
      <c r="B55" s="3">
        <v>45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0.05</v>
      </c>
      <c r="O55" s="2">
        <v>0</v>
      </c>
      <c r="P55" s="2">
        <v>0</v>
      </c>
      <c r="Q55" s="2">
        <v>0.12</v>
      </c>
      <c r="R55" s="2">
        <v>0</v>
      </c>
    </row>
    <row r="56" spans="2:18" ht="13.15">
      <c r="B56" s="3">
        <v>46</v>
      </c>
      <c r="C56" s="2">
        <v>0</v>
      </c>
      <c r="D56" s="2">
        <v>0</v>
      </c>
      <c r="E56" s="2">
        <v>0</v>
      </c>
      <c r="F56" s="2">
        <v>0.02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0.02</v>
      </c>
      <c r="R56" s="2">
        <v>0</v>
      </c>
    </row>
    <row r="57" spans="2:18" ht="13.15">
      <c r="B57" s="3">
        <v>47</v>
      </c>
      <c r="C57" s="2">
        <v>0</v>
      </c>
      <c r="D57" s="2">
        <v>0</v>
      </c>
      <c r="E57" s="2">
        <v>0</v>
      </c>
      <c r="F57" s="2">
        <v>0</v>
      </c>
      <c r="G57" s="2">
        <v>0.36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0.64</v>
      </c>
      <c r="N57" s="2">
        <v>0</v>
      </c>
      <c r="O57" s="2">
        <v>0</v>
      </c>
      <c r="P57" s="2">
        <v>0.45</v>
      </c>
      <c r="Q57" s="2">
        <v>0.53</v>
      </c>
      <c r="R57" s="2">
        <v>0</v>
      </c>
    </row>
    <row r="58" spans="2:18" ht="13.15">
      <c r="B58" s="3">
        <v>48</v>
      </c>
      <c r="C58" s="2">
        <v>0.46</v>
      </c>
      <c r="D58" s="2">
        <v>1.63</v>
      </c>
      <c r="E58" s="2">
        <v>1.6</v>
      </c>
      <c r="F58" s="2">
        <v>0.3</v>
      </c>
      <c r="G58" s="2">
        <v>0.94</v>
      </c>
      <c r="H58" s="2">
        <v>0.61</v>
      </c>
      <c r="I58" s="2">
        <v>0</v>
      </c>
      <c r="J58" s="2">
        <v>0.27</v>
      </c>
      <c r="K58" s="2">
        <v>0</v>
      </c>
      <c r="L58" s="2">
        <v>0</v>
      </c>
      <c r="M58" s="2">
        <v>0.97</v>
      </c>
      <c r="N58" s="2">
        <v>0.28000000000000003</v>
      </c>
      <c r="O58" s="2">
        <v>0.61</v>
      </c>
      <c r="P58" s="2">
        <v>1.44</v>
      </c>
      <c r="Q58" s="2">
        <v>1.21</v>
      </c>
      <c r="R58" s="2">
        <v>0</v>
      </c>
    </row>
    <row r="59" spans="2:18" ht="13.15">
      <c r="B59" s="3">
        <v>49</v>
      </c>
      <c r="C59" s="2">
        <v>0</v>
      </c>
      <c r="D59" s="2">
        <v>0.28999999999999998</v>
      </c>
      <c r="E59" s="2">
        <v>0.44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0.09</v>
      </c>
      <c r="L59" s="2">
        <v>0</v>
      </c>
      <c r="M59" s="2">
        <v>0.42</v>
      </c>
      <c r="N59" s="2">
        <v>0</v>
      </c>
      <c r="O59" s="2">
        <v>0</v>
      </c>
      <c r="P59" s="2">
        <v>0</v>
      </c>
      <c r="Q59" s="2">
        <v>0.35</v>
      </c>
      <c r="R59" s="2">
        <v>0</v>
      </c>
    </row>
    <row r="60" spans="2:18" ht="13.15">
      <c r="B60" s="3">
        <v>50</v>
      </c>
      <c r="C60" s="2">
        <v>0.18</v>
      </c>
      <c r="D60" s="2">
        <v>0.31</v>
      </c>
      <c r="E60" s="2">
        <v>0.51</v>
      </c>
      <c r="F60" s="2">
        <v>0.09</v>
      </c>
      <c r="G60" s="2">
        <v>0.51</v>
      </c>
      <c r="H60" s="2">
        <v>0.28000000000000003</v>
      </c>
      <c r="I60" s="2">
        <v>0</v>
      </c>
      <c r="J60" s="2">
        <v>0.16</v>
      </c>
      <c r="K60" s="2">
        <v>0</v>
      </c>
      <c r="L60" s="2">
        <v>0</v>
      </c>
      <c r="M60" s="2">
        <v>0</v>
      </c>
      <c r="N60" s="2">
        <v>0</v>
      </c>
      <c r="O60" s="2">
        <v>0.41</v>
      </c>
      <c r="P60" s="2">
        <v>0.3</v>
      </c>
      <c r="Q60" s="2">
        <v>0.42</v>
      </c>
      <c r="R60" s="2">
        <v>0</v>
      </c>
    </row>
    <row r="61" spans="2:18" ht="13.15">
      <c r="B61" s="3">
        <v>51</v>
      </c>
      <c r="C61" s="2">
        <v>0</v>
      </c>
      <c r="D61" s="2">
        <v>0.13</v>
      </c>
      <c r="E61" s="2">
        <v>0.17</v>
      </c>
      <c r="F61" s="2">
        <v>0</v>
      </c>
      <c r="G61" s="2">
        <v>0</v>
      </c>
      <c r="H61" s="2">
        <v>0</v>
      </c>
      <c r="I61" s="2">
        <v>0.19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0.15</v>
      </c>
      <c r="R61" s="2">
        <v>0</v>
      </c>
    </row>
    <row r="62" spans="2:18" ht="13.15">
      <c r="B62" s="3">
        <v>52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0.13</v>
      </c>
      <c r="L62" s="2">
        <v>0</v>
      </c>
      <c r="M62" s="2">
        <v>0</v>
      </c>
      <c r="N62" s="2">
        <v>0</v>
      </c>
      <c r="O62" s="2">
        <v>0</v>
      </c>
      <c r="P62" s="2">
        <v>0.22</v>
      </c>
      <c r="Q62" s="2">
        <v>0.22</v>
      </c>
      <c r="R62" s="2">
        <v>0</v>
      </c>
    </row>
    <row r="63" spans="2:18" ht="13.15">
      <c r="B63" s="3">
        <v>53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0.3</v>
      </c>
      <c r="N63" s="2">
        <v>0</v>
      </c>
      <c r="O63" s="2">
        <v>0</v>
      </c>
      <c r="P63" s="2">
        <v>0</v>
      </c>
      <c r="Q63" s="2">
        <v>0.3</v>
      </c>
      <c r="R63" s="2">
        <v>0</v>
      </c>
    </row>
    <row r="64" spans="2:18" ht="13.15">
      <c r="B64" s="3">
        <v>54</v>
      </c>
      <c r="C64" s="2">
        <v>0</v>
      </c>
      <c r="D64" s="2">
        <v>0</v>
      </c>
      <c r="E64" s="2">
        <v>0</v>
      </c>
      <c r="F64" s="2">
        <v>0.02</v>
      </c>
      <c r="G64" s="2">
        <v>0</v>
      </c>
      <c r="H64" s="2">
        <v>0</v>
      </c>
      <c r="I64" s="2">
        <v>0</v>
      </c>
      <c r="J64" s="2">
        <v>0.05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0.05</v>
      </c>
      <c r="R64" s="2">
        <v>0</v>
      </c>
    </row>
    <row r="65" spans="2:18" ht="13.15">
      <c r="B65" s="3">
        <v>55</v>
      </c>
      <c r="C65" s="2">
        <v>0.9</v>
      </c>
      <c r="D65" s="2">
        <v>2.62</v>
      </c>
      <c r="E65" s="2">
        <v>3.74</v>
      </c>
      <c r="F65" s="2">
        <v>0.36</v>
      </c>
      <c r="G65" s="2">
        <v>1.96</v>
      </c>
      <c r="H65" s="2">
        <v>1.06</v>
      </c>
      <c r="I65" s="2">
        <v>0.46</v>
      </c>
      <c r="J65" s="2">
        <v>0.63</v>
      </c>
      <c r="K65" s="2">
        <v>1.87</v>
      </c>
      <c r="L65" s="2">
        <v>0</v>
      </c>
      <c r="M65" s="2">
        <v>2.6</v>
      </c>
      <c r="N65" s="2">
        <v>0.83</v>
      </c>
      <c r="O65" s="2">
        <v>1.33</v>
      </c>
      <c r="P65" s="2">
        <v>2.06</v>
      </c>
      <c r="Q65" s="2">
        <v>3.57</v>
      </c>
      <c r="R65" s="2">
        <v>0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0081E2"/>
  </sheetPr>
  <dimension ref="A1:L57"/>
  <sheetViews>
    <sheetView zoomScale="80" zoomScaleNormal="80" workbookViewId="0">
      <selection activeCell="P16" sqref="P16"/>
    </sheetView>
  </sheetViews>
  <sheetFormatPr defaultColWidth="8.73046875" defaultRowHeight="13.9"/>
  <cols>
    <col min="1" max="1" width="8.73046875" style="10"/>
    <col min="2" max="3" width="11.73046875" style="10" customWidth="1"/>
    <col min="4" max="4" width="23" style="10" customWidth="1"/>
    <col min="5" max="5" width="12.73046875" style="10" customWidth="1"/>
    <col min="6" max="6" width="8.73046875" style="10"/>
    <col min="7" max="7" width="21.3984375" style="10" customWidth="1"/>
    <col min="8" max="8" width="11.1328125" style="10" customWidth="1"/>
    <col min="9" max="9" width="12.86328125" style="11" customWidth="1"/>
    <col min="10" max="16384" width="8.73046875" style="10"/>
  </cols>
  <sheetData>
    <row r="1" spans="1:12" ht="24.95" customHeight="1">
      <c r="A1" s="12" t="s">
        <v>579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ht="14.25" thickBot="1">
      <c r="A3" s="6"/>
      <c r="B3" s="7" t="s">
        <v>249</v>
      </c>
      <c r="C3" s="6"/>
      <c r="D3" s="6"/>
      <c r="E3" s="6"/>
      <c r="F3" s="6"/>
      <c r="G3" s="7" t="s">
        <v>250</v>
      </c>
      <c r="H3" s="6"/>
      <c r="I3" s="9"/>
      <c r="J3" s="6"/>
      <c r="K3" s="6"/>
      <c r="L3" s="6"/>
    </row>
    <row r="4" spans="1:12" ht="14.25" thickBot="1">
      <c r="A4" s="6"/>
      <c r="B4" s="9" t="s">
        <v>246</v>
      </c>
      <c r="C4" s="9"/>
      <c r="D4" s="9"/>
      <c r="E4" s="9"/>
      <c r="F4" s="6"/>
      <c r="G4" s="6" t="s">
        <v>251</v>
      </c>
      <c r="H4" s="18" t="s">
        <v>243</v>
      </c>
      <c r="I4" s="190" t="s">
        <v>238</v>
      </c>
      <c r="J4" s="13"/>
      <c r="K4" s="6"/>
      <c r="L4" s="6"/>
    </row>
    <row r="5" spans="1:12" ht="14.25" thickBot="1">
      <c r="A5" s="8"/>
      <c r="B5" s="15" t="s">
        <v>247</v>
      </c>
      <c r="C5" s="16" t="s">
        <v>248</v>
      </c>
      <c r="D5" s="16" t="s">
        <v>242</v>
      </c>
      <c r="E5" s="17" t="s">
        <v>241</v>
      </c>
      <c r="F5" s="13"/>
      <c r="G5" s="6" t="s">
        <v>252</v>
      </c>
      <c r="H5" s="18" t="s">
        <v>239</v>
      </c>
      <c r="I5" s="191" t="s">
        <v>240</v>
      </c>
      <c r="J5" s="13"/>
      <c r="K5" s="6"/>
      <c r="L5" s="6"/>
    </row>
    <row r="6" spans="1:12" ht="14.25" thickBot="1">
      <c r="A6" s="8">
        <v>1</v>
      </c>
      <c r="B6" s="181">
        <v>38</v>
      </c>
      <c r="C6" s="182">
        <v>-90</v>
      </c>
      <c r="D6" s="182">
        <v>241246</v>
      </c>
      <c r="E6" s="183" t="s">
        <v>484</v>
      </c>
      <c r="F6" s="13"/>
      <c r="G6" s="6" t="s">
        <v>253</v>
      </c>
      <c r="H6" s="18" t="s">
        <v>244</v>
      </c>
      <c r="I6" s="192" t="s">
        <v>245</v>
      </c>
      <c r="J6" s="13"/>
      <c r="K6" s="6"/>
      <c r="L6" s="6"/>
    </row>
    <row r="7" spans="1:12">
      <c r="A7" s="8">
        <v>2</v>
      </c>
      <c r="B7" s="184">
        <v>30</v>
      </c>
      <c r="C7" s="185">
        <v>-95</v>
      </c>
      <c r="D7" s="185">
        <v>454</v>
      </c>
      <c r="E7" s="186" t="s">
        <v>517</v>
      </c>
      <c r="F7" s="13"/>
      <c r="G7" s="6"/>
      <c r="H7" s="6"/>
      <c r="I7" s="14"/>
      <c r="J7" s="6"/>
      <c r="K7" s="6"/>
      <c r="L7" s="6"/>
    </row>
    <row r="8" spans="1:12">
      <c r="A8" s="8">
        <v>3</v>
      </c>
      <c r="B8" s="184">
        <v>33</v>
      </c>
      <c r="C8" s="185">
        <v>-85</v>
      </c>
      <c r="D8" s="185">
        <v>400000</v>
      </c>
      <c r="E8" s="186" t="s">
        <v>484</v>
      </c>
      <c r="F8" s="13"/>
      <c r="G8" s="6"/>
      <c r="H8" s="6"/>
      <c r="I8" s="6"/>
      <c r="J8" s="6"/>
      <c r="K8" s="6"/>
      <c r="L8" s="6"/>
    </row>
    <row r="9" spans="1:12">
      <c r="A9" s="8">
        <v>4</v>
      </c>
      <c r="B9" s="184">
        <v>37</v>
      </c>
      <c r="C9" s="185">
        <v>-6</v>
      </c>
      <c r="D9" s="185">
        <v>29012</v>
      </c>
      <c r="E9" s="186" t="s">
        <v>508</v>
      </c>
      <c r="F9" s="13"/>
      <c r="G9" s="6"/>
      <c r="H9" s="6"/>
      <c r="I9" s="6"/>
      <c r="J9" s="6"/>
      <c r="K9" s="6"/>
      <c r="L9" s="6"/>
    </row>
    <row r="10" spans="1:12">
      <c r="A10" s="8">
        <v>5</v>
      </c>
      <c r="B10" s="184">
        <v>52</v>
      </c>
      <c r="C10" s="185">
        <v>0</v>
      </c>
      <c r="D10" s="185">
        <v>66542</v>
      </c>
      <c r="E10" s="186" t="s">
        <v>507</v>
      </c>
      <c r="F10" s="13"/>
      <c r="G10" s="6"/>
      <c r="H10" s="6"/>
      <c r="I10" s="6"/>
      <c r="J10" s="6"/>
      <c r="K10" s="6"/>
      <c r="L10" s="6"/>
    </row>
    <row r="11" spans="1:12">
      <c r="A11" s="8">
        <v>6</v>
      </c>
      <c r="B11" s="184">
        <v>48</v>
      </c>
      <c r="C11" s="185">
        <v>2</v>
      </c>
      <c r="D11" s="185">
        <v>134654</v>
      </c>
      <c r="E11" s="186" t="s">
        <v>509</v>
      </c>
      <c r="F11" s="13"/>
      <c r="G11" s="6"/>
      <c r="H11" s="6"/>
      <c r="I11" s="6"/>
      <c r="J11" s="6"/>
      <c r="K11" s="6"/>
      <c r="L11" s="6"/>
    </row>
    <row r="12" spans="1:12">
      <c r="A12" s="8">
        <v>7</v>
      </c>
      <c r="B12" s="184">
        <v>51</v>
      </c>
      <c r="C12" s="185">
        <v>7</v>
      </c>
      <c r="D12" s="185">
        <v>159062</v>
      </c>
      <c r="E12" s="186" t="s">
        <v>511</v>
      </c>
      <c r="F12" s="13"/>
      <c r="G12" s="6"/>
      <c r="H12" s="6"/>
      <c r="I12" s="6"/>
      <c r="J12" s="6"/>
      <c r="K12" s="6"/>
      <c r="L12" s="6"/>
    </row>
    <row r="13" spans="1:12">
      <c r="A13" s="8">
        <v>8</v>
      </c>
      <c r="B13" s="184">
        <v>45</v>
      </c>
      <c r="C13" s="185">
        <v>10</v>
      </c>
      <c r="D13" s="185">
        <v>31092</v>
      </c>
      <c r="E13" s="186" t="s">
        <v>510</v>
      </c>
      <c r="F13" s="13"/>
      <c r="G13" s="6"/>
      <c r="H13" s="6"/>
      <c r="I13" s="6"/>
      <c r="J13" s="6"/>
      <c r="K13" s="6"/>
      <c r="L13" s="6"/>
    </row>
    <row r="14" spans="1:12">
      <c r="A14" s="8">
        <v>9</v>
      </c>
      <c r="B14" s="184">
        <v>48</v>
      </c>
      <c r="C14" s="185">
        <v>21</v>
      </c>
      <c r="D14" s="185">
        <v>21482</v>
      </c>
      <c r="E14" s="186" t="s">
        <v>512</v>
      </c>
      <c r="F14" s="13"/>
      <c r="G14" s="6"/>
      <c r="H14" s="6"/>
      <c r="I14" s="6"/>
      <c r="J14" s="6"/>
      <c r="K14" s="6"/>
      <c r="L14" s="6"/>
    </row>
    <row r="15" spans="1:12">
      <c r="A15" s="8">
        <v>10</v>
      </c>
      <c r="B15" s="184">
        <v>51</v>
      </c>
      <c r="C15" s="185">
        <v>21</v>
      </c>
      <c r="D15" s="185">
        <v>1679</v>
      </c>
      <c r="E15" s="186" t="s">
        <v>514</v>
      </c>
      <c r="F15" s="13"/>
      <c r="G15" s="6"/>
      <c r="H15" s="6"/>
      <c r="I15" s="6"/>
      <c r="J15" s="6"/>
      <c r="K15" s="6"/>
      <c r="L15" s="6"/>
    </row>
    <row r="16" spans="1:12">
      <c r="A16" s="8">
        <v>11</v>
      </c>
      <c r="B16" s="184">
        <v>55</v>
      </c>
      <c r="C16" s="185">
        <v>37</v>
      </c>
      <c r="D16" s="185">
        <v>173800</v>
      </c>
      <c r="E16" s="186" t="s">
        <v>515</v>
      </c>
      <c r="F16" s="13"/>
      <c r="G16" s="6"/>
      <c r="H16" s="6"/>
      <c r="I16" s="6"/>
      <c r="J16" s="6"/>
      <c r="K16" s="6"/>
      <c r="L16" s="6"/>
    </row>
    <row r="17" spans="1:12">
      <c r="A17" s="8">
        <v>12</v>
      </c>
      <c r="B17" s="184">
        <v>34</v>
      </c>
      <c r="C17" s="185">
        <v>108</v>
      </c>
      <c r="D17" s="185">
        <v>9000</v>
      </c>
      <c r="E17" s="186" t="s">
        <v>513</v>
      </c>
      <c r="F17" s="13"/>
      <c r="G17" s="6"/>
      <c r="H17" s="6"/>
      <c r="I17" s="6"/>
      <c r="J17" s="6"/>
      <c r="K17" s="6"/>
      <c r="L17" s="6"/>
    </row>
    <row r="18" spans="1:12">
      <c r="A18" s="8">
        <v>13</v>
      </c>
      <c r="B18" s="184">
        <v>35</v>
      </c>
      <c r="C18" s="185">
        <v>139</v>
      </c>
      <c r="D18" s="185">
        <v>58787</v>
      </c>
      <c r="E18" s="186" t="s">
        <v>516</v>
      </c>
      <c r="F18" s="13"/>
      <c r="G18" s="6"/>
      <c r="H18" s="6"/>
      <c r="I18" s="6"/>
      <c r="J18" s="6"/>
      <c r="K18" s="6"/>
      <c r="L18" s="6"/>
    </row>
    <row r="19" spans="1:12">
      <c r="A19" s="8">
        <v>14</v>
      </c>
      <c r="B19" s="184"/>
      <c r="C19" s="185"/>
      <c r="D19" s="185"/>
      <c r="E19" s="186"/>
      <c r="F19" s="13"/>
      <c r="G19" s="6"/>
      <c r="H19" s="6"/>
      <c r="I19" s="6"/>
      <c r="J19" s="6"/>
      <c r="K19" s="6"/>
      <c r="L19" s="6"/>
    </row>
    <row r="20" spans="1:12">
      <c r="A20" s="8">
        <v>15</v>
      </c>
      <c r="B20" s="184"/>
      <c r="C20" s="185"/>
      <c r="D20" s="185"/>
      <c r="E20" s="186"/>
      <c r="F20" s="13"/>
      <c r="G20" s="6"/>
      <c r="H20" s="6"/>
      <c r="I20" s="6"/>
      <c r="J20" s="6"/>
      <c r="K20" s="6"/>
      <c r="L20" s="6"/>
    </row>
    <row r="21" spans="1:12">
      <c r="A21" s="8">
        <v>16</v>
      </c>
      <c r="B21" s="184"/>
      <c r="C21" s="185"/>
      <c r="D21" s="185"/>
      <c r="E21" s="186"/>
      <c r="F21" s="13"/>
      <c r="G21" s="6"/>
      <c r="H21" s="6"/>
      <c r="I21" s="6"/>
      <c r="J21" s="6"/>
      <c r="K21" s="6"/>
      <c r="L21" s="6"/>
    </row>
    <row r="22" spans="1:12">
      <c r="A22" s="8">
        <v>17</v>
      </c>
      <c r="B22" s="184"/>
      <c r="C22" s="185"/>
      <c r="D22" s="185"/>
      <c r="E22" s="186"/>
      <c r="F22" s="13"/>
      <c r="G22" s="6"/>
      <c r="H22" s="6"/>
      <c r="I22" s="6"/>
      <c r="J22" s="6"/>
      <c r="K22" s="6"/>
      <c r="L22" s="6"/>
    </row>
    <row r="23" spans="1:12">
      <c r="A23" s="8">
        <v>18</v>
      </c>
      <c r="B23" s="184"/>
      <c r="C23" s="185"/>
      <c r="D23" s="185"/>
      <c r="E23" s="186"/>
      <c r="F23" s="13"/>
      <c r="G23" s="6"/>
      <c r="H23" s="6"/>
      <c r="I23" s="6"/>
      <c r="J23" s="6"/>
      <c r="K23" s="6"/>
      <c r="L23" s="6"/>
    </row>
    <row r="24" spans="1:12">
      <c r="A24" s="8">
        <v>19</v>
      </c>
      <c r="B24" s="184"/>
      <c r="C24" s="185"/>
      <c r="D24" s="185"/>
      <c r="E24" s="186"/>
      <c r="F24" s="13"/>
      <c r="G24" s="6"/>
      <c r="H24" s="6"/>
      <c r="I24" s="6"/>
      <c r="J24" s="6"/>
      <c r="K24" s="6"/>
      <c r="L24" s="6"/>
    </row>
    <row r="25" spans="1:12">
      <c r="A25" s="8">
        <v>20</v>
      </c>
      <c r="B25" s="184"/>
      <c r="C25" s="185"/>
      <c r="D25" s="185"/>
      <c r="E25" s="186"/>
      <c r="F25" s="13"/>
      <c r="G25" s="6"/>
      <c r="H25" s="6"/>
      <c r="I25" s="6"/>
      <c r="J25" s="6"/>
      <c r="K25" s="6"/>
      <c r="L25" s="6"/>
    </row>
    <row r="26" spans="1:12">
      <c r="A26" s="8">
        <v>21</v>
      </c>
      <c r="B26" s="184"/>
      <c r="C26" s="185"/>
      <c r="D26" s="185"/>
      <c r="E26" s="186"/>
      <c r="F26" s="13"/>
      <c r="G26" s="6"/>
      <c r="H26" s="6"/>
      <c r="I26" s="6"/>
      <c r="J26" s="6"/>
      <c r="K26" s="6"/>
      <c r="L26" s="6"/>
    </row>
    <row r="27" spans="1:12">
      <c r="A27" s="8">
        <v>22</v>
      </c>
      <c r="B27" s="184"/>
      <c r="C27" s="185"/>
      <c r="D27" s="185"/>
      <c r="E27" s="186"/>
      <c r="F27" s="13"/>
      <c r="G27" s="6"/>
      <c r="H27" s="6"/>
      <c r="I27" s="6"/>
      <c r="J27" s="6"/>
      <c r="K27" s="6"/>
      <c r="L27" s="6"/>
    </row>
    <row r="28" spans="1:12">
      <c r="A28" s="8">
        <v>23</v>
      </c>
      <c r="B28" s="184"/>
      <c r="C28" s="185"/>
      <c r="D28" s="185"/>
      <c r="E28" s="186"/>
      <c r="F28" s="13"/>
      <c r="G28" s="6"/>
      <c r="H28" s="6"/>
      <c r="I28" s="6"/>
      <c r="J28" s="6"/>
      <c r="K28" s="6"/>
      <c r="L28" s="6"/>
    </row>
    <row r="29" spans="1:12">
      <c r="A29" s="8">
        <v>24</v>
      </c>
      <c r="B29" s="184"/>
      <c r="C29" s="185"/>
      <c r="D29" s="185"/>
      <c r="E29" s="186"/>
      <c r="F29" s="13"/>
      <c r="G29" s="6"/>
      <c r="H29" s="6"/>
      <c r="I29" s="6"/>
      <c r="J29" s="6"/>
      <c r="K29" s="6"/>
      <c r="L29" s="6"/>
    </row>
    <row r="30" spans="1:12">
      <c r="A30" s="8">
        <v>25</v>
      </c>
      <c r="B30" s="184"/>
      <c r="C30" s="185"/>
      <c r="D30" s="185"/>
      <c r="E30" s="186"/>
      <c r="F30" s="13"/>
      <c r="G30" s="6"/>
      <c r="H30" s="6"/>
      <c r="I30" s="6"/>
      <c r="J30" s="6"/>
      <c r="K30" s="6"/>
      <c r="L30" s="6"/>
    </row>
    <row r="31" spans="1:12">
      <c r="A31" s="8">
        <v>26</v>
      </c>
      <c r="B31" s="184"/>
      <c r="C31" s="185"/>
      <c r="D31" s="185"/>
      <c r="E31" s="186"/>
      <c r="F31" s="13"/>
      <c r="G31" s="6"/>
      <c r="H31" s="6"/>
      <c r="I31" s="6"/>
      <c r="J31" s="6"/>
      <c r="K31" s="6"/>
      <c r="L31" s="6"/>
    </row>
    <row r="32" spans="1:12">
      <c r="A32" s="8">
        <v>27</v>
      </c>
      <c r="B32" s="184"/>
      <c r="C32" s="185"/>
      <c r="D32" s="185"/>
      <c r="E32" s="186"/>
      <c r="F32" s="13"/>
      <c r="G32" s="6"/>
      <c r="H32" s="6"/>
      <c r="I32" s="6"/>
      <c r="J32" s="6"/>
      <c r="K32" s="6"/>
      <c r="L32" s="6"/>
    </row>
    <row r="33" spans="1:12">
      <c r="A33" s="8">
        <v>28</v>
      </c>
      <c r="B33" s="184"/>
      <c r="C33" s="185"/>
      <c r="D33" s="185"/>
      <c r="E33" s="186"/>
      <c r="F33" s="13"/>
      <c r="G33" s="6"/>
      <c r="H33" s="6"/>
      <c r="I33" s="6"/>
      <c r="J33" s="6"/>
      <c r="K33" s="6"/>
      <c r="L33" s="6"/>
    </row>
    <row r="34" spans="1:12">
      <c r="A34" s="8">
        <v>29</v>
      </c>
      <c r="B34" s="184"/>
      <c r="C34" s="185"/>
      <c r="D34" s="185"/>
      <c r="E34" s="186"/>
      <c r="F34" s="13"/>
      <c r="G34" s="6"/>
      <c r="H34" s="6"/>
      <c r="I34" s="6"/>
      <c r="J34" s="6"/>
      <c r="K34" s="6"/>
      <c r="L34" s="6"/>
    </row>
    <row r="35" spans="1:12">
      <c r="A35" s="8">
        <v>30</v>
      </c>
      <c r="B35" s="184"/>
      <c r="C35" s="185"/>
      <c r="D35" s="185"/>
      <c r="E35" s="186"/>
      <c r="F35" s="13"/>
      <c r="G35" s="6"/>
      <c r="H35" s="6"/>
      <c r="I35" s="6"/>
      <c r="J35" s="6"/>
      <c r="K35" s="6"/>
      <c r="L35" s="6"/>
    </row>
    <row r="36" spans="1:12">
      <c r="A36" s="8">
        <v>31</v>
      </c>
      <c r="B36" s="184"/>
      <c r="C36" s="185"/>
      <c r="D36" s="185"/>
      <c r="E36" s="186"/>
      <c r="F36" s="13"/>
      <c r="G36" s="6"/>
      <c r="H36" s="6"/>
      <c r="I36" s="6"/>
      <c r="J36" s="6"/>
      <c r="K36" s="6"/>
      <c r="L36" s="6"/>
    </row>
    <row r="37" spans="1:12">
      <c r="A37" s="8">
        <v>32</v>
      </c>
      <c r="B37" s="184"/>
      <c r="C37" s="185"/>
      <c r="D37" s="185"/>
      <c r="E37" s="186"/>
      <c r="F37" s="13"/>
      <c r="G37" s="6"/>
      <c r="H37" s="6"/>
      <c r="I37" s="6"/>
      <c r="J37" s="6"/>
      <c r="K37" s="6"/>
      <c r="L37" s="6"/>
    </row>
    <row r="38" spans="1:12">
      <c r="A38" s="8">
        <v>33</v>
      </c>
      <c r="B38" s="184"/>
      <c r="C38" s="185"/>
      <c r="D38" s="185"/>
      <c r="E38" s="186"/>
      <c r="F38" s="13"/>
      <c r="G38" s="6"/>
      <c r="H38" s="6"/>
      <c r="I38" s="6"/>
      <c r="J38" s="6"/>
      <c r="K38" s="6"/>
      <c r="L38" s="6"/>
    </row>
    <row r="39" spans="1:12">
      <c r="A39" s="8">
        <v>34</v>
      </c>
      <c r="B39" s="184"/>
      <c r="C39" s="185"/>
      <c r="D39" s="185"/>
      <c r="E39" s="186"/>
      <c r="F39" s="13"/>
      <c r="G39" s="6"/>
      <c r="H39" s="6"/>
      <c r="I39" s="6"/>
      <c r="J39" s="6"/>
      <c r="K39" s="6"/>
      <c r="L39" s="6"/>
    </row>
    <row r="40" spans="1:12">
      <c r="A40" s="8">
        <v>35</v>
      </c>
      <c r="B40" s="184"/>
      <c r="C40" s="185"/>
      <c r="D40" s="185"/>
      <c r="E40" s="186"/>
      <c r="F40" s="13"/>
      <c r="G40" s="6"/>
      <c r="H40" s="6"/>
      <c r="I40" s="6"/>
      <c r="J40" s="6"/>
      <c r="K40" s="6"/>
      <c r="L40" s="6"/>
    </row>
    <row r="41" spans="1:12">
      <c r="A41" s="8">
        <v>36</v>
      </c>
      <c r="B41" s="184"/>
      <c r="C41" s="185"/>
      <c r="D41" s="185"/>
      <c r="E41" s="186"/>
      <c r="F41" s="13"/>
      <c r="G41" s="6"/>
      <c r="H41" s="6"/>
      <c r="I41" s="6"/>
      <c r="J41" s="6"/>
      <c r="K41" s="6"/>
      <c r="L41" s="6"/>
    </row>
    <row r="42" spans="1:12">
      <c r="A42" s="8">
        <v>37</v>
      </c>
      <c r="B42" s="184"/>
      <c r="C42" s="185"/>
      <c r="D42" s="185"/>
      <c r="E42" s="186"/>
      <c r="F42" s="13"/>
      <c r="G42" s="6"/>
      <c r="H42" s="6"/>
      <c r="I42" s="6"/>
      <c r="J42" s="6"/>
      <c r="K42" s="6"/>
      <c r="L42" s="6"/>
    </row>
    <row r="43" spans="1:12">
      <c r="A43" s="8">
        <v>38</v>
      </c>
      <c r="B43" s="184"/>
      <c r="C43" s="185"/>
      <c r="D43" s="185"/>
      <c r="E43" s="186"/>
      <c r="F43" s="13"/>
      <c r="G43" s="6"/>
      <c r="H43" s="6"/>
      <c r="I43" s="6"/>
      <c r="J43" s="6"/>
      <c r="K43" s="6"/>
      <c r="L43" s="6"/>
    </row>
    <row r="44" spans="1:12">
      <c r="A44" s="8">
        <v>39</v>
      </c>
      <c r="B44" s="184"/>
      <c r="C44" s="185"/>
      <c r="D44" s="185"/>
      <c r="E44" s="186"/>
      <c r="F44" s="13"/>
      <c r="G44" s="6"/>
      <c r="H44" s="6"/>
      <c r="I44" s="6"/>
      <c r="J44" s="6"/>
      <c r="K44" s="6"/>
      <c r="L44" s="6"/>
    </row>
    <row r="45" spans="1:12">
      <c r="A45" s="8">
        <v>40</v>
      </c>
      <c r="B45" s="184"/>
      <c r="C45" s="185"/>
      <c r="D45" s="185"/>
      <c r="E45" s="186"/>
      <c r="F45" s="13"/>
      <c r="G45" s="6"/>
      <c r="H45" s="6"/>
      <c r="I45" s="6"/>
      <c r="J45" s="6"/>
      <c r="K45" s="6"/>
      <c r="L45" s="6"/>
    </row>
    <row r="46" spans="1:12">
      <c r="A46" s="8">
        <v>41</v>
      </c>
      <c r="B46" s="184"/>
      <c r="C46" s="185"/>
      <c r="D46" s="185"/>
      <c r="E46" s="186"/>
      <c r="F46" s="13"/>
      <c r="G46" s="6"/>
      <c r="H46" s="6"/>
      <c r="I46" s="6"/>
      <c r="J46" s="6"/>
      <c r="K46" s="6"/>
      <c r="L46" s="6"/>
    </row>
    <row r="47" spans="1:12">
      <c r="A47" s="8">
        <v>42</v>
      </c>
      <c r="B47" s="184"/>
      <c r="C47" s="185"/>
      <c r="D47" s="185"/>
      <c r="E47" s="186"/>
      <c r="F47" s="13"/>
      <c r="G47" s="6"/>
      <c r="H47" s="6"/>
      <c r="I47" s="6"/>
      <c r="J47" s="6"/>
      <c r="K47" s="6"/>
      <c r="L47" s="6"/>
    </row>
    <row r="48" spans="1:12">
      <c r="A48" s="8">
        <v>43</v>
      </c>
      <c r="B48" s="184"/>
      <c r="C48" s="185"/>
      <c r="D48" s="185"/>
      <c r="E48" s="186"/>
      <c r="F48" s="13"/>
      <c r="G48" s="6"/>
      <c r="H48" s="6"/>
      <c r="I48" s="6"/>
      <c r="J48" s="6"/>
      <c r="K48" s="6"/>
      <c r="L48" s="6"/>
    </row>
    <row r="49" spans="1:12">
      <c r="A49" s="8">
        <v>44</v>
      </c>
      <c r="B49" s="184"/>
      <c r="C49" s="185"/>
      <c r="D49" s="185"/>
      <c r="E49" s="186"/>
      <c r="F49" s="13"/>
      <c r="G49" s="6"/>
      <c r="H49" s="6"/>
      <c r="I49" s="6"/>
      <c r="J49" s="6"/>
      <c r="K49" s="6"/>
      <c r="L49" s="6"/>
    </row>
    <row r="50" spans="1:12">
      <c r="A50" s="8">
        <v>45</v>
      </c>
      <c r="B50" s="184"/>
      <c r="C50" s="185"/>
      <c r="D50" s="185"/>
      <c r="E50" s="186"/>
      <c r="F50" s="13"/>
      <c r="G50" s="6"/>
      <c r="H50" s="6"/>
      <c r="I50" s="6"/>
      <c r="J50" s="6"/>
      <c r="K50" s="6"/>
      <c r="L50" s="6"/>
    </row>
    <row r="51" spans="1:12">
      <c r="A51" s="8">
        <v>46</v>
      </c>
      <c r="B51" s="184"/>
      <c r="C51" s="185"/>
      <c r="D51" s="185"/>
      <c r="E51" s="186"/>
      <c r="F51" s="13"/>
      <c r="G51" s="6"/>
      <c r="H51" s="6"/>
      <c r="I51" s="6"/>
      <c r="J51" s="6"/>
      <c r="K51" s="6"/>
      <c r="L51" s="6"/>
    </row>
    <row r="52" spans="1:12">
      <c r="A52" s="8">
        <v>47</v>
      </c>
      <c r="B52" s="184"/>
      <c r="C52" s="185"/>
      <c r="D52" s="185"/>
      <c r="E52" s="186"/>
      <c r="F52" s="13"/>
      <c r="G52" s="6"/>
      <c r="H52" s="6"/>
      <c r="I52" s="6"/>
      <c r="J52" s="6"/>
      <c r="K52" s="6"/>
      <c r="L52" s="6"/>
    </row>
    <row r="53" spans="1:12">
      <c r="A53" s="8">
        <v>48</v>
      </c>
      <c r="B53" s="184"/>
      <c r="C53" s="185"/>
      <c r="D53" s="185"/>
      <c r="E53" s="186"/>
      <c r="F53" s="13"/>
      <c r="G53" s="6"/>
      <c r="H53" s="6"/>
      <c r="I53" s="6"/>
      <c r="J53" s="6"/>
      <c r="K53" s="6"/>
      <c r="L53" s="6"/>
    </row>
    <row r="54" spans="1:12">
      <c r="A54" s="8">
        <v>49</v>
      </c>
      <c r="B54" s="184"/>
      <c r="C54" s="185"/>
      <c r="D54" s="185"/>
      <c r="E54" s="186"/>
      <c r="F54" s="13"/>
      <c r="G54" s="6"/>
      <c r="H54" s="6"/>
      <c r="I54" s="6"/>
      <c r="J54" s="6"/>
      <c r="K54" s="6"/>
      <c r="L54" s="6"/>
    </row>
    <row r="55" spans="1:12" ht="14.25" thickBot="1">
      <c r="A55" s="8">
        <v>50</v>
      </c>
      <c r="B55" s="187"/>
      <c r="C55" s="188"/>
      <c r="D55" s="188"/>
      <c r="E55" s="189"/>
      <c r="F55" s="13"/>
      <c r="G55" s="6"/>
      <c r="H55" s="6"/>
      <c r="I55" s="6"/>
      <c r="J55" s="6"/>
      <c r="K55" s="6"/>
      <c r="L55" s="6"/>
    </row>
    <row r="56" spans="1:12">
      <c r="A56" s="6"/>
      <c r="B56" s="14"/>
      <c r="C56" s="14"/>
      <c r="D56" s="14"/>
      <c r="E56" s="14"/>
      <c r="F56" s="6"/>
      <c r="G56" s="6"/>
      <c r="H56" s="6"/>
      <c r="I56" s="6"/>
      <c r="J56" s="6"/>
      <c r="K56" s="6"/>
      <c r="L56" s="6"/>
    </row>
    <row r="57" spans="1:1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</sheetData>
  <sheetProtection algorithmName="SHA-512" hashValue="miYT6PNFWHGlyN5lH9GfSapsJ7TEwJFdn09RaS9aYxgqFsanFptfChIxVruwQkk+d9i971CFIWle3ig7hqY1LQ==" saltValue="lOh0i9NCJvfJ/uGU3XFDrw==" spinCount="100000" sheet="1" objects="1" scenarios="1"/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IndPathOpen">
                <anchor moveWithCells="1" sizeWithCells="1">
                  <from>
                    <xdr:col>7</xdr:col>
                    <xdr:colOff>0</xdr:colOff>
                    <xdr:row>3</xdr:row>
                    <xdr:rowOff>9525</xdr:rowOff>
                  </from>
                  <to>
                    <xdr:col>7</xdr:col>
                    <xdr:colOff>790575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DomPathOpen">
                <anchor moveWithCells="1" sizeWithCells="1">
                  <from>
                    <xdr:col>7</xdr:col>
                    <xdr:colOff>0</xdr:colOff>
                    <xdr:row>4</xdr:row>
                    <xdr:rowOff>19050</xdr:rowOff>
                  </from>
                  <to>
                    <xdr:col>7</xdr:col>
                    <xdr:colOff>790575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IegPathOpen">
                <anchor moveWithCells="1" sizeWithCells="1">
                  <from>
                    <xdr:col>7</xdr:col>
                    <xdr:colOff>0</xdr:colOff>
                    <xdr:row>5</xdr:row>
                    <xdr:rowOff>19050</xdr:rowOff>
                  </from>
                  <to>
                    <xdr:col>7</xdr:col>
                    <xdr:colOff>790575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"/>
  <sheetViews>
    <sheetView zoomScale="90" zoomScaleNormal="90" workbookViewId="0">
      <pane xSplit="1" ySplit="10" topLeftCell="B32" activePane="bottomRight" state="frozen"/>
      <selection pane="topRight" activeCell="B1" sqref="B1"/>
      <selection pane="bottomLeft" activeCell="A11" sqref="A11"/>
      <selection pane="bottomRight" activeCell="R66" sqref="R66"/>
    </sheetView>
  </sheetViews>
  <sheetFormatPr defaultRowHeight="14.2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"/>
  <sheetViews>
    <sheetView zoomScale="90" zoomScaleNormal="90" workbookViewId="0">
      <pane xSplit="1" ySplit="10" topLeftCell="B51" activePane="bottomRight" state="frozen"/>
      <selection pane="topRight" activeCell="B1" sqref="B1"/>
      <selection pane="bottomLeft" activeCell="A11" sqref="A11"/>
      <selection pane="bottomRight" activeCell="AQ1" sqref="AQ1"/>
    </sheetView>
  </sheetViews>
  <sheetFormatPr defaultRowHeight="14.25"/>
  <sheetData/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"/>
  <sheetViews>
    <sheetView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N8" sqref="AN8"/>
    </sheetView>
  </sheetViews>
  <sheetFormatPr defaultRowHeight="14.25"/>
  <cols>
    <col min="983" max="983" width="12.3984375" bestFit="1" customWidth="1"/>
  </cols>
  <sheetData/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88D8-14FE-4C85-AD52-07120121E89D}">
  <sheetPr codeName="Sheet6"/>
  <dimension ref="A1"/>
  <sheetViews>
    <sheetView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E3" sqref="E3"/>
    </sheetView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39</vt:i4>
      </vt:variant>
    </vt:vector>
  </HeadingPairs>
  <TitlesOfParts>
    <vt:vector size="62" baseType="lpstr">
      <vt:lpstr>Start</vt:lpstr>
      <vt:lpstr>DB-chemicals</vt:lpstr>
      <vt:lpstr>DB-material</vt:lpstr>
      <vt:lpstr>ChemInput</vt:lpstr>
      <vt:lpstr>Chemical</vt:lpstr>
      <vt:lpstr>Production</vt:lpstr>
      <vt:lpstr>Products</vt:lpstr>
      <vt:lpstr>Distribution</vt:lpstr>
      <vt:lpstr>Lifespan</vt:lpstr>
      <vt:lpstr>Factors</vt:lpstr>
      <vt:lpstr>Int trade-product</vt:lpstr>
      <vt:lpstr>ChemOutput</vt:lpstr>
      <vt:lpstr>Int trade-waste</vt:lpstr>
      <vt:lpstr>Waste-inapp</vt:lpstr>
      <vt:lpstr>Waste-environ</vt:lpstr>
      <vt:lpstr>DB-categories</vt:lpstr>
      <vt:lpstr>DB-solid waste</vt:lpstr>
      <vt:lpstr>DB-function distributions</vt:lpstr>
      <vt:lpstr>Gridding</vt:lpstr>
      <vt:lpstr>Flows</vt:lpstr>
      <vt:lpstr>Mass</vt:lpstr>
      <vt:lpstr>Emissions</vt:lpstr>
      <vt:lpstr>IntTrade</vt:lpstr>
      <vt:lpstr>AEair</vt:lpstr>
      <vt:lpstr>AEsolid</vt:lpstr>
      <vt:lpstr>AEwater</vt:lpstr>
      <vt:lpstr>Article</vt:lpstr>
      <vt:lpstr>BETRres</vt:lpstr>
      <vt:lpstr>BP</vt:lpstr>
      <vt:lpstr>CalType</vt:lpstr>
      <vt:lpstr>ChemName</vt:lpstr>
      <vt:lpstr>CHEMnum</vt:lpstr>
      <vt:lpstr>dUaw</vt:lpstr>
      <vt:lpstr>dUoa</vt:lpstr>
      <vt:lpstr>dUow</vt:lpstr>
      <vt:lpstr>End_chem</vt:lpstr>
      <vt:lpstr>End_year</vt:lpstr>
      <vt:lpstr>FateModelOutput</vt:lpstr>
      <vt:lpstr>HeatMap</vt:lpstr>
      <vt:lpstr>Industrial</vt:lpstr>
      <vt:lpstr>kair</vt:lpstr>
      <vt:lpstr>Kaw</vt:lpstr>
      <vt:lpstr>Koa</vt:lpstr>
      <vt:lpstr>Kow</vt:lpstr>
      <vt:lpstr>ksolid</vt:lpstr>
      <vt:lpstr>kwater</vt:lpstr>
      <vt:lpstr>MP</vt:lpstr>
      <vt:lpstr>MW</vt:lpstr>
      <vt:lpstr>pKa</vt:lpstr>
      <vt:lpstr>POPreg</vt:lpstr>
      <vt:lpstr>Product</vt:lpstr>
      <vt:lpstr>RAIDARoutput</vt:lpstr>
      <vt:lpstr>ROOMarea</vt:lpstr>
      <vt:lpstr>ROOMreg</vt:lpstr>
      <vt:lpstr>SANKEYoutput</vt:lpstr>
      <vt:lpstr>Start_chem</vt:lpstr>
      <vt:lpstr>Start_year</vt:lpstr>
      <vt:lpstr>SW</vt:lpstr>
      <vt:lpstr>UseCat</vt:lpstr>
      <vt:lpstr>UserNote</vt:lpstr>
      <vt:lpstr>Vmol</vt:lpstr>
      <vt:lpstr>VP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Li</dc:creator>
  <cp:lastModifiedBy>Li Li</cp:lastModifiedBy>
  <dcterms:created xsi:type="dcterms:W3CDTF">2018-07-07T14:34:24Z</dcterms:created>
  <dcterms:modified xsi:type="dcterms:W3CDTF">2025-09-20T19:41:30Z</dcterms:modified>
</cp:coreProperties>
</file>